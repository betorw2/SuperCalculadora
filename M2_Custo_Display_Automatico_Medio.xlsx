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oria de Calculo" sheetId="1" state="visible" r:id="rId3"/>
    <sheet name="Formatos" sheetId="2" state="visible" r:id="rId4"/>
    <sheet name="Roteir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<sst xmlns="http://schemas.openxmlformats.org/spreadsheetml/2006/main" count="135" uniqueCount="110">
  <si>
    <t xml:space="preserve">DISPLAY AUTOMÁTICO MÉDIO (REDBOX) — MEMÓRIA DE CÁLCULO DE CUSTO</t>
  </si>
  <si>
    <t xml:space="preserve">Cliente retira na fábrica (sem frete) · Patente BR 112020016883-1 · Markup divisor</t>
  </si>
  <si>
    <t xml:space="preserve">PARÂMETROS (editáveis)</t>
  </si>
  <si>
    <t xml:space="preserve">Quantidade (un)</t>
  </si>
  <si>
    <t xml:space="preserve">Dólar (R$)</t>
  </si>
  <si>
    <t xml:space="preserve">Corrugado Paraibuna (R$/kg)</t>
  </si>
  <si>
    <t xml:space="preserve">Papel cartão VH Paper (R$/kg)</t>
  </si>
  <si>
    <t xml:space="preserve">Tinta Nozomi (US$/litro)</t>
  </si>
  <si>
    <t xml:space="preserve">Tinta consumo (ml/m²)</t>
  </si>
  <si>
    <t xml:space="preserve">Comissão (%)</t>
  </si>
  <si>
    <t xml:space="preserve">Custo financeiro (%)</t>
  </si>
  <si>
    <t xml:space="preserve">Lucro (%)</t>
  </si>
  <si>
    <t xml:space="preserve">Imposto (%)</t>
  </si>
  <si>
    <t xml:space="preserve">Divisor markup = 1 − (com.+fin.+lucro+imp.)</t>
  </si>
  <si>
    <t xml:space="preserve">Item de custo</t>
  </si>
  <si>
    <t xml:space="preserve">Custo unitário (R$)</t>
  </si>
  <si>
    <t xml:space="preserve">Custo total (R$)</t>
  </si>
  <si>
    <t xml:space="preserve">% do custo</t>
  </si>
  <si>
    <t xml:space="preserve">Etapa/Roteiro</t>
  </si>
  <si>
    <t xml:space="preserve">Corrugado Paraibuna (EB+E)</t>
  </si>
  <si>
    <t xml:space="preserve">Matéria-prima</t>
  </si>
  <si>
    <t xml:space="preserve">Papel cartão 230g + 190g</t>
  </si>
  <si>
    <t xml:space="preserve">Tinta Nozomi</t>
  </si>
  <si>
    <t xml:space="preserve">Impressão</t>
  </si>
  <si>
    <t xml:space="preserve">Hora-máquina Nozomi</t>
  </si>
  <si>
    <t xml:space="preserve">Cola (acoplagem + montagem)</t>
  </si>
  <si>
    <t xml:space="preserve">Colagem</t>
  </si>
  <si>
    <t xml:space="preserve">Cliques plásticos (6 pares)</t>
  </si>
  <si>
    <t xml:space="preserve">Acessórios</t>
  </si>
  <si>
    <t xml:space="preserve">Mão de obra acoplagem</t>
  </si>
  <si>
    <t xml:space="preserve">Acoplagem</t>
  </si>
  <si>
    <t xml:space="preserve">Corte e vinco</t>
  </si>
  <si>
    <t xml:space="preserve">Corte</t>
  </si>
  <si>
    <t xml:space="preserve">Caixa de transporte (interna)</t>
  </si>
  <si>
    <t xml:space="preserve">Embalagem</t>
  </si>
  <si>
    <t xml:space="preserve">Pallet</t>
  </si>
  <si>
    <t xml:space="preserve">CUSTO INDUSTRIAL (cliente retira)</t>
  </si>
  <si>
    <t xml:space="preserve">FORMAÇÃO DE PREÇO DE VENDA (Markup divisor)</t>
  </si>
  <si>
    <t xml:space="preserve">Custo industrial / un</t>
  </si>
  <si>
    <t xml:space="preserve">Divisor markup</t>
  </si>
  <si>
    <t xml:space="preserve">PREÇO DE VENDA UNITÁRIO</t>
  </si>
  <si>
    <t xml:space="preserve">PREÇO DE VENDA TOTAL (150 un)</t>
  </si>
  <si>
    <t xml:space="preserve">FORMATOS DAS PEÇAS — DISPLAY AUTOMÁTICO MÉDIO (do manual de fabricação)</t>
  </si>
  <si>
    <t xml:space="preserve">Peça</t>
  </si>
  <si>
    <t xml:space="preserve">Qtd</t>
  </si>
  <si>
    <t xml:space="preserve">Onda</t>
  </si>
  <si>
    <t xml:space="preserve">Papelão (cm)</t>
  </si>
  <si>
    <t xml:space="preserve">Cartão (cm)</t>
  </si>
  <si>
    <t xml:space="preserve">Gram. cartão</t>
  </si>
  <si>
    <t xml:space="preserve">Observação</t>
  </si>
  <si>
    <t xml:space="preserve">Corpo</t>
  </si>
  <si>
    <t xml:space="preserve">1</t>
  </si>
  <si>
    <t xml:space="preserve">EB</t>
  </si>
  <si>
    <t xml:space="preserve">90 × 159</t>
  </si>
  <si>
    <t xml:space="preserve">89 × 158</t>
  </si>
  <si>
    <t xml:space="preserve">230g</t>
  </si>
  <si>
    <t xml:space="preserve">Impressão direta verso + acoplado</t>
  </si>
  <si>
    <t xml:space="preserve">Lateral direita</t>
  </si>
  <si>
    <t xml:space="preserve">78 × 156</t>
  </si>
  <si>
    <t xml:space="preserve">77 × 153</t>
  </si>
  <si>
    <t xml:space="preserve">Pardo/pardo</t>
  </si>
  <si>
    <t xml:space="preserve">Lateral esquerda</t>
  </si>
  <si>
    <t xml:space="preserve">78 × 154</t>
  </si>
  <si>
    <t xml:space="preserve">Base / rodapé</t>
  </si>
  <si>
    <t xml:space="preserve">78 × 95</t>
  </si>
  <si>
    <t xml:space="preserve">77 × 94</t>
  </si>
  <si>
    <t xml:space="preserve">Aproveita sobra</t>
  </si>
  <si>
    <t xml:space="preserve">Prateleira</t>
  </si>
  <si>
    <t xml:space="preserve">4</t>
  </si>
  <si>
    <t xml:space="preserve">107 × 154</t>
  </si>
  <si>
    <t xml:space="preserve">106 × 153</t>
  </si>
  <si>
    <t xml:space="preserve">Cada uma</t>
  </si>
  <si>
    <t xml:space="preserve">Testeira (topo)</t>
  </si>
  <si>
    <t xml:space="preserve">E</t>
  </si>
  <si>
    <t xml:space="preserve">83 × 156</t>
  </si>
  <si>
    <t xml:space="preserve">82 × 155</t>
  </si>
  <si>
    <t xml:space="preserve">Removível</t>
  </si>
  <si>
    <t xml:space="preserve">Triângulo</t>
  </si>
  <si>
    <t xml:space="preserve">77 × 155</t>
  </si>
  <si>
    <t xml:space="preserve">190g</t>
  </si>
  <si>
    <t xml:space="preserve">Cada um</t>
  </si>
  <si>
    <t xml:space="preserve">Frente de prateleira</t>
  </si>
  <si>
    <t xml:space="preserve">94 × 123</t>
  </si>
  <si>
    <t xml:space="preserve">93 × 122</t>
  </si>
  <si>
    <t xml:space="preserve">Regra: faca → papelão +1cm/lado → cartão −1cm que o papelão (acoplado para dentro da borda)</t>
  </si>
  <si>
    <t xml:space="preserve">ROTEIRO DE PRODUÇÃO — DISPLAY AUTOMÁTICO MÉDIO</t>
  </si>
  <si>
    <t xml:space="preserve">Etapa</t>
  </si>
  <si>
    <t xml:space="preserve">Processo</t>
  </si>
  <si>
    <t xml:space="preserve">Ordem das peças</t>
  </si>
  <si>
    <t xml:space="preserve">1. Mockup</t>
  </si>
  <si>
    <t xml:space="preserve">Prova digital</t>
  </si>
  <si>
    <t xml:space="preserve">2. Pré-impressão</t>
  </si>
  <si>
    <t xml:space="preserve">Programar montagem e aproveitamento dos formatos</t>
  </si>
  <si>
    <t xml:space="preserve">3. Impressão</t>
  </si>
  <si>
    <t xml:space="preserve">Nozomi SS 14000 — papel cartão 230g/190g</t>
  </si>
  <si>
    <t xml:space="preserve">Corpo, laterais, prateleiras, triângulo, testeira, frente</t>
  </si>
  <si>
    <t xml:space="preserve">4. Laminação</t>
  </si>
  <si>
    <t xml:space="preserve">Plastificação (se 100% personalizado)</t>
  </si>
  <si>
    <t xml:space="preserve">5. Acoplagem</t>
  </si>
  <si>
    <t xml:space="preserve">Cartão sobre papelão (se adquirido)</t>
  </si>
  <si>
    <t xml:space="preserve">6. Corte/Vinco</t>
  </si>
  <si>
    <t xml:space="preserve">Faca — corte e vinco</t>
  </si>
  <si>
    <t xml:space="preserve">Corpo(topo), laterais, lat+corpo, prateleiras, frente, triângulo, base</t>
  </si>
  <si>
    <t xml:space="preserve">7. Colagem</t>
  </si>
  <si>
    <t xml:space="preserve">Máquina de cola CNC Fênix + pistola</t>
  </si>
  <si>
    <t xml:space="preserve">8. Montagem</t>
  </si>
  <si>
    <t xml:space="preserve">Encaixe — clipes prateleiras 1,2,3</t>
  </si>
  <si>
    <t xml:space="preserve">Produto acabado</t>
  </si>
  <si>
    <t xml:space="preserve">9. Embalagem</t>
  </si>
  <si>
    <t xml:space="preserve">Caixa interna 2,27×1,50m + pallet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</si>
</sst>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DE7"/>
        <bgColor rgb="FFFFF6D5"/>
      </patternFill>
    </fill>
    <fill>
      <patternFill patternType="solid">
        <fgColor rgb="FFEFF3FB"/>
        <bgColor rgb="FFF2F2F2"/>
      </patternFill>
    </fill>
    <fill>
      <patternFill patternType="solid">
        <fgColor rgb="FFF2F2F2"/>
        <bgColor rgb="FFEFF3FB"/>
      </patternFill>
    </fill>
    <fill>
      <patternFill patternType="solid">
        <fgColor rgb="FFFFF6D5"/>
        <bgColor rgb="FFFFFDE7"/>
      </patternFill>
    </fill>
    <fill>
      <patternFill patternType="solid">
        <fgColor rgb="FFD85A30"/>
        <bgColor rgb="FFFF8080"/>
      </patternFill>
    </fill>
    <fill>
      <patternFill patternType="solid">
        <fgColor rgb="FF1D9E7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D5"/>
      <rgbColor rgb="FFEF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D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85A30"/>
      <rgbColor rgb="FF595959"/>
      <rgbColor rgb="FF969696"/>
      <rgbColor rgb="FF003366"/>
      <rgbColor rgb="FF1D9E75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1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150</v>
      </c>
    </row>
    <row r="6" customFormat="false" ht="15" hidden="false" customHeight="false" outlineLevel="0" collapsed="false">
      <c r="A6" s="4" t="s">
        <v>4</v>
      </c>
      <c r="B6" s="6" t="n">
        <v>5.8</v>
      </c>
    </row>
    <row r="7" customFormat="false" ht="15" hidden="false" customHeight="false" outlineLevel="0" collapsed="false">
      <c r="A7" s="4" t="s">
        <v>5</v>
      </c>
      <c r="B7" s="6" t="n">
        <v>7.6</v>
      </c>
    </row>
    <row r="8" customFormat="false" ht="15" hidden="false" customHeight="false" outlineLevel="0" collapsed="false">
      <c r="A8" s="4" t="s">
        <v>6</v>
      </c>
      <c r="B8" s="6" t="n">
        <v>9</v>
      </c>
    </row>
    <row r="9" customFormat="false" ht="15" hidden="false" customHeight="false" outlineLevel="0" collapsed="false">
      <c r="A9" s="4" t="s">
        <v>7</v>
      </c>
      <c r="B9" s="6" t="n">
        <v>79</v>
      </c>
    </row>
    <row r="10" customFormat="false" ht="15" hidden="false" customHeight="false" outlineLevel="0" collapsed="false">
      <c r="A10" s="4" t="s">
        <v>8</v>
      </c>
      <c r="B10" s="5" t="n">
        <v>6</v>
      </c>
    </row>
    <row r="11" customFormat="false" ht="15" hidden="false" customHeight="false" outlineLevel="0" collapsed="false">
      <c r="A11" s="4" t="s">
        <v>9</v>
      </c>
      <c r="B11" s="7" t="n">
        <v>0.05</v>
      </c>
    </row>
    <row r="12" customFormat="false" ht="15" hidden="false" customHeight="false" outlineLevel="0" collapsed="false">
      <c r="A12" s="4" t="s">
        <v>10</v>
      </c>
      <c r="B12" s="7" t="n">
        <v>0.018</v>
      </c>
    </row>
    <row r="13" customFormat="false" ht="15" hidden="false" customHeight="false" outlineLevel="0" collapsed="false">
      <c r="A13" s="4" t="s">
        <v>11</v>
      </c>
      <c r="B13" s="7" t="n">
        <v>0.3</v>
      </c>
    </row>
    <row r="14" customFormat="false" ht="15" hidden="false" customHeight="false" outlineLevel="0" collapsed="false">
      <c r="A14" s="4" t="s">
        <v>12</v>
      </c>
      <c r="B14" s="7" t="n">
        <v>0.09</v>
      </c>
    </row>
    <row r="16" customFormat="false" ht="15" hidden="false" customHeight="false" outlineLevel="0" collapsed="false">
      <c r="A16" s="8" t="s">
        <v>13</v>
      </c>
      <c r="B16" s="9" t="n">
        <f aca="false">1-(B11+B12+B13+B14)</f>
        <v>0.542</v>
      </c>
    </row>
    <row r="19" customFormat="false" ht="27.75" hidden="false" customHeight="true" outlineLevel="0" collapsed="false">
      <c r="A19" s="10" t="s">
        <v>14</v>
      </c>
      <c r="B19" s="10" t="s">
        <v>15</v>
      </c>
      <c r="C19" s="10" t="s">
        <v>16</v>
      </c>
      <c r="D19" s="10" t="s">
        <v>17</v>
      </c>
      <c r="E19" s="10" t="s">
        <v>18</v>
      </c>
    </row>
    <row r="20" customFormat="false" ht="15" hidden="false" customHeight="false" outlineLevel="0" collapsed="false">
      <c r="A20" s="4" t="s">
        <v>19</v>
      </c>
      <c r="B20" s="6" t="n">
        <v>80.54</v>
      </c>
      <c r="C20" s="11" t="n">
        <f aca="false">B20*$B$5</f>
        <v>12081</v>
      </c>
      <c r="D20" s="12" t="n">
        <f aca="false">B20/$B$30</f>
        <v>0.386153329817328</v>
      </c>
      <c r="E20" s="13" t="s">
        <v>20</v>
      </c>
    </row>
    <row r="21" customFormat="false" ht="15" hidden="false" customHeight="false" outlineLevel="0" collapsed="false">
      <c r="A21" s="14" t="s">
        <v>21</v>
      </c>
      <c r="B21" s="15" t="n">
        <v>41.27</v>
      </c>
      <c r="C21" s="16" t="n">
        <f aca="false">B21*$B$5</f>
        <v>6190.5</v>
      </c>
      <c r="D21" s="17" t="n">
        <f aca="false">B21/$B$30</f>
        <v>0.197871218296016</v>
      </c>
      <c r="E21" s="18" t="s">
        <v>20</v>
      </c>
    </row>
    <row r="22" customFormat="false" ht="15" hidden="false" customHeight="false" outlineLevel="0" collapsed="false">
      <c r="A22" s="4" t="s">
        <v>22</v>
      </c>
      <c r="B22" s="6" t="n">
        <v>63.2</v>
      </c>
      <c r="C22" s="11" t="n">
        <f aca="false">B22*$B$5</f>
        <v>9480</v>
      </c>
      <c r="D22" s="12" t="n">
        <f aca="false">B22/$B$30</f>
        <v>0.303015774080644</v>
      </c>
      <c r="E22" s="13" t="s">
        <v>23</v>
      </c>
    </row>
    <row r="23" customFormat="false" ht="15" hidden="false" customHeight="false" outlineLevel="0" collapsed="false">
      <c r="A23" s="14" t="s">
        <v>24</v>
      </c>
      <c r="B23" s="15" t="n">
        <v>1.96</v>
      </c>
      <c r="C23" s="16" t="n">
        <f aca="false">B23*$B$5</f>
        <v>294</v>
      </c>
      <c r="D23" s="17" t="n">
        <f aca="false">B23/$B$30</f>
        <v>0.00939732463920986</v>
      </c>
      <c r="E23" s="18" t="s">
        <v>23</v>
      </c>
    </row>
    <row r="24" customFormat="false" ht="15" hidden="false" customHeight="false" outlineLevel="0" collapsed="false">
      <c r="A24" s="4" t="s">
        <v>25</v>
      </c>
      <c r="B24" s="6" t="n">
        <v>4</v>
      </c>
      <c r="C24" s="11" t="n">
        <f aca="false">B24*$B$5</f>
        <v>600</v>
      </c>
      <c r="D24" s="12" t="n">
        <f aca="false">B24/$B$30</f>
        <v>0.0191782135494079</v>
      </c>
      <c r="E24" s="13" t="s">
        <v>26</v>
      </c>
    </row>
    <row r="25" customFormat="false" ht="15" hidden="false" customHeight="false" outlineLevel="0" collapsed="false">
      <c r="A25" s="14" t="s">
        <v>27</v>
      </c>
      <c r="B25" s="15" t="n">
        <v>3.3</v>
      </c>
      <c r="C25" s="16" t="n">
        <f aca="false">B25*$B$5</f>
        <v>495</v>
      </c>
      <c r="D25" s="17" t="n">
        <f aca="false">B25/$B$30</f>
        <v>0.0158220261782615</v>
      </c>
      <c r="E25" s="18" t="s">
        <v>28</v>
      </c>
    </row>
    <row r="26" customFormat="false" ht="15" hidden="false" customHeight="false" outlineLevel="0" collapsed="false">
      <c r="A26" s="4" t="s">
        <v>29</v>
      </c>
      <c r="B26" s="6" t="n">
        <v>0.55</v>
      </c>
      <c r="C26" s="11" t="n">
        <f aca="false">B26*$B$5</f>
        <v>82.5</v>
      </c>
      <c r="D26" s="12" t="n">
        <f aca="false">B26/$B$30</f>
        <v>0.00263700436304358</v>
      </c>
      <c r="E26" s="13" t="s">
        <v>30</v>
      </c>
    </row>
    <row r="27" customFormat="false" ht="15" hidden="false" customHeight="false" outlineLevel="0" collapsed="false">
      <c r="A27" s="14" t="s">
        <v>31</v>
      </c>
      <c r="B27" s="15" t="n">
        <v>0.91</v>
      </c>
      <c r="C27" s="16" t="n">
        <f aca="false">B27*$B$5</f>
        <v>136.5</v>
      </c>
      <c r="D27" s="17" t="n">
        <f aca="false">B27/$B$30</f>
        <v>0.00436304358249029</v>
      </c>
      <c r="E27" s="18" t="s">
        <v>32</v>
      </c>
    </row>
    <row r="28" customFormat="false" ht="15" hidden="false" customHeight="false" outlineLevel="0" collapsed="false">
      <c r="A28" s="4" t="s">
        <v>33</v>
      </c>
      <c r="B28" s="6" t="n">
        <v>12.63</v>
      </c>
      <c r="C28" s="11" t="n">
        <f aca="false">B28*$B$5</f>
        <v>1894.5</v>
      </c>
      <c r="D28" s="12" t="n">
        <f aca="false">B28/$B$30</f>
        <v>0.0605552092822554</v>
      </c>
      <c r="E28" s="13" t="s">
        <v>34</v>
      </c>
    </row>
    <row r="29" customFormat="false" ht="15" hidden="false" customHeight="false" outlineLevel="0" collapsed="false">
      <c r="A29" s="14" t="s">
        <v>35</v>
      </c>
      <c r="B29" s="15" t="n">
        <v>0.21</v>
      </c>
      <c r="C29" s="16" t="n">
        <f aca="false">B29*$B$5</f>
        <v>31.5</v>
      </c>
      <c r="D29" s="17" t="n">
        <f aca="false">B29/$B$30</f>
        <v>0.00100685621134391</v>
      </c>
      <c r="E29" s="18" t="s">
        <v>34</v>
      </c>
    </row>
    <row r="30" customFormat="false" ht="15" hidden="false" customHeight="false" outlineLevel="0" collapsed="false">
      <c r="A30" s="19" t="s">
        <v>36</v>
      </c>
      <c r="B30" s="20" t="n">
        <f aca="false">SUM(B20:B29)</f>
        <v>208.57</v>
      </c>
      <c r="C30" s="20" t="n">
        <f aca="false">SUM(C20:C29)</f>
        <v>31285.5</v>
      </c>
      <c r="D30" s="21" t="n">
        <f aca="false">SUM(D20:D29)</f>
        <v>1</v>
      </c>
      <c r="E30" s="22"/>
    </row>
    <row r="32" customFormat="false" ht="15" hidden="false" customHeight="false" outlineLevel="0" collapsed="false">
      <c r="A32" s="3" t="s">
        <v>37</v>
      </c>
    </row>
    <row r="33" customFormat="false" ht="15" hidden="false" customHeight="false" outlineLevel="0" collapsed="false">
      <c r="A33" s="4" t="s">
        <v>38</v>
      </c>
      <c r="B33" s="11" t="n">
        <f aca="false">B30</f>
        <v>208.57</v>
      </c>
    </row>
    <row r="34" customFormat="false" ht="15" hidden="false" customHeight="false" outlineLevel="0" collapsed="false">
      <c r="A34" s="4" t="s">
        <v>39</v>
      </c>
      <c r="B34" s="23" t="n">
        <f aca="false">B16</f>
        <v>0.542</v>
      </c>
    </row>
    <row r="35" customFormat="false" ht="15" hidden="false" customHeight="false" outlineLevel="0" collapsed="false">
      <c r="A35" s="24" t="s">
        <v>40</v>
      </c>
      <c r="B35" s="25" t="n">
        <f aca="false">B33/B34</f>
        <v>384.815498154982</v>
      </c>
    </row>
    <row r="36" customFormat="false" ht="15" hidden="false" customHeight="false" outlineLevel="0" collapsed="false">
      <c r="A36" s="24" t="s">
        <v>41</v>
      </c>
      <c r="B36" s="25" t="n">
        <f aca="false">B35*B5</f>
        <v>57722.3247232472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32"/>
  </cols>
  <sheetData>
    <row r="1" customFormat="false" ht="24" hidden="false" customHeight="true" outlineLevel="0" collapsed="false">
      <c r="A1" s="26" t="s">
        <v>42</v>
      </c>
      <c r="B1" s="26"/>
      <c r="C1" s="26"/>
      <c r="D1" s="26"/>
      <c r="E1" s="26"/>
      <c r="F1" s="26"/>
      <c r="G1" s="26"/>
    </row>
    <row r="3" customFormat="false" ht="25.5" hidden="false" customHeight="true" outlineLevel="0" collapsed="false">
      <c r="A3" s="27" t="s">
        <v>43</v>
      </c>
      <c r="B3" s="27" t="s">
        <v>44</v>
      </c>
      <c r="C3" s="27" t="s">
        <v>45</v>
      </c>
      <c r="D3" s="27" t="s">
        <v>46</v>
      </c>
      <c r="E3" s="27" t="s">
        <v>47</v>
      </c>
      <c r="F3" s="27" t="s">
        <v>48</v>
      </c>
      <c r="G3" s="27" t="s">
        <v>49</v>
      </c>
    </row>
    <row r="4" customFormat="false" ht="15" hidden="false" customHeight="false" outlineLevel="0" collapsed="false">
      <c r="A4" s="28" t="s">
        <v>50</v>
      </c>
      <c r="B4" s="29" t="s">
        <v>51</v>
      </c>
      <c r="C4" s="29" t="s">
        <v>52</v>
      </c>
      <c r="D4" s="29" t="s">
        <v>53</v>
      </c>
      <c r="E4" s="29" t="s">
        <v>54</v>
      </c>
      <c r="F4" s="29" t="s">
        <v>55</v>
      </c>
      <c r="G4" s="30" t="s">
        <v>56</v>
      </c>
    </row>
    <row r="5" customFormat="false" ht="15" hidden="false" customHeight="false" outlineLevel="0" collapsed="false">
      <c r="A5" s="31" t="s">
        <v>57</v>
      </c>
      <c r="B5" s="32" t="s">
        <v>51</v>
      </c>
      <c r="C5" s="32" t="s">
        <v>52</v>
      </c>
      <c r="D5" s="32" t="s">
        <v>58</v>
      </c>
      <c r="E5" s="32" t="s">
        <v>59</v>
      </c>
      <c r="F5" s="32" t="s">
        <v>55</v>
      </c>
      <c r="G5" s="33" t="s">
        <v>60</v>
      </c>
    </row>
    <row r="6" customFormat="false" ht="15" hidden="false" customHeight="false" outlineLevel="0" collapsed="false">
      <c r="A6" s="28" t="s">
        <v>61</v>
      </c>
      <c r="B6" s="29" t="s">
        <v>51</v>
      </c>
      <c r="C6" s="29" t="s">
        <v>52</v>
      </c>
      <c r="D6" s="29" t="s">
        <v>62</v>
      </c>
      <c r="E6" s="29" t="s">
        <v>59</v>
      </c>
      <c r="F6" s="29" t="s">
        <v>55</v>
      </c>
      <c r="G6" s="30" t="s">
        <v>60</v>
      </c>
    </row>
    <row r="7" customFormat="false" ht="15" hidden="false" customHeight="false" outlineLevel="0" collapsed="false">
      <c r="A7" s="31" t="s">
        <v>63</v>
      </c>
      <c r="B7" s="32" t="s">
        <v>51</v>
      </c>
      <c r="C7" s="32" t="s">
        <v>52</v>
      </c>
      <c r="D7" s="32" t="s">
        <v>64</v>
      </c>
      <c r="E7" s="32" t="s">
        <v>65</v>
      </c>
      <c r="F7" s="32" t="s">
        <v>55</v>
      </c>
      <c r="G7" s="33" t="s">
        <v>66</v>
      </c>
    </row>
    <row r="8" customFormat="false" ht="15" hidden="false" customHeight="false" outlineLevel="0" collapsed="false">
      <c r="A8" s="28" t="s">
        <v>67</v>
      </c>
      <c r="B8" s="29" t="s">
        <v>68</v>
      </c>
      <c r="C8" s="29" t="s">
        <v>52</v>
      </c>
      <c r="D8" s="29" t="s">
        <v>69</v>
      </c>
      <c r="E8" s="29" t="s">
        <v>70</v>
      </c>
      <c r="F8" s="29" t="s">
        <v>55</v>
      </c>
      <c r="G8" s="30" t="s">
        <v>71</v>
      </c>
    </row>
    <row r="9" customFormat="false" ht="15" hidden="false" customHeight="false" outlineLevel="0" collapsed="false">
      <c r="A9" s="31" t="s">
        <v>72</v>
      </c>
      <c r="B9" s="32" t="s">
        <v>51</v>
      </c>
      <c r="C9" s="32" t="s">
        <v>73</v>
      </c>
      <c r="D9" s="32" t="s">
        <v>74</v>
      </c>
      <c r="E9" s="32" t="s">
        <v>75</v>
      </c>
      <c r="F9" s="32" t="s">
        <v>55</v>
      </c>
      <c r="G9" s="33" t="s">
        <v>76</v>
      </c>
    </row>
    <row r="10" customFormat="false" ht="15" hidden="false" customHeight="false" outlineLevel="0" collapsed="false">
      <c r="A10" s="28" t="s">
        <v>77</v>
      </c>
      <c r="B10" s="29" t="s">
        <v>68</v>
      </c>
      <c r="C10" s="29" t="s">
        <v>73</v>
      </c>
      <c r="D10" s="29" t="s">
        <v>58</v>
      </c>
      <c r="E10" s="29" t="s">
        <v>78</v>
      </c>
      <c r="F10" s="29" t="s">
        <v>79</v>
      </c>
      <c r="G10" s="30" t="s">
        <v>80</v>
      </c>
    </row>
    <row r="11" customFormat="false" ht="15" hidden="false" customHeight="false" outlineLevel="0" collapsed="false">
      <c r="A11" s="31" t="s">
        <v>81</v>
      </c>
      <c r="B11" s="32" t="s">
        <v>68</v>
      </c>
      <c r="C11" s="32" t="s">
        <v>73</v>
      </c>
      <c r="D11" s="32" t="s">
        <v>82</v>
      </c>
      <c r="E11" s="32" t="s">
        <v>83</v>
      </c>
      <c r="F11" s="32" t="s">
        <v>79</v>
      </c>
      <c r="G11" s="33" t="s">
        <v>71</v>
      </c>
    </row>
    <row r="13" customFormat="false" ht="15" hidden="false" customHeight="false" outlineLevel="0" collapsed="false">
      <c r="A13" s="34" t="s">
        <v>84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46"/>
  </cols>
  <sheetData>
    <row r="1" customFormat="false" ht="24" hidden="false" customHeight="true" outlineLevel="0" collapsed="false">
      <c r="A1" s="35" t="s">
        <v>85</v>
      </c>
      <c r="B1" s="35"/>
      <c r="C1" s="35"/>
    </row>
    <row r="3" customFormat="false" ht="15" hidden="false" customHeight="false" outlineLevel="0" collapsed="false">
      <c r="A3" s="36" t="s">
        <v>86</v>
      </c>
      <c r="B3" s="36" t="s">
        <v>87</v>
      </c>
      <c r="C3" s="36" t="s">
        <v>88</v>
      </c>
    </row>
    <row r="4" customFormat="false" ht="15" hidden="false" customHeight="false" outlineLevel="0" collapsed="false">
      <c r="A4" s="37" t="s">
        <v>89</v>
      </c>
      <c r="B4" s="38" t="s">
        <v>90</v>
      </c>
      <c r="C4" s="38"/>
    </row>
    <row r="5" customFormat="false" ht="23.85" hidden="false" customHeight="false" outlineLevel="0" collapsed="false">
      <c r="A5" s="39" t="s">
        <v>91</v>
      </c>
      <c r="B5" s="40" t="s">
        <v>92</v>
      </c>
      <c r="C5" s="40"/>
    </row>
    <row r="6" customFormat="false" ht="15" hidden="false" customHeight="false" outlineLevel="0" collapsed="false">
      <c r="A6" s="37" t="s">
        <v>93</v>
      </c>
      <c r="B6" s="38" t="s">
        <v>94</v>
      </c>
      <c r="C6" s="38" t="s">
        <v>95</v>
      </c>
    </row>
    <row r="7" customFormat="false" ht="15" hidden="false" customHeight="false" outlineLevel="0" collapsed="false">
      <c r="A7" s="39" t="s">
        <v>96</v>
      </c>
      <c r="B7" s="40" t="s">
        <v>97</v>
      </c>
      <c r="C7" s="40"/>
    </row>
    <row r="8" customFormat="false" ht="15" hidden="false" customHeight="false" outlineLevel="0" collapsed="false">
      <c r="A8" s="37" t="s">
        <v>98</v>
      </c>
      <c r="B8" s="38" t="s">
        <v>99</v>
      </c>
      <c r="C8" s="38"/>
    </row>
    <row r="9" customFormat="false" ht="23.85" hidden="false" customHeight="false" outlineLevel="0" collapsed="false">
      <c r="A9" s="39" t="s">
        <v>100</v>
      </c>
      <c r="B9" s="40" t="s">
        <v>101</v>
      </c>
      <c r="C9" s="40" t="s">
        <v>102</v>
      </c>
    </row>
    <row r="10" customFormat="false" ht="15" hidden="false" customHeight="false" outlineLevel="0" collapsed="false">
      <c r="A10" s="37" t="s">
        <v>103</v>
      </c>
      <c r="B10" s="38" t="s">
        <v>104</v>
      </c>
      <c r="C10" s="38"/>
    </row>
    <row r="11" customFormat="false" ht="15" hidden="false" customHeight="false" outlineLevel="0" collapsed="false">
      <c r="A11" s="39" t="s">
        <v>105</v>
      </c>
      <c r="B11" s="40" t="s">
        <v>106</v>
      </c>
      <c r="C11" s="40" t="s">
        <v>107</v>
      </c>
    </row>
    <row r="12" customFormat="false" ht="15" hidden="false" customHeight="false" outlineLevel="0" collapsed="false">
      <c r="A12" s="37" t="s">
        <v>108</v>
      </c>
      <c r="B12" s="38" t="s">
        <v>109</v>
      </c>
      <c r="C12" s="38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2026-06-08T20:43:35Z</dcterms:created>
  <dc:creator>openpyxl</dc:creator>
  <dc:description/>
  <dc:language>en-US</dc:language>
  <cp:lastModifiedBy/>
  <dcterms:modified xsi:type="dcterms:W3CDTF">2026-06-08T20:43:35Z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