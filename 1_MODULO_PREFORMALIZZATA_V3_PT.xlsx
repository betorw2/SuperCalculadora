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alculo" sheetId="1" state="visible" r:id="rId1"/>
    <sheet xmlns:r="http://schemas.openxmlformats.org/officeDocument/2006/relationships" name="PREFORMALIZZATA_REDBOX" sheetId="2" state="visible" r:id="rId2"/>
    <sheet xmlns:r="http://schemas.openxmlformats.org/officeDocument/2006/relationships" name="PREVENTIVO" sheetId="3" state="visible" r:id="rId3"/>
    <sheet xmlns:r="http://schemas.openxmlformats.org/officeDocument/2006/relationships" name="SVILUPPI" sheetId="4" state="visible" r:id="rId4"/>
    <sheet xmlns:r="http://schemas.openxmlformats.org/officeDocument/2006/relationships" name="RP O MAIL &quot;RICHIESTA PREV.&quot;" sheetId="5" state="visible" r:id="rId5"/>
  </sheets>
  <definedNames>
    <definedName name="_xlnm.Print_Area" localSheetId="0">'calculo'!$A$1:$I$124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_-* #,##0.00_-;\-* #,##0.00_-;_-* &quot;-&quot;??_-;_-@_-"/>
    <numFmt numFmtId="165" formatCode="_-* #,##0_-;\-* #,##0_-;_-* &quot;-&quot;??_-;_-@_-"/>
    <numFmt numFmtId="166" formatCode="_-* #,##0.0000_-;\-* #,##0.0000_-;_-* &quot;-&quot;??_-;_-@_-"/>
    <numFmt numFmtId="167" formatCode="_-* #,##0.00000_-;\-* #,##0.00000_-;_-* &quot;-&quot;??_-;_-@_-"/>
    <numFmt numFmtId="168" formatCode="_-* #,##0.00_-;\-* #,##0.00_-;_-* &quot;-&quot;?????_-;_-@_-"/>
    <numFmt numFmtId="169" formatCode="_-* #,##0.000_-;\-* #,##0.000_-;_-* &quot;-&quot;??_-;_-@_-"/>
    <numFmt numFmtId="170" formatCode="_-* #,##0.0000000_-;\-* #,##0.0000000_-;_-* &quot;-&quot;??_-;_-@_-"/>
    <numFmt numFmtId="171" formatCode="#,##0_ ;\-#,##0\ "/>
    <numFmt numFmtId="172" formatCode="0.0000"/>
    <numFmt numFmtId="173" formatCode="_-* #,##0.00\ &quot;€&quot;_-;\-* #,##0.00\ &quot;€&quot;_-;_-* &quot;-&quot;??\ &quot;€&quot;_-;_-@_-"/>
    <numFmt numFmtId="174" formatCode="#,##0.0000"/>
    <numFmt numFmtId="175" formatCode="#,##0.0000_ ;\-#,##0.0000\ "/>
    <numFmt numFmtId="176" formatCode="#,##0.00_ ;\-#,##0.00\ "/>
    <numFmt numFmtId="177" formatCode="#,##0.0000000_ ;\-#,##0.0000000\ "/>
    <numFmt numFmtId="178" formatCode="#,##0.00000"/>
    <numFmt numFmtId="179" formatCode="_-&quot;€&quot;\ * #,##0.000_-;\-&quot;€&quot;\ * #,##0.000_-;_-&quot;€&quot;\ * &quot;-&quot;??_-;_-@_-"/>
    <numFmt numFmtId="180" formatCode="_-&quot;€&quot;\ * #,##0_-;\-&quot;€&quot;\ * #,##0_-;_-&quot;€&quot;\ * &quot;-&quot;??_-;_-@_-"/>
    <numFmt numFmtId="181" formatCode="_-&quot;€&quot;\ * #,##0.00_-;\-&quot;€&quot;\ * #,##0.00_-;_-&quot;€&quot;\ * &quot;-&quot;??_-;_-@_-"/>
  </numFmts>
  <fonts count="22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2"/>
    </font>
    <font>
      <name val="Times New Roman"/>
      <family val="1"/>
      <sz val="18"/>
    </font>
    <font>
      <name val="Arial"/>
      <family val="2"/>
      <sz val="7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i val="1"/>
      <sz val="7"/>
    </font>
    <font>
      <name val="Arial"/>
      <family val="2"/>
      <i val="1"/>
      <sz val="8"/>
    </font>
    <font>
      <name val="Arial"/>
      <family val="2"/>
      <sz val="6"/>
    </font>
    <font>
      <name val="Arial"/>
      <family val="2"/>
      <b val="1"/>
      <sz val="8"/>
      <u val="single"/>
    </font>
    <font>
      <name val="Arial"/>
      <family val="2"/>
      <b val="1"/>
      <sz val="10"/>
      <u val="single"/>
    </font>
    <font>
      <name val="Arial"/>
      <family val="2"/>
      <b val="1"/>
      <color rgb="FFFF0000"/>
      <sz val="10"/>
    </font>
    <font>
      <name val="Arial"/>
      <family val="2"/>
      <color rgb="FFFF0000"/>
      <sz val="6"/>
    </font>
    <font>
      <name val="Arial"/>
      <family val="2"/>
      <b val="1"/>
      <color rgb="FFFF0000"/>
      <sz val="6"/>
    </font>
    <font>
      <name val="Arial"/>
      <family val="2"/>
      <color rgb="FFFF0000"/>
      <sz val="7"/>
    </font>
    <font>
      <name val="Arial"/>
      <family val="2"/>
      <color theme="10"/>
      <sz val="10"/>
      <u val="single"/>
    </font>
    <font>
      <name val="Arial"/>
      <family val="2"/>
      <color theme="0" tint="-0.249977111117893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181" fontId="8" fillId="0" borderId="0"/>
    <xf numFmtId="181" fontId="8" fillId="0" borderId="0"/>
    <xf numFmtId="43" fontId="8" fillId="0" borderId="0"/>
    <xf numFmtId="43" fontId="8" fillId="0" borderId="0"/>
    <xf numFmtId="9" fontId="8" fillId="0" borderId="0"/>
    <xf numFmtId="9" fontId="8" fillId="0" borderId="0"/>
    <xf numFmtId="181" fontId="8" fillId="0" borderId="0"/>
    <xf numFmtId="0" fontId="20" fillId="0" borderId="0"/>
  </cellStyleXfs>
  <cellXfs count="323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0" fontId="4" fillId="0" borderId="0" pivotButton="0" quotePrefix="0" xfId="0"/>
    <xf numFmtId="0" fontId="3" fillId="0" borderId="2" pivotButton="0" quotePrefix="0" xfId="0"/>
    <xf numFmtId="0" fontId="3" fillId="0" borderId="0" pivotButton="0" quotePrefix="0" xfId="0"/>
    <xf numFmtId="164" fontId="3" fillId="0" borderId="0" pivotButton="0" quotePrefix="0" xfId="3"/>
    <xf numFmtId="165" fontId="3" fillId="0" borderId="0" pivotButton="0" quotePrefix="0" xfId="3"/>
    <xf numFmtId="0" fontId="5" fillId="0" borderId="3" applyAlignment="1" pivotButton="0" quotePrefix="0" xfId="0">
      <alignment horizontal="left"/>
    </xf>
    <xf numFmtId="0" fontId="5" fillId="0" borderId="0" pivotButton="0" quotePrefix="0" xfId="0"/>
    <xf numFmtId="166" fontId="3" fillId="0" borderId="2" pivotButton="0" quotePrefix="0" xfId="3"/>
    <xf numFmtId="166" fontId="3" fillId="0" borderId="0" pivotButton="0" quotePrefix="0" xfId="3"/>
    <xf numFmtId="166" fontId="2" fillId="0" borderId="0" pivotButton="0" quotePrefix="0" xfId="3"/>
    <xf numFmtId="167" fontId="2" fillId="0" borderId="0" pivotButton="0" quotePrefix="0" xfId="3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6" fontId="2" fillId="0" borderId="0" applyAlignment="1" pivotButton="0" quotePrefix="0" xfId="3">
      <alignment horizontal="center"/>
    </xf>
    <xf numFmtId="0" fontId="2" fillId="0" borderId="4" applyAlignment="1" pivotButton="0" quotePrefix="0" xfId="0">
      <alignment horizontal="center"/>
    </xf>
    <xf numFmtId="0" fontId="3" fillId="0" borderId="3" pivotButton="0" quotePrefix="0" xfId="0"/>
    <xf numFmtId="0" fontId="2" fillId="0" borderId="5" applyAlignment="1" pivotButton="0" quotePrefix="0" xfId="0">
      <alignment horizontal="center"/>
    </xf>
    <xf numFmtId="14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166" fontId="3" fillId="0" borderId="10" pivotButton="0" quotePrefix="0" xfId="3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166" fontId="3" fillId="0" borderId="14" pivotButton="0" quotePrefix="0" xfId="3"/>
    <xf numFmtId="0" fontId="3" fillId="0" borderId="15" pivotButton="0" quotePrefix="0" xfId="0"/>
    <xf numFmtId="0" fontId="3" fillId="0" borderId="16" pivotButton="0" quotePrefix="0" xfId="0"/>
    <xf numFmtId="0" fontId="3" fillId="0" borderId="17" pivotButton="0" quotePrefix="0" xfId="0"/>
    <xf numFmtId="0" fontId="3" fillId="0" borderId="18" pivotButton="0" quotePrefix="0" xfId="0"/>
    <xf numFmtId="165" fontId="3" fillId="0" borderId="16" pivotButton="0" quotePrefix="0" xfId="3"/>
    <xf numFmtId="165" fontId="3" fillId="0" borderId="17" pivotButton="0" quotePrefix="0" xfId="3"/>
    <xf numFmtId="0" fontId="2" fillId="0" borderId="13" pivotButton="0" quotePrefix="0" xfId="0"/>
    <xf numFmtId="168" fontId="3" fillId="0" borderId="11" applyAlignment="1" pivotButton="0" quotePrefix="0" xfId="0">
      <alignment horizontal="right"/>
    </xf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2" fillId="0" borderId="18" pivotButton="0" quotePrefix="0" xfId="0"/>
    <xf numFmtId="0" fontId="2" fillId="0" borderId="18" applyAlignment="1" pivotButton="0" quotePrefix="0" xfId="0">
      <alignment horizontal="center"/>
    </xf>
    <xf numFmtId="168" fontId="2" fillId="0" borderId="15" applyAlignment="1" pivotButton="0" quotePrefix="0" xfId="0">
      <alignment horizontal="center"/>
    </xf>
    <xf numFmtId="166" fontId="2" fillId="0" borderId="16" applyAlignment="1" pivotButton="0" quotePrefix="0" xfId="3">
      <alignment horizontal="center"/>
    </xf>
    <xf numFmtId="166" fontId="2" fillId="0" borderId="18" applyAlignment="1" pivotButton="0" quotePrefix="0" xfId="3">
      <alignment horizontal="center"/>
    </xf>
    <xf numFmtId="164" fontId="3" fillId="0" borderId="11" pivotButton="0" quotePrefix="0" xfId="3"/>
    <xf numFmtId="165" fontId="3" fillId="0" borderId="18" pivotButton="0" quotePrefix="0" xfId="3"/>
    <xf numFmtId="164" fontId="3" fillId="0" borderId="16" pivotButton="0" quotePrefix="0" xfId="3"/>
    <xf numFmtId="165" fontId="3" fillId="0" borderId="19" pivotButton="0" quotePrefix="0" xfId="3"/>
    <xf numFmtId="164" fontId="3" fillId="0" borderId="19" pivotButton="0" quotePrefix="0" xfId="3"/>
    <xf numFmtId="0" fontId="2" fillId="0" borderId="13" applyAlignment="1" pivotButton="0" quotePrefix="0" xfId="0">
      <alignment horizontal="center"/>
    </xf>
    <xf numFmtId="165" fontId="2" fillId="0" borderId="18" applyAlignment="1" pivotButton="0" quotePrefix="0" xfId="3">
      <alignment horizontal="center"/>
    </xf>
    <xf numFmtId="164" fontId="2" fillId="0" borderId="18" applyAlignment="1" pivotButton="0" quotePrefix="0" xfId="3">
      <alignment horizontal="center"/>
    </xf>
    <xf numFmtId="165" fontId="3" fillId="0" borderId="9" applyAlignment="1" pivotButton="0" quotePrefix="0" xfId="0">
      <alignment horizontal="left"/>
    </xf>
    <xf numFmtId="165" fontId="3" fillId="0" borderId="11" pivotButton="0" quotePrefix="0" xfId="0"/>
    <xf numFmtId="165" fontId="3" fillId="0" borderId="16" pivotButton="0" quotePrefix="0" xfId="0"/>
    <xf numFmtId="0" fontId="3" fillId="0" borderId="16" applyAlignment="1" pivotButton="0" quotePrefix="0" xfId="0">
      <alignment horizontal="center"/>
    </xf>
    <xf numFmtId="165" fontId="3" fillId="0" borderId="18" applyAlignment="1" pivotButton="0" quotePrefix="0" xfId="3">
      <alignment horizontal="left"/>
    </xf>
    <xf numFmtId="0" fontId="3" fillId="0" borderId="18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166" fontId="2" fillId="0" borderId="22" pivotButton="0" quotePrefix="0" xfId="3"/>
    <xf numFmtId="0" fontId="2" fillId="0" borderId="23" pivotButton="0" quotePrefix="0" xfId="0"/>
    <xf numFmtId="165" fontId="2" fillId="0" borderId="24" pivotButton="0" quotePrefix="0" xfId="0"/>
    <xf numFmtId="0" fontId="2" fillId="0" borderId="22" pivotButton="0" quotePrefix="0" xfId="0"/>
    <xf numFmtId="165" fontId="2" fillId="0" borderId="24" applyAlignment="1" pivotButton="0" quotePrefix="0" xfId="3">
      <alignment horizontal="center"/>
    </xf>
    <xf numFmtId="0" fontId="2" fillId="0" borderId="22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25" pivotButton="0" quotePrefix="0" xfId="0"/>
    <xf numFmtId="166" fontId="3" fillId="0" borderId="25" pivotButton="0" quotePrefix="0" xfId="3"/>
    <xf numFmtId="164" fontId="3" fillId="0" borderId="18" pivotButton="0" quotePrefix="0" xfId="3"/>
    <xf numFmtId="9" fontId="3" fillId="0" borderId="26" pivotButton="0" quotePrefix="0" xfId="5"/>
    <xf numFmtId="9" fontId="3" fillId="0" borderId="27" pivotButton="0" quotePrefix="0" xfId="5"/>
    <xf numFmtId="0" fontId="3" fillId="0" borderId="28" pivotButton="0" quotePrefix="0" xfId="0"/>
    <xf numFmtId="169" fontId="2" fillId="0" borderId="12" applyAlignment="1" pivotButton="0" quotePrefix="0" xfId="3">
      <alignment horizontal="center"/>
    </xf>
    <xf numFmtId="164" fontId="3" fillId="0" borderId="13" pivotButton="0" quotePrefix="0" xfId="3"/>
    <xf numFmtId="165" fontId="2" fillId="0" borderId="17" pivotButton="0" quotePrefix="0" xfId="3"/>
    <xf numFmtId="0" fontId="2" fillId="0" borderId="17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166" fontId="2" fillId="0" borderId="31" pivotButton="0" quotePrefix="0" xfId="3"/>
    <xf numFmtId="0" fontId="2" fillId="0" borderId="32" pivotButton="0" quotePrefix="0" xfId="0"/>
    <xf numFmtId="165" fontId="2" fillId="0" borderId="22" pivotButton="0" quotePrefix="0" xfId="3"/>
    <xf numFmtId="165" fontId="3" fillId="0" borderId="33" pivotButton="0" quotePrefix="0" xfId="3"/>
    <xf numFmtId="0" fontId="6" fillId="0" borderId="0" pivotButton="0" quotePrefix="0" xfId="0"/>
    <xf numFmtId="165" fontId="6" fillId="0" borderId="0" pivotButton="0" quotePrefix="0" xfId="3"/>
    <xf numFmtId="165" fontId="6" fillId="0" borderId="0" applyAlignment="1" pivotButton="0" quotePrefix="0" xfId="0">
      <alignment horizontal="left"/>
    </xf>
    <xf numFmtId="164" fontId="7" fillId="0" borderId="0" pivotButton="0" quotePrefix="0" xfId="0"/>
    <xf numFmtId="9" fontId="3" fillId="0" borderId="19" applyAlignment="1" pivotButton="0" quotePrefix="0" xfId="0">
      <alignment horizontal="center"/>
    </xf>
    <xf numFmtId="49" fontId="3" fillId="0" borderId="14" pivotButton="0" quotePrefix="0" xfId="0"/>
    <xf numFmtId="167" fontId="3" fillId="0" borderId="0" pivotButton="0" quotePrefix="0" xfId="3"/>
    <xf numFmtId="165" fontId="3" fillId="0" borderId="0" pivotButton="0" quotePrefix="0" xfId="0"/>
    <xf numFmtId="170" fontId="3" fillId="0" borderId="0" pivotButton="0" quotePrefix="0" xfId="3"/>
    <xf numFmtId="0" fontId="2" fillId="0" borderId="17" applyAlignment="1" pivotButton="0" quotePrefix="0" xfId="0">
      <alignment horizontal="center"/>
    </xf>
    <xf numFmtId="0" fontId="3" fillId="0" borderId="34" pivotButton="0" quotePrefix="0" xfId="0"/>
    <xf numFmtId="171" fontId="6" fillId="0" borderId="35" pivotButton="0" quotePrefix="0" xfId="3"/>
    <xf numFmtId="0" fontId="3" fillId="0" borderId="29" pivotButton="0" quotePrefix="0" xfId="0"/>
    <xf numFmtId="0" fontId="3" fillId="0" borderId="30" pivotButton="0" quotePrefix="0" xfId="0"/>
    <xf numFmtId="0" fontId="3" fillId="0" borderId="31" pivotButton="0" quotePrefix="0" xfId="0"/>
    <xf numFmtId="166" fontId="3" fillId="0" borderId="31" pivotButton="0" quotePrefix="0" xfId="3"/>
    <xf numFmtId="2" fontId="3" fillId="0" borderId="0" pivotButton="0" quotePrefix="0" xfId="0"/>
    <xf numFmtId="2" fontId="2" fillId="0" borderId="0" pivotButton="0" quotePrefix="0" xfId="0"/>
    <xf numFmtId="172" fontId="3" fillId="0" borderId="0" pivotButton="0" quotePrefix="0" xfId="0"/>
    <xf numFmtId="14" fontId="3" fillId="0" borderId="20" pivotButton="0" quotePrefix="0" xfId="0"/>
    <xf numFmtId="0" fontId="0" fillId="2" borderId="0" pivotButton="0" quotePrefix="0" xfId="0"/>
    <xf numFmtId="0" fontId="7" fillId="2" borderId="0" pivotButton="0" quotePrefix="0" xfId="0"/>
    <xf numFmtId="0" fontId="7" fillId="2" borderId="1" pivotButton="0" quotePrefix="0" xfId="0"/>
    <xf numFmtId="0" fontId="7" fillId="2" borderId="2" pivotButton="0" quotePrefix="0" xfId="0"/>
    <xf numFmtId="0" fontId="7" fillId="2" borderId="4" pivotButton="0" quotePrefix="0" xfId="0"/>
    <xf numFmtId="165" fontId="7" fillId="2" borderId="0" pivotButton="0" quotePrefix="0" xfId="4"/>
    <xf numFmtId="165" fontId="7" fillId="2" borderId="0" applyAlignment="1" pivotButton="0" quotePrefix="0" xfId="0">
      <alignment horizontal="left"/>
    </xf>
    <xf numFmtId="164" fontId="7" fillId="2" borderId="0" pivotButton="0" quotePrefix="0" xfId="0"/>
    <xf numFmtId="0" fontId="9" fillId="2" borderId="19" applyAlignment="1" pivotButton="0" quotePrefix="0" xfId="0">
      <alignment horizontal="center" vertical="center"/>
    </xf>
    <xf numFmtId="164" fontId="7" fillId="2" borderId="19" applyAlignment="1" pivotButton="0" quotePrefix="0" xfId="4">
      <alignment vertical="center"/>
    </xf>
    <xf numFmtId="0" fontId="7" fillId="2" borderId="0" applyAlignment="1" pivotButton="0" quotePrefix="0" xfId="0">
      <alignment vertical="center"/>
    </xf>
    <xf numFmtId="0" fontId="9" fillId="2" borderId="16" pivotButton="0" quotePrefix="0" xfId="0"/>
    <xf numFmtId="173" fontId="7" fillId="2" borderId="19" applyAlignment="1" pivotButton="0" quotePrefix="0" xfId="0">
      <alignment vertical="center"/>
    </xf>
    <xf numFmtId="0" fontId="7" fillId="2" borderId="20" applyAlignment="1" pivotButton="0" quotePrefix="0" xfId="0">
      <alignment vertical="center"/>
    </xf>
    <xf numFmtId="166" fontId="9" fillId="2" borderId="16" applyAlignment="1" pivotButton="0" quotePrefix="0" xfId="4">
      <alignment horizontal="center" vertical="center"/>
    </xf>
    <xf numFmtId="168" fontId="9" fillId="2" borderId="16" applyAlignment="1" pivotButton="0" quotePrefix="0" xfId="0">
      <alignment horizontal="center" vertical="center"/>
    </xf>
    <xf numFmtId="0" fontId="3" fillId="2" borderId="0" pivotButton="0" quotePrefix="0" xfId="0"/>
    <xf numFmtId="14" fontId="0" fillId="2" borderId="0" pivotButton="0" quotePrefix="0" xfId="0"/>
    <xf numFmtId="0" fontId="3" fillId="2" borderId="0" applyAlignment="1" pivotButton="0" quotePrefix="0" xfId="0">
      <alignment horizontal="right"/>
    </xf>
    <xf numFmtId="171" fontId="3" fillId="0" borderId="18" pivotButton="0" quotePrefix="0" xfId="3"/>
    <xf numFmtId="164" fontId="3" fillId="0" borderId="12" pivotButton="0" quotePrefix="0" xfId="0"/>
    <xf numFmtId="3" fontId="3" fillId="0" borderId="19" pivotButton="0" quotePrefix="0" xfId="0"/>
    <xf numFmtId="174" fontId="3" fillId="0" borderId="19" pivotButton="0" quotePrefix="0" xfId="3"/>
    <xf numFmtId="4" fontId="3" fillId="0" borderId="21" applyAlignment="1" pivotButton="0" quotePrefix="0" xfId="0">
      <alignment horizontal="right"/>
    </xf>
    <xf numFmtId="3" fontId="3" fillId="0" borderId="18" pivotButton="0" quotePrefix="0" xfId="0"/>
    <xf numFmtId="174" fontId="3" fillId="0" borderId="18" pivotButton="0" quotePrefix="0" xfId="3"/>
    <xf numFmtId="4" fontId="3" fillId="0" borderId="36" pivotButton="0" quotePrefix="0" xfId="0"/>
    <xf numFmtId="4" fontId="3" fillId="0" borderId="11" pivotButton="0" quotePrefix="0" xfId="3"/>
    <xf numFmtId="4" fontId="2" fillId="0" borderId="15" applyAlignment="1" pivotButton="0" quotePrefix="0" xfId="0">
      <alignment horizontal="center"/>
    </xf>
    <xf numFmtId="3" fontId="3" fillId="0" borderId="19" pivotButton="0" quotePrefix="0" xfId="3"/>
    <xf numFmtId="4" fontId="3" fillId="0" borderId="18" pivotButton="0" quotePrefix="0" xfId="3"/>
    <xf numFmtId="4" fontId="3" fillId="0" borderId="36" pivotButton="0" quotePrefix="0" xfId="3"/>
    <xf numFmtId="4" fontId="3" fillId="0" borderId="11" pivotButton="0" quotePrefix="0" xfId="0"/>
    <xf numFmtId="174" fontId="3" fillId="0" borderId="18" pivotButton="0" quotePrefix="0" xfId="4"/>
    <xf numFmtId="4" fontId="3" fillId="0" borderId="18" pivotButton="0" quotePrefix="0" xfId="0"/>
    <xf numFmtId="174" fontId="3" fillId="0" borderId="21" pivotButton="0" quotePrefix="0" xfId="3"/>
    <xf numFmtId="174" fontId="3" fillId="0" borderId="21" applyAlignment="1" pivotButton="0" quotePrefix="0" xfId="3">
      <alignment horizontal="center"/>
    </xf>
    <xf numFmtId="4" fontId="2" fillId="0" borderId="5" applyAlignment="1" pivotButton="0" quotePrefix="0" xfId="0">
      <alignment horizontal="center"/>
    </xf>
    <xf numFmtId="4" fontId="3" fillId="0" borderId="6" pivotButton="0" quotePrefix="0" xfId="0"/>
    <xf numFmtId="4" fontId="2" fillId="0" borderId="17" pivotButton="0" quotePrefix="0" xfId="0"/>
    <xf numFmtId="4" fontId="3" fillId="0" borderId="17" pivotButton="0" quotePrefix="0" xfId="0"/>
    <xf numFmtId="4" fontId="2" fillId="0" borderId="0" applyAlignment="1" pivotButton="0" quotePrefix="0" xfId="0">
      <alignment horizontal="center"/>
    </xf>
    <xf numFmtId="4" fontId="3" fillId="0" borderId="0" pivotButton="0" quotePrefix="0" xfId="3"/>
    <xf numFmtId="3" fontId="3" fillId="0" borderId="18" pivotButton="0" quotePrefix="0" xfId="3"/>
    <xf numFmtId="175" fontId="3" fillId="0" borderId="19" pivotButton="0" quotePrefix="0" xfId="3"/>
    <xf numFmtId="176" fontId="2" fillId="0" borderId="36" pivotButton="0" quotePrefix="0" xfId="3"/>
    <xf numFmtId="177" fontId="2" fillId="0" borderId="36" pivotButton="0" quotePrefix="0" xfId="3"/>
    <xf numFmtId="3" fontId="3" fillId="0" borderId="37" pivotButton="0" quotePrefix="0" xfId="0"/>
    <xf numFmtId="178" fontId="3" fillId="0" borderId="33" pivotButton="0" quotePrefix="0" xfId="0"/>
    <xf numFmtId="3" fontId="3" fillId="0" borderId="38" pivotButton="0" quotePrefix="0" xfId="0"/>
    <xf numFmtId="178" fontId="3" fillId="0" borderId="26" pivotButton="0" quotePrefix="0" xfId="0"/>
    <xf numFmtId="178" fontId="3" fillId="0" borderId="39" pivotButton="0" quotePrefix="0" xfId="0"/>
    <xf numFmtId="178" fontId="3" fillId="0" borderId="24" pivotButton="0" quotePrefix="0" xfId="0"/>
    <xf numFmtId="174" fontId="3" fillId="0" borderId="24" pivotButton="0" quotePrefix="0" xfId="0"/>
    <xf numFmtId="4" fontId="7" fillId="0" borderId="0" pivotButton="0" quotePrefix="0" xfId="0"/>
    <xf numFmtId="176" fontId="3" fillId="0" borderId="18" pivotButton="0" quotePrefix="0" xfId="3"/>
    <xf numFmtId="176" fontId="3" fillId="0" borderId="0" pivotButton="0" quotePrefix="0" xfId="0"/>
    <xf numFmtId="14" fontId="3" fillId="0" borderId="32" pivotButton="0" quotePrefix="0" xfId="0"/>
    <xf numFmtId="0" fontId="2" fillId="0" borderId="40" applyAlignment="1" pivotButton="0" quotePrefix="0" xfId="0">
      <alignment horizontal="center"/>
    </xf>
    <xf numFmtId="0" fontId="3" fillId="0" borderId="38" pivotButton="0" quotePrefix="0" xfId="0"/>
    <xf numFmtId="0" fontId="3" fillId="0" borderId="38" applyAlignment="1" pivotButton="0" quotePrefix="0" xfId="0">
      <alignment horizontal="center"/>
    </xf>
    <xf numFmtId="1" fontId="3" fillId="0" borderId="38" applyAlignment="1" pivotButton="0" quotePrefix="0" xfId="0">
      <alignment horizontal="center"/>
    </xf>
    <xf numFmtId="1" fontId="3" fillId="0" borderId="38" applyAlignment="1" pivotButton="0" quotePrefix="0" xfId="4">
      <alignment horizontal="center"/>
    </xf>
    <xf numFmtId="174" fontId="3" fillId="0" borderId="36" pivotButton="0" quotePrefix="0" xfId="0"/>
    <xf numFmtId="2" fontId="11" fillId="0" borderId="28" pivotButton="0" quotePrefix="0" xfId="0"/>
    <xf numFmtId="0" fontId="12" fillId="0" borderId="0" pivotButton="0" quotePrefix="0" xfId="0"/>
    <xf numFmtId="3" fontId="3" fillId="0" borderId="20" pivotButton="0" quotePrefix="0" xfId="3"/>
    <xf numFmtId="4" fontId="10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3" fillId="2" borderId="20" applyAlignment="1" pivotButton="0" quotePrefix="0" xfId="0">
      <alignment horizontal="center" vertical="center" wrapText="1"/>
    </xf>
    <xf numFmtId="165" fontId="2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1" fontId="3" fillId="0" borderId="19" pivotButton="0" quotePrefix="0" xfId="0"/>
    <xf numFmtId="174" fontId="3" fillId="0" borderId="0" pivotButton="0" quotePrefix="0" xfId="0"/>
    <xf numFmtId="176" fontId="3" fillId="0" borderId="32" pivotButton="0" quotePrefix="0" xfId="3"/>
    <xf numFmtId="9" fontId="16" fillId="3" borderId="41" applyAlignment="1" pivotButton="0" quotePrefix="0" xfId="5">
      <alignment horizontal="center" vertical="center"/>
    </xf>
    <xf numFmtId="9" fontId="16" fillId="3" borderId="35" applyAlignment="1" pivotButton="0" quotePrefix="0" xfId="5">
      <alignment horizontal="center" vertical="center"/>
    </xf>
    <xf numFmtId="0" fontId="14" fillId="3" borderId="42" applyAlignment="1" pivotButton="0" quotePrefix="0" xfId="0">
      <alignment vertical="center" wrapText="1"/>
    </xf>
    <xf numFmtId="0" fontId="14" fillId="3" borderId="43" applyAlignment="1" pivotButton="0" quotePrefix="0" xfId="0">
      <alignment vertical="center" wrapText="1"/>
    </xf>
    <xf numFmtId="2" fontId="17" fillId="0" borderId="0" applyAlignment="1" pivotButton="0" quotePrefix="0" xfId="0">
      <alignment horizontal="center" vertical="center"/>
    </xf>
    <xf numFmtId="2" fontId="18" fillId="0" borderId="0" applyAlignment="1" pivotButton="0" quotePrefix="0" xfId="0">
      <alignment horizontal="center" vertical="center"/>
    </xf>
    <xf numFmtId="0" fontId="3" fillId="0" borderId="44" pivotButton="0" quotePrefix="0" xfId="0"/>
    <xf numFmtId="175" fontId="6" fillId="0" borderId="45" pivotButton="0" quotePrefix="0" xfId="3"/>
    <xf numFmtId="0" fontId="19" fillId="4" borderId="46" applyAlignment="1" pivotButton="0" quotePrefix="0" xfId="0">
      <alignment horizontal="center" vertical="center"/>
    </xf>
    <xf numFmtId="166" fontId="3" fillId="0" borderId="0" pivotButton="0" quotePrefix="0" xfId="3"/>
    <xf numFmtId="0" fontId="3" fillId="2" borderId="16" applyAlignment="1" pivotButton="0" quotePrefix="0" xfId="3">
      <alignment horizontal="center" vertical="center"/>
    </xf>
    <xf numFmtId="0" fontId="2" fillId="2" borderId="18" applyAlignment="1" pivotButton="0" quotePrefix="0" xfId="3">
      <alignment horizontal="center" vertical="center"/>
    </xf>
    <xf numFmtId="165" fontId="3" fillId="2" borderId="18" applyAlignment="1" pivotButton="0" quotePrefix="0" xfId="3">
      <alignment horizontal="center" vertical="center"/>
    </xf>
    <xf numFmtId="165" fontId="3" fillId="2" borderId="19" applyAlignment="1" pivotButton="0" quotePrefix="0" xfId="3">
      <alignment horizontal="center" vertical="center"/>
    </xf>
    <xf numFmtId="179" fontId="7" fillId="2" borderId="0" applyAlignment="1" pivotButton="0" quotePrefix="0" xfId="7">
      <alignment horizontal="center" vertical="center"/>
    </xf>
    <xf numFmtId="180" fontId="19" fillId="4" borderId="47" applyAlignment="1" pivotButton="0" quotePrefix="0" xfId="7">
      <alignment horizontal="center" vertical="center"/>
    </xf>
    <xf numFmtId="181" fontId="10" fillId="2" borderId="0" applyAlignment="1" pivotButton="0" quotePrefix="0" xfId="7">
      <alignment horizontal="center" vertical="center"/>
    </xf>
    <xf numFmtId="0" fontId="0" fillId="5" borderId="0" pivotButton="0" quotePrefix="0" xfId="0"/>
    <xf numFmtId="2" fontId="17" fillId="0" borderId="0" applyAlignment="1" pivotButton="0" quotePrefix="0" xfId="0">
      <alignment horizontal="left" vertical="center"/>
    </xf>
    <xf numFmtId="0" fontId="1" fillId="0" borderId="19" pivotButton="0" quotePrefix="0" xfId="0"/>
    <xf numFmtId="0" fontId="1" fillId="0" borderId="17" pivotButton="0" quotePrefix="0" xfId="0"/>
    <xf numFmtId="164" fontId="1" fillId="0" borderId="13" pivotButton="0" quotePrefix="0" xfId="3"/>
    <xf numFmtId="0" fontId="1" fillId="0" borderId="25" pivotButton="0" quotePrefix="0" xfId="0"/>
    <xf numFmtId="0" fontId="20" fillId="5" borderId="0" pivotButton="0" quotePrefix="0" xfId="8"/>
    <xf numFmtId="2" fontId="21" fillId="0" borderId="0" pivotButton="0" quotePrefix="0" xfId="0"/>
    <xf numFmtId="0" fontId="21" fillId="0" borderId="0" pivotButton="0" quotePrefix="0" xfId="0"/>
    <xf numFmtId="0" fontId="1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/>
    </xf>
    <xf numFmtId="0" fontId="16" fillId="6" borderId="49" applyAlignment="1" pivotButton="0" quotePrefix="0" xfId="0">
      <alignment horizontal="center"/>
    </xf>
    <xf numFmtId="49" fontId="1" fillId="0" borderId="12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 wrapText="1"/>
    </xf>
    <xf numFmtId="49" fontId="3" fillId="0" borderId="8" applyAlignment="1" pivotButton="0" quotePrefix="0" xfId="0">
      <alignment horizontal="left" vertical="center" wrapText="1"/>
    </xf>
    <xf numFmtId="49" fontId="3" fillId="0" borderId="12" applyAlignment="1" pivotButton="0" quotePrefix="0" xfId="0">
      <alignment horizontal="left" vertical="center" wrapText="1"/>
    </xf>
    <xf numFmtId="49" fontId="3" fillId="0" borderId="13" applyAlignment="1" pivotButton="0" quotePrefix="0" xfId="0">
      <alignment horizontal="left" vertical="center" wrapText="1"/>
    </xf>
    <xf numFmtId="49" fontId="3" fillId="0" borderId="14" applyAlignment="1" pivotButton="0" quotePrefix="0" xfId="0">
      <alignment horizontal="left" vertical="center" wrapText="1"/>
    </xf>
    <xf numFmtId="49" fontId="3" fillId="0" borderId="15" applyAlignment="1" pivotButton="0" quotePrefix="0" xfId="0">
      <alignment horizontal="left" vertical="center" wrapText="1"/>
    </xf>
    <xf numFmtId="0" fontId="10" fillId="2" borderId="20" applyAlignment="1" pivotButton="0" quotePrefix="0" xfId="0">
      <alignment horizontal="left" vertical="center" wrapText="1" indent="1"/>
    </xf>
    <xf numFmtId="0" fontId="10" fillId="2" borderId="25" applyAlignment="1" pivotButton="0" quotePrefix="0" xfId="0">
      <alignment horizontal="left" vertical="center" wrapText="1" indent="1"/>
    </xf>
    <xf numFmtId="0" fontId="10" fillId="2" borderId="21" applyAlignment="1" pivotButton="0" quotePrefix="0" xfId="0">
      <alignment horizontal="left" vertical="center" wrapText="1" indent="1"/>
    </xf>
    <xf numFmtId="0" fontId="15" fillId="2" borderId="20" applyAlignment="1" pivotButton="0" quotePrefix="0" xfId="0">
      <alignment horizontal="center" vertical="center" wrapText="1"/>
    </xf>
    <xf numFmtId="0" fontId="15" fillId="2" borderId="25" applyAlignment="1" pivotButton="0" quotePrefix="0" xfId="0">
      <alignment horizontal="center" vertical="center" wrapText="1"/>
    </xf>
    <xf numFmtId="0" fontId="15" fillId="2" borderId="21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left" vertical="center" wrapText="1" indent="1"/>
    </xf>
    <xf numFmtId="0" fontId="7" fillId="2" borderId="25" applyAlignment="1" pivotButton="0" quotePrefix="0" xfId="0">
      <alignment horizontal="left" vertical="center" wrapText="1" indent="1"/>
    </xf>
    <xf numFmtId="0" fontId="7" fillId="2" borderId="21" applyAlignment="1" pivotButton="0" quotePrefix="0" xfId="0">
      <alignment horizontal="left" vertical="center" wrapText="1" indent="1"/>
    </xf>
    <xf numFmtId="0" fontId="7" fillId="2" borderId="19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9" fillId="2" borderId="20" applyAlignment="1" pivotButton="0" quotePrefix="0" xfId="0">
      <alignment horizontal="left" vertical="center" wrapText="1"/>
    </xf>
    <xf numFmtId="0" fontId="9" fillId="2" borderId="25" applyAlignment="1" pivotButton="0" quotePrefix="0" xfId="0">
      <alignment horizontal="left" vertical="center" wrapText="1"/>
    </xf>
    <xf numFmtId="0" fontId="9" fillId="2" borderId="21" applyAlignment="1" pivotButton="0" quotePrefix="0" xfId="0">
      <alignment horizontal="left" vertical="center" wrapText="1"/>
    </xf>
    <xf numFmtId="0" fontId="10" fillId="2" borderId="20" applyAlignment="1" pivotButton="0" quotePrefix="0" xfId="0">
      <alignment horizontal="left" vertical="center" indent="1"/>
    </xf>
    <xf numFmtId="0" fontId="10" fillId="2" borderId="25" applyAlignment="1" pivotButton="0" quotePrefix="0" xfId="0">
      <alignment horizontal="left" vertical="center" indent="1"/>
    </xf>
    <xf numFmtId="0" fontId="10" fillId="2" borderId="21" applyAlignment="1" pivotButton="0" quotePrefix="0" xfId="0">
      <alignment horizontal="left" vertical="center" indent="1"/>
    </xf>
    <xf numFmtId="0" fontId="9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9" fillId="2" borderId="37" applyAlignment="1" pivotButton="0" quotePrefix="0" xfId="0">
      <alignment horizontal="center" vertical="center"/>
    </xf>
    <xf numFmtId="49" fontId="7" fillId="2" borderId="3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2" borderId="37" applyAlignment="1" pivotButton="0" quotePrefix="0" xfId="0">
      <alignment horizontal="center" vertical="center"/>
    </xf>
    <xf numFmtId="49" fontId="10" fillId="2" borderId="3" applyAlignment="1" pivotButton="0" quotePrefix="0" xfId="0">
      <alignment horizontal="center" vertical="center" wrapText="1"/>
    </xf>
    <xf numFmtId="49" fontId="10" fillId="2" borderId="0" applyAlignment="1" pivotButton="0" quotePrefix="0" xfId="0">
      <alignment horizontal="center" vertical="center" wrapText="1"/>
    </xf>
    <xf numFmtId="49" fontId="10" fillId="2" borderId="37" applyAlignment="1" pivotButton="0" quotePrefix="0" xfId="0">
      <alignment horizontal="center" vertical="center" wrapText="1"/>
    </xf>
    <xf numFmtId="49" fontId="10" fillId="2" borderId="29" applyAlignment="1" pivotButton="0" quotePrefix="0" xfId="0">
      <alignment horizontal="center" vertical="center" wrapText="1"/>
    </xf>
    <xf numFmtId="49" fontId="10" fillId="2" borderId="31" applyAlignment="1" pivotButton="0" quotePrefix="0" xfId="0">
      <alignment horizontal="center" vertical="center" wrapText="1"/>
    </xf>
    <xf numFmtId="49" fontId="10" fillId="2" borderId="39" applyAlignment="1" pivotButton="0" quotePrefix="0" xfId="0">
      <alignment horizontal="center" vertical="center" wrapText="1"/>
    </xf>
    <xf numFmtId="166" fontId="3" fillId="0" borderId="0" pivotButton="0" quotePrefix="0" xfId="3"/>
    <xf numFmtId="166" fontId="3" fillId="0" borderId="2" pivotButton="0" quotePrefix="0" xfId="3"/>
    <xf numFmtId="166" fontId="2" fillId="0" borderId="31" pivotButton="0" quotePrefix="0" xfId="3"/>
    <xf numFmtId="169" fontId="2" fillId="0" borderId="12" applyAlignment="1" pivotButton="0" quotePrefix="0" xfId="3">
      <alignment horizontal="center"/>
    </xf>
    <xf numFmtId="164" fontId="1" fillId="0" borderId="13" pivotButton="0" quotePrefix="0" xfId="3"/>
    <xf numFmtId="166" fontId="3" fillId="0" borderId="14" pivotButton="0" quotePrefix="0" xfId="3"/>
    <xf numFmtId="171" fontId="3" fillId="0" borderId="18" pivotButton="0" quotePrefix="0" xfId="3"/>
    <xf numFmtId="166" fontId="3" fillId="0" borderId="10" pivotButton="0" quotePrefix="0" xfId="3"/>
    <xf numFmtId="164" fontId="3" fillId="0" borderId="12" pivotButton="0" quotePrefix="0" xfId="0"/>
    <xf numFmtId="49" fontId="1" fillId="0" borderId="1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2" pivotButton="0" quotePrefix="0" xfId="0"/>
    <xf numFmtId="164" fontId="3" fillId="0" borderId="0" pivotButton="0" quotePrefix="0" xfId="3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6" fontId="2" fillId="0" borderId="0" applyAlignment="1" pivotButton="0" quotePrefix="0" xfId="3">
      <alignment horizontal="center"/>
    </xf>
    <xf numFmtId="166" fontId="2" fillId="0" borderId="16" applyAlignment="1" pivotButton="0" quotePrefix="0" xfId="3">
      <alignment horizontal="center"/>
    </xf>
    <xf numFmtId="168" fontId="3" fillId="0" borderId="11" applyAlignment="1" pivotButton="0" quotePrefix="0" xfId="0">
      <alignment horizontal="right"/>
    </xf>
    <xf numFmtId="166" fontId="2" fillId="0" borderId="18" applyAlignment="1" pivotButton="0" quotePrefix="0" xfId="3">
      <alignment horizontal="center"/>
    </xf>
    <xf numFmtId="168" fontId="2" fillId="0" borderId="15" applyAlignment="1" pivotButton="0" quotePrefix="0" xfId="0">
      <alignment horizontal="center"/>
    </xf>
    <xf numFmtId="164" fontId="3" fillId="0" borderId="16" pivotButton="0" quotePrefix="0" xfId="3"/>
    <xf numFmtId="164" fontId="2" fillId="0" borderId="18" applyAlignment="1" pivotButton="0" quotePrefix="0" xfId="3">
      <alignment horizontal="center"/>
    </xf>
    <xf numFmtId="164" fontId="3" fillId="0" borderId="19" pivotButton="0" quotePrefix="0" xfId="3"/>
    <xf numFmtId="164" fontId="3" fillId="0" borderId="18" pivotButton="0" quotePrefix="0" xfId="3"/>
    <xf numFmtId="166" fontId="3" fillId="0" borderId="31" pivotButton="0" quotePrefix="0" xfId="3"/>
    <xf numFmtId="164" fontId="3" fillId="0" borderId="13" pivotButton="0" quotePrefix="0" xfId="3"/>
    <xf numFmtId="166" fontId="2" fillId="0" borderId="0" pivotButton="0" quotePrefix="0" xfId="3"/>
    <xf numFmtId="167" fontId="2" fillId="0" borderId="0" pivotButton="0" quotePrefix="0" xfId="3"/>
    <xf numFmtId="0" fontId="16" fillId="6" borderId="40" applyAlignment="1" pivotButton="0" quotePrefix="0" xfId="0">
      <alignment horizontal="center"/>
    </xf>
    <xf numFmtId="0" fontId="0" fillId="0" borderId="49" pivotButton="0" quotePrefix="0" xfId="0"/>
    <xf numFmtId="166" fontId="2" fillId="0" borderId="22" pivotButton="0" quotePrefix="0" xfId="3"/>
    <xf numFmtId="176" fontId="2" fillId="0" borderId="36" pivotButton="0" quotePrefix="0" xfId="3"/>
    <xf numFmtId="167" fontId="3" fillId="0" borderId="0" pivotButton="0" quotePrefix="0" xfId="3"/>
    <xf numFmtId="177" fontId="2" fillId="0" borderId="36" pivotButton="0" quotePrefix="0" xfId="3"/>
    <xf numFmtId="170" fontId="3" fillId="0" borderId="0" pivotButton="0" quotePrefix="0" xfId="3"/>
    <xf numFmtId="178" fontId="3" fillId="0" borderId="33" pivotButton="0" quotePrefix="0" xfId="0"/>
    <xf numFmtId="178" fontId="3" fillId="0" borderId="26" pivotButton="0" quotePrefix="0" xfId="0"/>
    <xf numFmtId="178" fontId="3" fillId="0" borderId="39" pivotButton="0" quotePrefix="0" xfId="0"/>
    <xf numFmtId="178" fontId="3" fillId="0" borderId="24" pivotButton="0" quotePrefix="0" xfId="0"/>
    <xf numFmtId="172" fontId="3" fillId="0" borderId="0" pivotButton="0" quotePrefix="0" xfId="0"/>
    <xf numFmtId="180" fontId="19" fillId="4" borderId="47" applyAlignment="1" pivotButton="0" quotePrefix="0" xfId="7">
      <alignment horizontal="center" vertical="center"/>
    </xf>
    <xf numFmtId="164" fontId="7" fillId="0" borderId="0" pivotButton="0" quotePrefix="0" xfId="0"/>
    <xf numFmtId="171" fontId="6" fillId="0" borderId="35" pivotButton="0" quotePrefix="0" xfId="3"/>
    <xf numFmtId="164" fontId="3" fillId="0" borderId="11" pivotButton="0" quotePrefix="0" xfId="3"/>
    <xf numFmtId="176" fontId="3" fillId="0" borderId="18" pivotButton="0" quotePrefix="0" xfId="3"/>
    <xf numFmtId="0" fontId="1" fillId="0" borderId="2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1" pivotButton="0" quotePrefix="0" xfId="0"/>
    <xf numFmtId="176" fontId="3" fillId="0" borderId="32" pivotButton="0" quotePrefix="0" xfId="3"/>
    <xf numFmtId="176" fontId="3" fillId="0" borderId="0" pivotButton="0" quotePrefix="0" xfId="0"/>
    <xf numFmtId="166" fontId="3" fillId="0" borderId="25" pivotButton="0" quotePrefix="0" xfId="3"/>
    <xf numFmtId="0" fontId="9" fillId="2" borderId="6" applyAlignment="1" pivotButton="0" quotePrefix="0" xfId="0">
      <alignment horizontal="center" vertical="center"/>
    </xf>
    <xf numFmtId="0" fontId="0" fillId="0" borderId="37" pivotButton="0" quotePrefix="0" xfId="0"/>
    <xf numFmtId="49" fontId="7" fillId="2" borderId="6" applyAlignment="1" pivotButton="0" quotePrefix="0" xfId="0">
      <alignment horizontal="center" vertical="center"/>
    </xf>
    <xf numFmtId="49" fontId="10" fillId="2" borderId="3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9" pivotButton="0" quotePrefix="0" xfId="0"/>
    <xf numFmtId="179" fontId="7" fillId="2" borderId="0" applyAlignment="1" pivotButton="0" quotePrefix="0" xfId="7">
      <alignment horizontal="center" vertical="center"/>
    </xf>
    <xf numFmtId="181" fontId="10" fillId="2" borderId="0" applyAlignment="1" pivotButton="0" quotePrefix="0" xfId="7">
      <alignment horizontal="center" vertical="center"/>
    </xf>
    <xf numFmtId="0" fontId="9" fillId="2" borderId="19" applyAlignment="1" pivotButton="0" quotePrefix="0" xfId="0">
      <alignment horizontal="left" vertical="center" wrapText="1"/>
    </xf>
    <xf numFmtId="166" fontId="9" fillId="2" borderId="16" applyAlignment="1" pivotButton="0" quotePrefix="0" xfId="4">
      <alignment horizontal="center" vertical="center"/>
    </xf>
    <xf numFmtId="168" fontId="9" fillId="2" borderId="16" applyAlignment="1" pivotButton="0" quotePrefix="0" xfId="0">
      <alignment horizontal="center" vertical="center"/>
    </xf>
    <xf numFmtId="0" fontId="10" fillId="2" borderId="19" applyAlignment="1" pivotButton="0" quotePrefix="0" xfId="0">
      <alignment horizontal="left" vertical="center" indent="1"/>
    </xf>
    <xf numFmtId="173" fontId="7" fillId="2" borderId="19" applyAlignment="1" pivotButton="0" quotePrefix="0" xfId="0">
      <alignment vertical="center"/>
    </xf>
    <xf numFmtId="0" fontId="10" fillId="2" borderId="19" applyAlignment="1" pivotButton="0" quotePrefix="0" xfId="0">
      <alignment horizontal="left" vertical="center" wrapText="1" indent="1"/>
    </xf>
    <xf numFmtId="164" fontId="7" fillId="2" borderId="0" pivotButton="0" quotePrefix="0" xfId="0"/>
    <xf numFmtId="164" fontId="7" fillId="2" borderId="19" applyAlignment="1" pivotButton="0" quotePrefix="0" xfId="4">
      <alignment vertical="center"/>
    </xf>
    <xf numFmtId="0" fontId="15" fillId="2" borderId="19" applyAlignment="1" pivotButton="0" quotePrefix="0" xfId="0">
      <alignment horizontal="center" vertical="center" wrapText="1"/>
    </xf>
  </cellXfs>
  <cellStyles count="9">
    <cellStyle name="Normale" xfId="0" builtinId="0"/>
    <cellStyle name="Euro" xfId="1"/>
    <cellStyle name="Euro 2" xfId="2"/>
    <cellStyle name="Migliaia" xfId="3" builtinId="3"/>
    <cellStyle name="Migliaia 2" xfId="4"/>
    <cellStyle name="Percentuale" xfId="5" builtinId="5"/>
    <cellStyle name="Percentuale 2" xfId="6"/>
    <cellStyle name="Valuta" xfId="7" builtinId="4"/>
    <cellStyle name="Collegamento ipertestuale" xfId="8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Type="http://schemas.microsoft.com/office/2006/relationships/vbaProject" Target="vbaProject.bin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t-IT"/>
              <a:t>INCIDENZA COSTI</a:t>
            </a:r>
          </a:p>
        </rich>
      </tx>
      <overlay val="0"/>
      <spPr>
        <a:solidFill xmlns:a="http://schemas.openxmlformats.org/drawingml/2006/main">
          <a:schemeClr val="lt1"/>
        </a:solidFill>
        <a:ln xmlns:a="http://schemas.openxmlformats.org/drawingml/2006/main" w="25400" cap="flat" cmpd="sng" algn="ctr">
          <a:solidFill>
            <a:schemeClr val="accent3"/>
          </a:solidFill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3227440967534156"/>
          <y val="0.201593867007591"/>
          <w val="0.3545115336778263"/>
          <h val="0.5922676712085267"/>
        </manualLayout>
      </layout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pPr>
                <a:noFill xmlns:a="http://schemas.openxmlformats.org/drawingml/2006/main"/>
                <a:ln xmlns:a="http://schemas.openxmlformats.org/drawingml/2006/main" w="25400">
                  <a:noFill/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i="0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calcolo!$A$95:$A$97</f>
              <strCache>
                <ptCount val="3"/>
                <pt idx="0">
                  <v xml:space="preserve">MATERIALI </v>
                </pt>
                <pt idx="1">
                  <v xml:space="preserve">LAVORAZIONI ESTERNE </v>
                </pt>
                <pt idx="2">
                  <v xml:space="preserve">LAVORAZIONI INTERNE </v>
                </pt>
              </strCache>
            </strRef>
          </cat>
          <val>
            <numRef>
              <f>calcolo!$B$95:$B$97</f>
              <numCache>
                <formatCode>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b"/>
      <overlay val="0"/>
      <spPr>
        <a:solidFill xmlns:a="http://schemas.openxmlformats.org/drawingml/2006/main">
          <a:schemeClr val="accent6">
            <a:lumMod val="40000"/>
            <a:lumOff val="60000"/>
          </a:schemeClr>
        </a:solidFill>
        <a:ln xmlns:a="http://schemas.openxmlformats.org/drawingml/2006/main">
          <a:solidFill>
            <a:srgbClr val="FF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630" b="0" i="0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r>
            <a:t/>
          </a:r>
          <a:endParaRPr lang="it-IT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0" scaled="1"/>
      <a:tileRect/>
    </a:gra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8</col>
      <colOff>762000</colOff>
      <row>93</row>
      <rowOff>9525</rowOff>
    </from>
    <to>
      <col>14</col>
      <colOff>609600</colOff>
      <row>106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4"/>
  <sheetViews>
    <sheetView tabSelected="1" zoomScale="145" zoomScaleNormal="145" zoomScaleSheetLayoutView="90" workbookViewId="0">
      <pane ySplit="7" topLeftCell="A8" activePane="bottomLeft" state="frozen"/>
      <selection pane="bottomLeft" activeCell="B6" sqref="B6"/>
    </sheetView>
  </sheetViews>
  <sheetFormatPr baseColWidth="8" defaultColWidth="9.140625" defaultRowHeight="12.75"/>
  <cols>
    <col width="32.28515625" customWidth="1" style="6" min="1" max="1"/>
    <col width="8.7109375" customWidth="1" style="6" min="2" max="2"/>
    <col width="9" customWidth="1" style="6" min="3" max="3"/>
    <col width="10.7109375" customWidth="1" style="6" min="4" max="4"/>
    <col width="10" customWidth="1" style="6" min="5" max="5"/>
    <col width="10.85546875" customWidth="1" style="252" min="6" max="6"/>
    <col width="11.140625" customWidth="1" style="6" min="7" max="7"/>
    <col width="12.140625" customWidth="1" style="6" min="8" max="8"/>
    <col width="11.42578125" customWidth="1" style="104" min="9" max="9"/>
    <col width="9.140625" customWidth="1" style="6" min="10" max="10"/>
    <col width="9.140625" customWidth="1" style="6" min="11" max="16384"/>
  </cols>
  <sheetData>
    <row r="1">
      <c r="A1" s="2" t="n"/>
      <c r="B1" s="22" t="n"/>
      <c r="C1" s="5" t="n"/>
      <c r="D1" s="5" t="n"/>
      <c r="E1" s="3" t="n"/>
      <c r="F1" s="253" t="n"/>
      <c r="G1" s="5" t="n"/>
      <c r="H1" s="20" t="inlineStr">
        <is>
          <t>DATA</t>
        </is>
      </c>
      <c r="J1" s="209" t="inlineStr">
        <is>
          <t>Nome do arquivo sugerido:</t>
        </is>
      </c>
      <c r="M1" s="210">
        <f>CONCATENATE(A6," rif. ",B6," (",B2,")")</f>
        <v/>
      </c>
    </row>
    <row r="2" ht="23.25" customHeight="1">
      <c r="A2" s="9" t="inlineStr">
        <is>
          <t>Creative Srl</t>
        </is>
      </c>
      <c r="B2" s="23" t="n"/>
      <c r="D2" s="10" t="inlineStr">
        <is>
          <t>MÓDULO DE ORÇAMENTO</t>
        </is>
      </c>
      <c r="E2" s="1" t="n"/>
      <c r="H2" s="21">
        <f>TODAY()</f>
        <v/>
      </c>
    </row>
    <row r="3" ht="13.5" customFormat="1" customHeight="1" s="1" thickBot="1">
      <c r="A3" s="81" t="inlineStr">
        <is>
          <t xml:space="preserve"> </t>
        </is>
      </c>
      <c r="B3" s="82" t="n"/>
      <c r="C3" s="83" t="n"/>
      <c r="D3" s="83" t="n"/>
      <c r="E3" s="83" t="n"/>
      <c r="F3" s="254" t="n"/>
      <c r="G3" s="83" t="n"/>
      <c r="H3" s="85" t="n"/>
      <c r="I3" s="105" t="n"/>
    </row>
    <row r="4">
      <c r="A4" s="34" t="inlineStr">
        <is>
          <t>CLIENTE:</t>
        </is>
      </c>
      <c r="B4" s="1" t="inlineStr">
        <is>
          <t>Ref./Cód. do Artigo</t>
        </is>
      </c>
      <c r="D4" s="1" t="n"/>
      <c r="E4" s="1" t="n"/>
      <c r="G4" s="79" t="inlineStr">
        <is>
          <t>Quantidade</t>
        </is>
      </c>
      <c r="H4" s="80" t="inlineStr">
        <is>
          <t>Rendimento</t>
        </is>
      </c>
    </row>
    <row r="5">
      <c r="A5" s="34" t="n"/>
      <c r="B5" s="255" t="n"/>
      <c r="G5" s="37" t="n"/>
      <c r="H5" s="34" t="n"/>
    </row>
    <row r="6">
      <c r="A6" s="205" t="n"/>
      <c r="B6" s="256" t="n"/>
      <c r="C6" s="30" t="n"/>
      <c r="D6" s="93" t="n"/>
      <c r="E6" s="30" t="n"/>
      <c r="F6" s="257" t="n"/>
      <c r="G6" s="258" t="n">
        <v>1500</v>
      </c>
      <c r="H6" s="35" t="n">
        <v>1</v>
      </c>
    </row>
    <row r="7">
      <c r="A7" s="33" t="inlineStr">
        <is>
          <t>AGENTE</t>
        </is>
      </c>
    </row>
    <row r="8">
      <c r="A8" s="43" t="n"/>
    </row>
    <row r="9">
      <c r="A9" s="24" t="inlineStr">
        <is>
          <t>DESCRIÇÃO DO ARTIGO</t>
        </is>
      </c>
      <c r="B9" s="25" t="n"/>
      <c r="C9" s="25" t="n"/>
      <c r="D9" s="25" t="n"/>
      <c r="E9" s="25" t="n"/>
      <c r="F9" s="259" t="n"/>
      <c r="G9" s="25" t="n"/>
      <c r="H9" s="27" t="n"/>
    </row>
    <row r="10">
      <c r="A10" s="260">
        <f>B6</f>
        <v/>
      </c>
      <c r="F10" s="252" t="n"/>
      <c r="H10" s="23" t="n"/>
    </row>
    <row r="11">
      <c r="A11" s="261" t="n"/>
      <c r="H11" s="262" t="n"/>
    </row>
    <row r="12">
      <c r="A12" s="263" t="n"/>
      <c r="H12" s="262" t="n"/>
    </row>
    <row r="13">
      <c r="A13" s="263" t="n"/>
      <c r="H13" s="262" t="n"/>
    </row>
    <row r="14">
      <c r="A14" s="263" t="n"/>
      <c r="H14" s="262" t="n"/>
      <c r="K14" s="264" t="n"/>
    </row>
    <row r="15">
      <c r="A15" s="265" t="n"/>
      <c r="B15" s="266" t="n"/>
      <c r="C15" s="266" t="n"/>
      <c r="D15" s="266" t="n"/>
      <c r="E15" s="266" t="n"/>
      <c r="F15" s="266" t="n"/>
      <c r="G15" s="266" t="n"/>
      <c r="H15" s="267" t="n"/>
      <c r="K15" s="264" t="n"/>
    </row>
    <row r="16">
      <c r="A16" s="1" t="n"/>
      <c r="B16" s="16" t="n"/>
      <c r="C16" s="16" t="n"/>
      <c r="D16" s="16" t="n"/>
      <c r="E16" s="16" t="n"/>
      <c r="F16" s="268" t="n"/>
      <c r="H16" s="16" t="n"/>
      <c r="K16" s="264" t="n"/>
    </row>
    <row r="17">
      <c r="A17" s="24" t="n"/>
      <c r="B17" s="33" t="n"/>
      <c r="C17" s="24" t="n"/>
      <c r="D17" s="27" t="n"/>
      <c r="E17" s="33" t="n"/>
      <c r="F17" s="269" t="inlineStr">
        <is>
          <t>Prezzo</t>
        </is>
      </c>
      <c r="G17" s="33" t="n"/>
      <c r="H17" s="270" t="n"/>
      <c r="K17" s="264" t="n"/>
    </row>
    <row r="18">
      <c r="A18" s="29" t="n"/>
      <c r="B18" s="44" t="inlineStr">
        <is>
          <t>Quantidade</t>
        </is>
      </c>
      <c r="C18" s="29" t="n"/>
      <c r="D18" s="32" t="n"/>
      <c r="E18" s="35" t="n"/>
      <c r="F18" s="271" t="inlineStr">
        <is>
          <t>Unitario</t>
        </is>
      </c>
      <c r="G18" s="35" t="n"/>
      <c r="H18" s="272" t="inlineStr">
        <is>
          <t>Valor</t>
        </is>
      </c>
    </row>
    <row r="19" ht="15" customHeight="1">
      <c r="A19" s="41" t="inlineStr">
        <is>
          <t>PROJETO/ENGENHARIA</t>
        </is>
      </c>
      <c r="B19" s="129" t="n"/>
      <c r="C19" s="41" t="n"/>
      <c r="D19" s="42" t="n"/>
      <c r="E19" s="40" t="n"/>
      <c r="F19" s="130" t="n">
        <v>50</v>
      </c>
      <c r="G19" s="40" t="n"/>
      <c r="H19" s="131">
        <f>F19*B19</f>
        <v/>
      </c>
    </row>
    <row r="20" ht="15" customHeight="1">
      <c r="A20" s="41" t="inlineStr">
        <is>
          <t>AMOSTRAS</t>
        </is>
      </c>
      <c r="B20" s="129" t="n"/>
      <c r="C20" s="41" t="n"/>
      <c r="D20" s="42" t="n"/>
      <c r="E20" s="40" t="n"/>
      <c r="F20" s="130" t="n"/>
      <c r="G20" s="40" t="n"/>
      <c r="H20" s="131">
        <f>F20*B20</f>
        <v/>
      </c>
    </row>
    <row r="21" ht="15" customHeight="1">
      <c r="A21" s="29" t="inlineStr">
        <is>
          <t>PROPOSTA CRIATIVA</t>
        </is>
      </c>
      <c r="B21" s="132" t="n"/>
      <c r="C21" s="29" t="n"/>
      <c r="D21" s="32" t="n"/>
      <c r="E21" s="35" t="n"/>
      <c r="F21" s="133" t="n">
        <v>60</v>
      </c>
      <c r="G21" s="35" t="n"/>
      <c r="H21" s="131">
        <f>F21*B21</f>
        <v/>
      </c>
    </row>
    <row r="22" ht="15" customHeight="1" thickBot="1">
      <c r="A22" s="29" t="inlineStr">
        <is>
          <t>CROMALIN</t>
        </is>
      </c>
      <c r="B22" s="132" t="n"/>
      <c r="C22" s="29" t="n"/>
      <c r="D22" s="32" t="n"/>
      <c r="E22" s="35" t="n"/>
      <c r="F22" s="133" t="n">
        <v>100</v>
      </c>
      <c r="G22" s="35" t="n"/>
      <c r="H22" s="131">
        <f>F22*B22</f>
        <v/>
      </c>
    </row>
    <row r="23" ht="11.25" customHeight="1" thickBot="1">
      <c r="H23" s="134">
        <f>H22+H20+H21+H19</f>
        <v/>
      </c>
      <c r="I23" s="104">
        <f>H23*1.25</f>
        <v/>
      </c>
    </row>
    <row r="24" ht="15" customHeight="1">
      <c r="A24" s="33" t="n"/>
      <c r="B24" s="36" t="n"/>
      <c r="C24" s="24" t="n"/>
      <c r="D24" s="27" t="n"/>
      <c r="E24" s="33" t="n"/>
      <c r="F24" s="269" t="inlineStr">
        <is>
          <t>Prezzo</t>
        </is>
      </c>
      <c r="G24" s="273" t="n"/>
      <c r="H24" s="135" t="n"/>
    </row>
    <row r="25" ht="15" customHeight="1">
      <c r="A25" s="44" t="inlineStr">
        <is>
          <t>MATERIAIS</t>
        </is>
      </c>
      <c r="B25" s="44" t="inlineStr">
        <is>
          <t>Quantidade</t>
        </is>
      </c>
      <c r="C25" s="53" t="inlineStr">
        <is>
          <t xml:space="preserve">                Formato</t>
        </is>
      </c>
      <c r="D25" s="32" t="n"/>
      <c r="E25" s="54" t="inlineStr">
        <is>
          <t xml:space="preserve">Gr </t>
        </is>
      </c>
      <c r="F25" s="271" t="inlineStr">
        <is>
          <t>Unitario</t>
        </is>
      </c>
      <c r="G25" s="274" t="inlineStr">
        <is>
          <t>Peso - m²</t>
        </is>
      </c>
      <c r="H25" s="136" t="inlineStr">
        <is>
          <t>Valor</t>
        </is>
      </c>
    </row>
    <row r="26" ht="15" customHeight="1">
      <c r="A26" s="40" t="inlineStr">
        <is>
          <t>TbM/34/E</t>
        </is>
      </c>
      <c r="B26" s="137" t="n"/>
      <c r="C26" s="41" t="n"/>
      <c r="D26" s="41" t="n"/>
      <c r="E26" s="182" t="n"/>
      <c r="F26" s="130" t="n"/>
      <c r="G26" s="275">
        <f>((C26/1000)*(D26/1000))*B26</f>
        <v/>
      </c>
      <c r="H26" s="138">
        <f>B26*C26/1000*D26/1000*F26</f>
        <v/>
      </c>
      <c r="I26" s="203" t="n"/>
    </row>
    <row r="27" ht="15" customHeight="1">
      <c r="A27" s="40" t="inlineStr">
        <is>
          <t>KMT/242/B fsc</t>
        </is>
      </c>
      <c r="B27" s="137" t="n"/>
      <c r="C27" s="41" t="n"/>
      <c r="D27" s="40" t="n"/>
      <c r="E27" s="182" t="n"/>
      <c r="F27" s="130" t="n"/>
      <c r="G27" s="275">
        <f>((C27/1000)*(D27/1000))*B27</f>
        <v/>
      </c>
      <c r="H27" s="138">
        <f>B27*C27/1000*D27/1000*F27</f>
        <v/>
      </c>
      <c r="I27" s="203" t="n"/>
    </row>
    <row r="28" ht="15" customHeight="1">
      <c r="A28" s="40" t="inlineStr">
        <is>
          <t>TMFM/24242/EB fsc</t>
        </is>
      </c>
      <c r="B28" s="137" t="n"/>
      <c r="C28" s="41" t="n"/>
      <c r="D28" s="41" t="n"/>
      <c r="E28" s="182" t="n"/>
      <c r="F28" s="130" t="n"/>
      <c r="G28" s="275">
        <f>((C28/1000)*(D28/1000))*B28</f>
        <v/>
      </c>
      <c r="H28" s="138">
        <f>B28*C28/1000*D28/1000*F28</f>
        <v/>
      </c>
      <c r="I28" s="203" t="n"/>
    </row>
    <row r="29" ht="15" customHeight="1">
      <c r="A29" s="40" t="inlineStr">
        <is>
          <t>BpMFMT/64243/EB fsc</t>
        </is>
      </c>
      <c r="B29" s="137" t="n"/>
      <c r="C29" s="41" t="n"/>
      <c r="D29" s="40" t="n"/>
      <c r="E29" s="182" t="n"/>
      <c r="F29" s="130" t="n"/>
      <c r="G29" s="275">
        <f>((C29/1000)*(D29/1000))*B29</f>
        <v/>
      </c>
      <c r="H29" s="138">
        <f>B29*C29/1000*D29/1000*F29</f>
        <v/>
      </c>
      <c r="I29" s="203" t="n"/>
    </row>
    <row r="30" ht="15" customHeight="1">
      <c r="A30" s="40" t="inlineStr">
        <is>
          <t>Cartoncino tipo fsc</t>
        </is>
      </c>
      <c r="B30" s="137" t="n"/>
      <c r="C30" s="41">
        <f>C26+7</f>
        <v/>
      </c>
      <c r="D30" s="41">
        <f>D26+7</f>
        <v/>
      </c>
      <c r="E30" s="40" t="n"/>
      <c r="F30" s="130" t="n"/>
      <c r="G30" s="276">
        <f>B30*C30/1000*D30/1000*E30/1000</f>
        <v/>
      </c>
      <c r="H30" s="138">
        <f>B30*C30/1000*D30/1000*E30/1000*F30</f>
        <v/>
      </c>
      <c r="I30" s="203" t="n"/>
    </row>
    <row r="31" ht="15" customHeight="1">
      <c r="A31" s="40" t="inlineStr">
        <is>
          <t>Cartoncino tipo fsc</t>
        </is>
      </c>
      <c r="B31" s="137" t="n"/>
      <c r="C31" s="41">
        <f>C27+7</f>
        <v/>
      </c>
      <c r="D31" s="41">
        <f>D27+7</f>
        <v/>
      </c>
      <c r="E31" s="40" t="n"/>
      <c r="F31" s="130" t="n"/>
      <c r="G31" s="276">
        <f>B31*C31/1000*D31/1000*E31/1000</f>
        <v/>
      </c>
      <c r="H31" s="138">
        <f>B31*C31/1000*D31/1000*E31/1000*F31</f>
        <v/>
      </c>
      <c r="I31" s="203" t="n"/>
    </row>
    <row r="32" ht="15" customHeight="1">
      <c r="A32" s="40" t="inlineStr">
        <is>
          <t>Cartoncino tipo fsc</t>
        </is>
      </c>
      <c r="B32" s="137" t="n"/>
      <c r="C32" s="41">
        <f>C28+7</f>
        <v/>
      </c>
      <c r="D32" s="41">
        <f>D28+7</f>
        <v/>
      </c>
      <c r="E32" s="40" t="n"/>
      <c r="F32" s="130" t="n"/>
      <c r="G32" s="276">
        <f>B32*C32/1000*D32/1000*E32/1000</f>
        <v/>
      </c>
      <c r="H32" s="138">
        <f>B32*C32/1000*D32/1000*E32/1000*F32</f>
        <v/>
      </c>
      <c r="I32" s="203" t="n"/>
    </row>
    <row r="33" ht="15" customHeight="1">
      <c r="A33" s="40" t="inlineStr">
        <is>
          <t>LAMINILL prezzo/mq Listino 2019</t>
        </is>
      </c>
      <c r="B33" s="137" t="n"/>
      <c r="C33" s="41" t="n"/>
      <c r="D33" s="40" t="n"/>
      <c r="E33" s="40" t="n"/>
      <c r="F33" s="130" t="n"/>
      <c r="G33" s="276" t="n"/>
      <c r="H33" s="138">
        <f>B33*C33/1000*D33/1000*F33</f>
        <v/>
      </c>
      <c r="I33" s="203" t="n"/>
    </row>
    <row r="34" ht="15" customHeight="1">
      <c r="A34" s="40" t="inlineStr">
        <is>
          <t>CARTONE PESTO</t>
        </is>
      </c>
      <c r="B34" s="137" t="n"/>
      <c r="C34" s="41" t="n"/>
      <c r="D34" s="40" t="n"/>
      <c r="E34" s="40" t="n"/>
      <c r="F34" s="130" t="n"/>
      <c r="G34" s="276">
        <f>B34*C34/1000*D34/1000*E34/1000</f>
        <v/>
      </c>
      <c r="H34" s="138">
        <f>B34*C34/1000*D34/1000*E34/1000*F34</f>
        <v/>
      </c>
      <c r="I34" s="203" t="n"/>
    </row>
    <row r="35" ht="15" customHeight="1">
      <c r="A35" s="40" t="n"/>
      <c r="B35" s="137" t="n"/>
      <c r="C35" s="41" t="n"/>
      <c r="D35" s="40" t="n"/>
      <c r="E35" s="40" t="n"/>
      <c r="F35" s="130" t="n"/>
      <c r="G35" s="276" t="n"/>
      <c r="H35" s="138">
        <f>B35*F35</f>
        <v/>
      </c>
      <c r="I35" s="203" t="n"/>
    </row>
    <row r="36" ht="15" customHeight="1">
      <c r="A36" s="204" t="n"/>
      <c r="B36" s="137" t="n"/>
      <c r="C36" s="41" t="n"/>
      <c r="D36" s="40" t="n"/>
      <c r="E36" s="40" t="n"/>
      <c r="F36" s="130" t="n"/>
      <c r="G36" s="276" t="n"/>
      <c r="H36" s="138">
        <f>B36*F36</f>
        <v/>
      </c>
      <c r="I36" s="203" t="n"/>
    </row>
    <row r="37" ht="15" customHeight="1">
      <c r="A37" s="40" t="n"/>
      <c r="B37" s="137" t="n"/>
      <c r="C37" s="41" t="n"/>
      <c r="D37" s="40" t="n"/>
      <c r="E37" s="40" t="n"/>
      <c r="F37" s="130" t="n"/>
      <c r="G37" s="276" t="n"/>
      <c r="H37" s="138">
        <f>B37*F37</f>
        <v/>
      </c>
      <c r="I37" s="203" t="n"/>
    </row>
    <row r="38" ht="15" customHeight="1">
      <c r="A38" s="40" t="inlineStr">
        <is>
          <t>Etichetta</t>
        </is>
      </c>
      <c r="B38" s="137" t="n"/>
      <c r="C38" s="41" t="n"/>
      <c r="D38" s="40" t="n"/>
      <c r="E38" s="40" t="n"/>
      <c r="F38" s="130" t="n"/>
      <c r="G38" s="276" t="n"/>
      <c r="H38" s="138">
        <f>B38*F38</f>
        <v/>
      </c>
      <c r="I38" s="203" t="n"/>
    </row>
    <row r="39" ht="15" customHeight="1" thickBot="1">
      <c r="A39" s="40" t="inlineStr">
        <is>
          <t xml:space="preserve">scatola Master </t>
        </is>
      </c>
      <c r="B39" s="137" t="n"/>
      <c r="C39" s="41" t="n"/>
      <c r="D39" s="40" t="n"/>
      <c r="E39" s="40" t="n"/>
      <c r="F39" s="130" t="n"/>
      <c r="G39" s="275">
        <f>((C39/1000)*(D39/1000))*B39</f>
        <v/>
      </c>
      <c r="H39" s="138">
        <f>B39*C39/1000*D39/1000*F39</f>
        <v/>
      </c>
      <c r="I39" s="203" t="n"/>
    </row>
    <row r="40" ht="15" customHeight="1" thickBot="1">
      <c r="B40" s="8" t="n"/>
      <c r="D40" s="1" t="n"/>
      <c r="H40" s="139">
        <f>SUM(H26:H39)</f>
        <v/>
      </c>
      <c r="I40" s="104">
        <f>H40*1.15</f>
        <v/>
      </c>
    </row>
    <row r="41" ht="15" customHeight="1">
      <c r="A41" s="24" t="n"/>
      <c r="B41" s="62" t="inlineStr">
        <is>
          <t>Quantidade</t>
        </is>
      </c>
      <c r="C41" s="24" t="n"/>
      <c r="D41" s="27" t="n"/>
      <c r="E41" s="58" t="n"/>
      <c r="F41" s="269" t="inlineStr">
        <is>
          <t>Prezzo</t>
        </is>
      </c>
      <c r="G41" s="59" t="n"/>
      <c r="H41" s="140" t="n"/>
    </row>
    <row r="42" ht="15" customHeight="1">
      <c r="A42" s="38" t="inlineStr">
        <is>
          <t>SERVIÇOS EXTERNOS</t>
        </is>
      </c>
      <c r="B42" s="60" t="n"/>
      <c r="C42" s="53" t="inlineStr">
        <is>
          <t xml:space="preserve">                Formato</t>
        </is>
      </c>
      <c r="D42" s="32" t="n"/>
      <c r="E42" s="180" t="n"/>
      <c r="F42" s="271" t="inlineStr">
        <is>
          <t>Unitario</t>
        </is>
      </c>
      <c r="G42" s="61" t="n"/>
      <c r="H42" s="136" t="inlineStr">
        <is>
          <t>Valor</t>
        </is>
      </c>
    </row>
    <row r="43" ht="15" customHeight="1">
      <c r="A43" s="40" t="inlineStr">
        <is>
          <t xml:space="preserve">Stampa a fg </t>
        </is>
      </c>
      <c r="B43" s="137" t="n"/>
      <c r="C43" s="41">
        <f>C30</f>
        <v/>
      </c>
      <c r="D43" s="41">
        <f>D30</f>
        <v/>
      </c>
      <c r="E43" s="40" t="n"/>
      <c r="F43" s="141">
        <f>((748*1)+((B43-(3000*1))*(0.117)))/B43</f>
        <v/>
      </c>
      <c r="G43" s="63" t="n"/>
      <c r="H43" s="142" t="n"/>
      <c r="I43" s="189" t="n"/>
    </row>
    <row r="44" ht="15" customHeight="1">
      <c r="A44" s="40" t="inlineStr">
        <is>
          <t>Stampa a fg</t>
        </is>
      </c>
      <c r="B44" s="137" t="n"/>
      <c r="C44" s="41">
        <f>C31</f>
        <v/>
      </c>
      <c r="D44" s="41">
        <f>D31</f>
        <v/>
      </c>
      <c r="E44" s="40" t="n"/>
      <c r="F44" s="141">
        <f>((748*1)+((B44-(3000*1))*(0.117)))/B44</f>
        <v/>
      </c>
      <c r="G44" s="63" t="n"/>
      <c r="H44" s="142" t="n"/>
      <c r="I44" s="189" t="n"/>
    </row>
    <row r="45" ht="15" customHeight="1">
      <c r="A45" s="40" t="inlineStr">
        <is>
          <t xml:space="preserve">Stampa a fg  </t>
        </is>
      </c>
      <c r="B45" s="137" t="n"/>
      <c r="C45" s="41">
        <f>C32</f>
        <v/>
      </c>
      <c r="D45" s="41">
        <f>D32</f>
        <v/>
      </c>
      <c r="E45" s="40" t="n"/>
      <c r="F45" s="141">
        <f>((748*1)+((B45-(3000*1))*(0.117)))/B45</f>
        <v/>
      </c>
      <c r="G45" s="63" t="n"/>
      <c r="H45" s="142" t="n"/>
      <c r="I45" s="189" t="n"/>
    </row>
    <row r="46" ht="15" customHeight="1">
      <c r="A46" s="40" t="inlineStr">
        <is>
          <t>Lavagem de tintas + pantone</t>
        </is>
      </c>
      <c r="B46" s="137" t="n"/>
      <c r="C46" s="41" t="n"/>
      <c r="D46" s="40" t="n"/>
      <c r="E46" s="40" t="n"/>
      <c r="F46" s="143" t="n"/>
      <c r="G46" s="63" t="n"/>
      <c r="H46" s="142">
        <f>+B46*F46</f>
        <v/>
      </c>
      <c r="I46" s="189" t="n"/>
    </row>
    <row r="47" ht="15" customHeight="1">
      <c r="A47" s="40" t="inlineStr">
        <is>
          <t>Chapa para verniz com reserva</t>
        </is>
      </c>
      <c r="B47" s="137" t="n"/>
      <c r="C47" s="41" t="n"/>
      <c r="D47" s="40" t="n"/>
      <c r="E47" s="40" t="n"/>
      <c r="F47" s="143" t="n"/>
      <c r="G47" s="63" t="n"/>
      <c r="H47" s="142">
        <f>B47*F47</f>
        <v/>
      </c>
      <c r="I47" s="189" t="n"/>
    </row>
    <row r="48" ht="15" customHeight="1">
      <c r="A48" s="40" t="inlineStr">
        <is>
          <t>verniciatura AVV.TO</t>
        </is>
      </c>
      <c r="B48" s="137" t="n"/>
      <c r="C48" s="41" t="n"/>
      <c r="D48" s="41" t="n"/>
      <c r="E48" s="40" t="n"/>
      <c r="F48" s="143" t="n"/>
      <c r="G48" s="63" t="n"/>
      <c r="H48" s="142">
        <f>B48*F48</f>
        <v/>
      </c>
      <c r="I48" s="189" t="n"/>
    </row>
    <row r="49" ht="15" customHeight="1">
      <c r="A49" s="40" t="inlineStr">
        <is>
          <t xml:space="preserve">Verniciatura al mq </t>
        </is>
      </c>
      <c r="B49" s="137" t="n"/>
      <c r="C49" s="41" t="n"/>
      <c r="D49" s="40" t="n"/>
      <c r="E49" s="40" t="n"/>
      <c r="F49" s="143" t="n"/>
      <c r="G49" s="63" t="n"/>
      <c r="H49" s="142">
        <f>B49*C49/1000*D49/1000*F49</f>
        <v/>
      </c>
      <c r="I49" s="189" t="n"/>
    </row>
    <row r="50" ht="15" customHeight="1">
      <c r="A50" s="40" t="inlineStr">
        <is>
          <t>Plastificazione LUCIDA</t>
        </is>
      </c>
      <c r="B50" s="137">
        <f>B43*0.98</f>
        <v/>
      </c>
      <c r="C50" s="41">
        <f>C30</f>
        <v/>
      </c>
      <c r="D50" s="41">
        <f>D30</f>
        <v/>
      </c>
      <c r="E50" s="40" t="n"/>
      <c r="F50" s="143" t="n"/>
      <c r="G50" s="63" t="n"/>
      <c r="H50" s="142">
        <f>B50*C50/1000*D50/1000*F50</f>
        <v/>
      </c>
      <c r="I50" s="189" t="n"/>
    </row>
    <row r="51" ht="15" customHeight="1">
      <c r="A51" s="40" t="inlineStr">
        <is>
          <t>douração a quente avulso</t>
        </is>
      </c>
      <c r="B51" s="137" t="n"/>
      <c r="C51" s="41" t="n"/>
      <c r="D51" s="40" t="n"/>
      <c r="E51" s="40" t="n"/>
      <c r="F51" s="143" t="n"/>
      <c r="G51" s="63" t="n"/>
      <c r="H51" s="142">
        <f>B51*F51</f>
        <v/>
      </c>
      <c r="I51" s="189" t="n"/>
    </row>
    <row r="52" ht="15" customHeight="1">
      <c r="A52" s="40" t="inlineStr">
        <is>
          <t>douração a quente por passagem</t>
        </is>
      </c>
      <c r="B52" s="137" t="n"/>
      <c r="C52" s="41" t="n"/>
      <c r="D52" s="40" t="n"/>
      <c r="E52" s="63" t="n"/>
      <c r="F52" s="144" t="n"/>
      <c r="G52" s="63" t="n"/>
      <c r="H52" s="142">
        <f>B52*F52</f>
        <v/>
      </c>
      <c r="I52" s="189" t="n"/>
    </row>
    <row r="53" ht="15" customHeight="1">
      <c r="A53" s="40" t="inlineStr">
        <is>
          <t>Serigrafia lucida</t>
        </is>
      </c>
      <c r="B53" s="137" t="n"/>
      <c r="C53" s="41" t="n"/>
      <c r="D53" s="40" t="n"/>
      <c r="E53" s="63" t="n"/>
      <c r="F53" s="144" t="n"/>
      <c r="G53" s="92" t="n"/>
      <c r="H53" s="142">
        <f>B53*F53</f>
        <v/>
      </c>
      <c r="I53" s="189" t="n"/>
    </row>
    <row r="54" ht="15" customHeight="1">
      <c r="A54" s="40" t="n"/>
      <c r="B54" s="137" t="n"/>
      <c r="C54" s="41" t="n"/>
      <c r="D54" s="40" t="n"/>
      <c r="E54" s="63" t="n"/>
      <c r="F54" s="144" t="n"/>
      <c r="G54" s="92" t="n"/>
      <c r="H54" s="142">
        <f>B54*F54</f>
        <v/>
      </c>
      <c r="I54" s="189" t="n"/>
    </row>
    <row r="55" ht="15" customHeight="1">
      <c r="A55" s="40" t="n"/>
      <c r="B55" s="137" t="n"/>
      <c r="C55" s="41" t="n"/>
      <c r="D55" s="40" t="n"/>
      <c r="E55" s="63" t="n"/>
      <c r="F55" s="144" t="n"/>
      <c r="G55" s="92" t="n"/>
      <c r="H55" s="142">
        <f>B55*F55</f>
        <v/>
      </c>
      <c r="I55" s="189" t="n"/>
    </row>
    <row r="56" ht="15" customHeight="1">
      <c r="A56" s="40" t="n"/>
      <c r="B56" s="137" t="n"/>
      <c r="C56" s="41" t="n"/>
      <c r="D56" s="40" t="n"/>
      <c r="E56" s="63" t="n"/>
      <c r="F56" s="144" t="n"/>
      <c r="G56" s="92" t="n"/>
      <c r="H56" s="142">
        <f>B56*F56</f>
        <v/>
      </c>
      <c r="I56" s="189" t="n"/>
    </row>
    <row r="57" ht="15" customHeight="1">
      <c r="A57" s="40" t="n"/>
      <c r="B57" s="137" t="n"/>
      <c r="C57" s="41" t="n"/>
      <c r="D57" s="40" t="n"/>
      <c r="E57" s="40" t="n"/>
      <c r="F57" s="143" t="n"/>
      <c r="G57" s="63" t="n"/>
      <c r="H57" s="142">
        <f>B57*F57</f>
        <v/>
      </c>
      <c r="I57" s="189" t="n"/>
    </row>
    <row r="58" ht="15" customHeight="1" thickBot="1">
      <c r="A58" s="40" t="inlineStr">
        <is>
          <t xml:space="preserve">TRANSPORTES </t>
        </is>
      </c>
      <c r="B58" s="137" t="n"/>
      <c r="C58" s="41" t="n"/>
      <c r="D58" s="40" t="n"/>
      <c r="E58" s="40" t="n"/>
      <c r="F58" s="143" t="n"/>
      <c r="G58" s="63" t="n"/>
      <c r="H58" s="142">
        <f>B58*F58</f>
        <v/>
      </c>
      <c r="I58" s="189" t="n"/>
    </row>
    <row r="59" ht="12.75" customHeight="1" thickBot="1">
      <c r="B59" s="8" t="n"/>
      <c r="G59" s="15" t="n"/>
      <c r="H59" s="134">
        <f>SUM(H43:H58)</f>
        <v/>
      </c>
      <c r="I59" s="104">
        <f>H59*1.15</f>
        <v/>
      </c>
    </row>
    <row r="60">
      <c r="A60" s="2" t="n"/>
      <c r="B60" s="22" t="n"/>
      <c r="C60" s="5" t="n"/>
      <c r="D60" s="5" t="n"/>
      <c r="E60" s="3" t="n"/>
      <c r="F60" s="253" t="n"/>
      <c r="G60" s="5" t="n"/>
      <c r="H60" s="145" t="inlineStr">
        <is>
          <t>DATA</t>
        </is>
      </c>
    </row>
    <row r="61" ht="23.25" customHeight="1">
      <c r="A61" s="9">
        <f>A2</f>
        <v/>
      </c>
      <c r="B61" s="23" t="n"/>
      <c r="D61" s="10" t="inlineStr">
        <is>
          <t>MÓDULO DE ORÇAMENTO</t>
        </is>
      </c>
      <c r="E61" s="1" t="n"/>
      <c r="H61" s="146" t="n"/>
    </row>
    <row r="62" ht="13.5" customHeight="1" thickBot="1">
      <c r="A62" s="100" t="n"/>
      <c r="B62" s="101" t="n"/>
      <c r="C62" s="102" t="n"/>
      <c r="D62" s="102" t="n"/>
      <c r="E62" s="102" t="n"/>
      <c r="F62" s="277" t="n"/>
      <c r="G62" s="102" t="n"/>
      <c r="H62" s="165">
        <f>H2</f>
        <v/>
      </c>
    </row>
    <row r="63">
      <c r="A63" s="34" t="inlineStr">
        <is>
          <t>CLIENTE:</t>
        </is>
      </c>
      <c r="B63" s="1" t="inlineStr">
        <is>
          <t>Ref./Cód. do Artigo</t>
        </is>
      </c>
      <c r="D63" s="1" t="n"/>
      <c r="E63" s="1" t="n"/>
      <c r="G63" s="79" t="inlineStr">
        <is>
          <t>Quantidade</t>
        </is>
      </c>
      <c r="H63" s="147" t="inlineStr">
        <is>
          <t>Rendimento</t>
        </is>
      </c>
    </row>
    <row r="64">
      <c r="A64" s="34" t="n"/>
      <c r="B64" s="255" t="n"/>
      <c r="G64" s="37" t="n"/>
      <c r="H64" s="148" t="n"/>
    </row>
    <row r="65">
      <c r="A65" s="35">
        <f>A6</f>
        <v/>
      </c>
      <c r="B65" s="278">
        <f>B6</f>
        <v/>
      </c>
      <c r="C65" s="30" t="n"/>
      <c r="D65" s="93" t="n"/>
      <c r="E65" s="30" t="n"/>
      <c r="F65" s="257" t="n"/>
      <c r="G65" s="49">
        <f>G6</f>
        <v/>
      </c>
      <c r="H65" s="35">
        <f>H6</f>
        <v/>
      </c>
    </row>
    <row r="66">
      <c r="A66" s="1" t="n"/>
      <c r="B66" s="8" t="n"/>
      <c r="F66" s="279" t="n"/>
      <c r="H66" s="149" t="n"/>
    </row>
    <row r="67">
      <c r="B67" s="8" t="n"/>
      <c r="G67" s="15" t="n"/>
      <c r="H67" s="150" t="n"/>
    </row>
    <row r="68">
      <c r="A68" s="33" t="n"/>
      <c r="B68" s="62" t="inlineStr">
        <is>
          <t>Quantidade</t>
        </is>
      </c>
      <c r="C68" s="24" t="n"/>
      <c r="D68" s="27" t="n"/>
      <c r="E68" s="33" t="n"/>
      <c r="F68" s="269" t="inlineStr">
        <is>
          <t>Prezzo</t>
        </is>
      </c>
      <c r="G68" s="195" t="n"/>
      <c r="H68" s="135" t="n"/>
    </row>
    <row r="69">
      <c r="A69" s="43" t="inlineStr">
        <is>
          <t>SERVIÇOS INTERNOS</t>
        </is>
      </c>
      <c r="B69" s="49" t="n"/>
      <c r="C69" s="53" t="inlineStr">
        <is>
          <t xml:space="preserve">                Formato</t>
        </is>
      </c>
      <c r="D69" s="32" t="n"/>
      <c r="E69" s="181" t="inlineStr">
        <is>
          <t>m²</t>
        </is>
      </c>
      <c r="F69" s="271" t="inlineStr">
        <is>
          <t>Unitario</t>
        </is>
      </c>
      <c r="G69" s="196" t="inlineStr">
        <is>
          <t>Mínimos</t>
        </is>
      </c>
      <c r="H69" s="136" t="inlineStr">
        <is>
          <t>Valor</t>
        </is>
      </c>
    </row>
    <row r="70" ht="15" customHeight="1">
      <c r="A70" s="40" t="inlineStr">
        <is>
          <t>Acoplagem avulso</t>
        </is>
      </c>
      <c r="B70" s="151" t="n"/>
      <c r="C70" s="41" t="n"/>
      <c r="D70" s="40" t="n"/>
      <c r="E70" s="35" t="n"/>
      <c r="F70" s="152" t="n"/>
      <c r="G70" s="197" t="n"/>
      <c r="H70" s="138">
        <f>B70*F70</f>
        <v/>
      </c>
      <c r="I70" s="189" t="n"/>
    </row>
    <row r="71" ht="15" customHeight="1">
      <c r="A71" s="40" t="inlineStr">
        <is>
          <t>Acoplagem frente</t>
        </is>
      </c>
      <c r="B71" s="137" t="n"/>
      <c r="C71" s="41">
        <f>C30</f>
        <v/>
      </c>
      <c r="D71" s="41">
        <f>D30</f>
        <v/>
      </c>
      <c r="E71" s="182">
        <f>((C71/1000)*(D71/1000))*B71</f>
        <v/>
      </c>
      <c r="F71" s="152" t="n"/>
      <c r="G71" s="198">
        <f>IF(B71*C71/1000*D71/1000*F71&gt;40, B71*C71/1000*D71/1000*F71, 40)</f>
        <v/>
      </c>
      <c r="H71" s="138">
        <f>B71*C71/1000*D71/1000*F71</f>
        <v/>
      </c>
      <c r="I71" s="189" t="n"/>
    </row>
    <row r="72" ht="15" customHeight="1">
      <c r="A72" s="40" t="inlineStr">
        <is>
          <t>Acoplagem verso</t>
        </is>
      </c>
      <c r="B72" s="137" t="n"/>
      <c r="C72" s="41">
        <f>C51</f>
        <v/>
      </c>
      <c r="D72" s="41">
        <f>D51</f>
        <v/>
      </c>
      <c r="E72" s="182">
        <f>((C72/1000)*(D72/1000))*B72</f>
        <v/>
      </c>
      <c r="F72" s="152" t="n"/>
      <c r="G72" s="198">
        <f>IF(B72*C72/1000*D72/1000*F72&gt;40, B72*C72/1000*D72/1000*F72, 40)</f>
        <v/>
      </c>
      <c r="H72" s="138">
        <f>B72*C72/1000*D72/1000*F72</f>
        <v/>
      </c>
      <c r="I72" s="189" t="n"/>
    </row>
    <row r="73" ht="15" customHeight="1">
      <c r="A73" s="40" t="inlineStr">
        <is>
          <t>Flexo HD avulso frente</t>
        </is>
      </c>
      <c r="B73" s="137" t="n"/>
      <c r="C73" s="41" t="n"/>
      <c r="D73" s="41" t="n"/>
      <c r="E73" s="40" t="n"/>
      <c r="F73" s="152" t="n"/>
      <c r="G73" s="198" t="n"/>
      <c r="H73" s="138">
        <f>B73*F73</f>
        <v/>
      </c>
      <c r="I73" s="189" t="n"/>
    </row>
    <row r="74" ht="15" customHeight="1">
      <c r="A74" s="40" t="inlineStr">
        <is>
          <t>Flexo HD passagem frente</t>
        </is>
      </c>
      <c r="B74" s="137" t="n"/>
      <c r="C74" s="41" t="n"/>
      <c r="D74" s="41" t="n"/>
      <c r="E74" s="40" t="n"/>
      <c r="F74" s="152" t="n"/>
      <c r="G74" s="198">
        <f>IF(B74*F74&gt;40, B74*F74, 100)</f>
        <v/>
      </c>
      <c r="H74" s="138">
        <f>B74*F74</f>
        <v/>
      </c>
      <c r="I74" s="189" t="n"/>
    </row>
    <row r="75" ht="15" customHeight="1">
      <c r="A75" s="40" t="inlineStr">
        <is>
          <t>Espalmação</t>
        </is>
      </c>
      <c r="B75" s="137" t="n"/>
      <c r="C75" s="41" t="n"/>
      <c r="D75" s="40" t="n"/>
      <c r="E75" s="40" t="n"/>
      <c r="F75" s="152" t="n">
        <v>3.2</v>
      </c>
      <c r="G75" s="198">
        <f>IF(B75*F75&gt;40, B75*F75, 100)</f>
        <v/>
      </c>
      <c r="H75" s="138">
        <f>(B75*C75/1000*D75/1000*80*F75/1000)</f>
        <v/>
      </c>
      <c r="I75" s="189" t="n"/>
    </row>
    <row r="76" ht="15" customHeight="1">
      <c r="A76" s="40" t="inlineStr">
        <is>
          <t>CORTE-VINCO AVULSO</t>
        </is>
      </c>
      <c r="B76" s="137" t="n"/>
      <c r="C76" s="41" t="n"/>
      <c r="D76" s="41" t="n"/>
      <c r="E76" s="40" t="n"/>
      <c r="F76" s="152" t="n"/>
      <c r="G76" s="198" t="n"/>
      <c r="H76" s="138">
        <f>B76*F76</f>
        <v/>
      </c>
      <c r="I76" s="189" t="n"/>
    </row>
    <row r="77" ht="15" customHeight="1">
      <c r="A77" s="40" t="inlineStr">
        <is>
          <t>CORTE-VINCO POR PASSAGEM</t>
        </is>
      </c>
      <c r="B77" s="137" t="n"/>
      <c r="C77" s="41" t="n"/>
      <c r="D77" s="41" t="n"/>
      <c r="E77" s="40" t="n"/>
      <c r="F77" s="152" t="n"/>
      <c r="G77" s="198">
        <f>IF(B77*F77&gt;40, B77*F77, 100)</f>
        <v/>
      </c>
      <c r="H77" s="138">
        <f>B77*F77</f>
        <v/>
      </c>
      <c r="I77" s="189" t="n"/>
    </row>
    <row r="78" ht="15" customHeight="1">
      <c r="A78" s="40" t="inlineStr">
        <is>
          <t>Janelamento avulso</t>
        </is>
      </c>
      <c r="B78" s="137" t="n"/>
      <c r="C78" s="41" t="n"/>
      <c r="D78" s="40" t="n"/>
      <c r="E78" s="40" t="n"/>
      <c r="F78" s="152" t="n"/>
      <c r="G78" s="198" t="n"/>
      <c r="H78" s="138">
        <f>B78*F78</f>
        <v/>
      </c>
      <c r="I78" s="189" t="n"/>
    </row>
    <row r="79" ht="15" customHeight="1">
      <c r="A79" s="40" t="inlineStr">
        <is>
          <t>Janelamento por passagem</t>
        </is>
      </c>
      <c r="B79" s="137" t="n"/>
      <c r="C79" s="41" t="n"/>
      <c r="D79" s="40" t="n"/>
      <c r="E79" s="40" t="n"/>
      <c r="F79" s="152" t="n"/>
      <c r="G79" s="198">
        <f>IF(B79*F79&gt;40, B79*F79, 50)</f>
        <v/>
      </c>
      <c r="H79" s="138">
        <f>B79*F79</f>
        <v/>
      </c>
      <c r="I79" s="189" t="n"/>
    </row>
    <row r="80" ht="15" customHeight="1">
      <c r="A80" s="40" t="inlineStr">
        <is>
          <t>Colagem dobra-cola avulso</t>
        </is>
      </c>
      <c r="B80" s="137" t="n"/>
      <c r="C80" s="41" t="n"/>
      <c r="D80" s="40" t="n"/>
      <c r="E80" s="40" t="n"/>
      <c r="F80" s="152" t="n"/>
      <c r="G80" s="198" t="n"/>
      <c r="H80" s="138">
        <f>B80*F80</f>
        <v/>
      </c>
      <c r="I80" s="189" t="n"/>
    </row>
    <row r="81" ht="15" customFormat="1" customHeight="1" s="4">
      <c r="A81" s="40" t="inlineStr">
        <is>
          <t>Colagem dobra-cola por passagem</t>
        </is>
      </c>
      <c r="B81" s="137" t="n"/>
      <c r="C81" s="41" t="n"/>
      <c r="D81" s="40" t="n"/>
      <c r="E81" s="40" t="n"/>
      <c r="F81" s="152" t="n"/>
      <c r="G81" s="198">
        <f>IF(B81*F81&gt;40, B81*F81, 50)</f>
        <v/>
      </c>
      <c r="H81" s="138">
        <f>B81*F81</f>
        <v/>
      </c>
      <c r="I81" s="190" t="n"/>
    </row>
    <row r="82" ht="15" customFormat="1" customHeight="1" s="4">
      <c r="A82" s="40" t="inlineStr">
        <is>
          <t>Colagem manual de peça</t>
        </is>
      </c>
      <c r="B82" s="137" t="n"/>
      <c r="C82" s="41" t="n"/>
      <c r="D82" s="40" t="n"/>
      <c r="E82" s="40" t="n"/>
      <c r="F82" s="152" t="n"/>
      <c r="G82" s="198" t="n"/>
      <c r="H82" s="138">
        <f>B82*F82</f>
        <v/>
      </c>
      <c r="I82" s="190" t="n"/>
    </row>
    <row r="83" ht="15" customHeight="1">
      <c r="A83" s="40" t="inlineStr">
        <is>
          <t>Aplicação de biadesivo</t>
        </is>
      </c>
      <c r="B83" s="137" t="n"/>
      <c r="C83" s="41" t="n"/>
      <c r="D83" s="40" t="n"/>
      <c r="E83" s="40" t="n"/>
      <c r="F83" s="152" t="n"/>
      <c r="G83" s="198">
        <f>IF(B83*F83&gt;40, B83*F83, 30)</f>
        <v/>
      </c>
      <c r="H83" s="138">
        <f>B83*F83</f>
        <v/>
      </c>
      <c r="I83" s="189" t="n"/>
    </row>
    <row r="84" ht="15" customHeight="1">
      <c r="A84" s="40" t="inlineStr">
        <is>
          <t>casemaker avulso</t>
        </is>
      </c>
      <c r="B84" s="137" t="n"/>
      <c r="C84" s="41" t="n"/>
      <c r="D84" s="40" t="n"/>
      <c r="E84" s="40" t="n"/>
      <c r="F84" s="152" t="n"/>
      <c r="G84" s="198" t="n"/>
      <c r="H84" s="138">
        <f>B84*F84</f>
        <v/>
      </c>
      <c r="I84" s="189" t="n"/>
    </row>
    <row r="85" ht="15" customHeight="1">
      <c r="A85" s="40" t="inlineStr">
        <is>
          <t>casemaker por passagem</t>
        </is>
      </c>
      <c r="B85" s="137" t="n"/>
      <c r="C85" s="137" t="n"/>
      <c r="D85" s="137" t="n"/>
      <c r="E85" s="40" t="n"/>
      <c r="F85" s="152" t="n"/>
      <c r="G85" s="198">
        <f>IF(B85*F85&gt;40, B85*F85, 100)</f>
        <v/>
      </c>
      <c r="H85" s="138">
        <f>B85*F85</f>
        <v/>
      </c>
      <c r="I85" s="189" t="n"/>
    </row>
    <row r="86" ht="15" customHeight="1">
      <c r="A86" s="40" t="inlineStr">
        <is>
          <t>Formadeira HS avulso</t>
        </is>
      </c>
      <c r="B86" s="137" t="n"/>
      <c r="C86" s="174" t="n"/>
      <c r="D86" s="137" t="n"/>
      <c r="E86" s="40" t="n"/>
      <c r="F86" s="152" t="n"/>
      <c r="G86" s="198" t="n"/>
      <c r="H86" s="138">
        <f>B86*F86</f>
        <v/>
      </c>
      <c r="I86" s="189" t="n"/>
    </row>
    <row r="87" ht="15" customHeight="1">
      <c r="A87" s="40" t="inlineStr">
        <is>
          <t>Formadeira HS por passagem</t>
        </is>
      </c>
      <c r="B87" s="137" t="n"/>
      <c r="C87" s="174" t="n"/>
      <c r="D87" s="137" t="n"/>
      <c r="E87" s="40" t="n"/>
      <c r="F87" s="152" t="n"/>
      <c r="G87" s="198">
        <f>IF(B87*F87&gt;40, B87*F87, 100)</f>
        <v/>
      </c>
      <c r="H87" s="138">
        <f>B87*F87</f>
        <v/>
      </c>
      <c r="I87" s="189" t="n"/>
    </row>
    <row r="88" ht="12.75" customHeight="1">
      <c r="A88" s="40" t="inlineStr">
        <is>
          <t>Embalagem em caixa</t>
        </is>
      </c>
      <c r="B88" s="137" t="n"/>
      <c r="C88" s="41" t="n"/>
      <c r="D88" s="40" t="n"/>
      <c r="E88" s="40" t="n"/>
      <c r="F88" s="152" t="n"/>
      <c r="G88" s="198" t="n"/>
      <c r="H88" s="138">
        <f>B88*F88</f>
        <v/>
      </c>
      <c r="I88" s="189" t="n"/>
    </row>
    <row r="89" ht="15" customHeight="1">
      <c r="A89" s="40" t="inlineStr">
        <is>
          <t>PALLET PARA EXPEDIÇÃO</t>
        </is>
      </c>
      <c r="B89" s="137" t="n"/>
      <c r="C89" s="41" t="n"/>
      <c r="D89" s="40" t="n"/>
      <c r="E89" s="40" t="n"/>
      <c r="F89" s="152" t="n">
        <v>7</v>
      </c>
      <c r="G89" s="198" t="n"/>
      <c r="H89" s="138">
        <f>B89*F89</f>
        <v/>
      </c>
      <c r="I89" s="189" t="n"/>
    </row>
    <row r="90" ht="15" customHeight="1">
      <c r="A90" s="40" t="inlineStr">
        <is>
          <t>Embalagem em pallet</t>
        </is>
      </c>
      <c r="B90" s="137">
        <f>B89</f>
        <v/>
      </c>
      <c r="C90" s="41" t="n"/>
      <c r="D90" s="40" t="n"/>
      <c r="E90" s="40" t="n"/>
      <c r="F90" s="152" t="n">
        <v>5.5</v>
      </c>
      <c r="G90" s="198" t="n"/>
      <c r="H90" s="138">
        <f>B90*F90</f>
        <v/>
      </c>
      <c r="I90" s="189" t="n"/>
    </row>
    <row r="91" ht="15" customHeight="1" thickBot="1">
      <c r="A91" s="40" t="inlineStr">
        <is>
          <t>TRASPORTO</t>
        </is>
      </c>
      <c r="B91" s="137" t="n"/>
      <c r="C91" s="41" t="n"/>
      <c r="D91" s="40" t="n"/>
      <c r="E91" s="40" t="n"/>
      <c r="F91" s="152">
        <f>CEILING((_xlfn.CEILING.MATH(B89/33)*60)+((B89-(B89/33))*7.5),25)</f>
        <v/>
      </c>
      <c r="G91" s="198" t="n"/>
      <c r="H91" s="138">
        <f>B91*F91</f>
        <v/>
      </c>
      <c r="I91" s="189" t="n"/>
    </row>
    <row r="92" ht="12.75" customHeight="1" thickBot="1">
      <c r="B92" s="8" t="n"/>
      <c r="H92" s="139">
        <f>SUM(H70:H91)</f>
        <v/>
      </c>
      <c r="I92" s="104">
        <f>H92*1.25</f>
        <v/>
      </c>
    </row>
    <row r="93" ht="12.75" customHeight="1" thickBot="1">
      <c r="C93" s="166" t="inlineStr">
        <is>
          <t>Quantidade</t>
        </is>
      </c>
      <c r="D93" s="166" t="inlineStr">
        <is>
          <t>Quantidade</t>
        </is>
      </c>
      <c r="E93" s="166" t="inlineStr">
        <is>
          <t>Quantidade</t>
        </is>
      </c>
      <c r="H93" s="280" t="n"/>
    </row>
    <row r="94" ht="13.5" customHeight="1" thickBot="1">
      <c r="A94" s="281" t="inlineStr">
        <is>
          <t>INCIDÊNCIA DE CUSTOS</t>
        </is>
      </c>
      <c r="B94" s="282" t="n"/>
      <c r="C94" s="167" t="n"/>
      <c r="D94" s="167" t="n"/>
      <c r="E94" s="167" t="n"/>
      <c r="F94" s="283" t="inlineStr">
        <is>
          <t>Custos totais</t>
        </is>
      </c>
      <c r="G94" s="65" t="n"/>
      <c r="H94" s="284">
        <f>H23+H40+H59+H92</f>
        <v/>
      </c>
      <c r="I94" s="104">
        <f>I92+I59+I40+I23</f>
        <v/>
      </c>
    </row>
    <row r="95" ht="12.75" customHeight="1" thickBot="1">
      <c r="A95" s="187" t="inlineStr">
        <is>
          <t xml:space="preserve">MATERIAIS </t>
        </is>
      </c>
      <c r="B95" s="185">
        <f>(H23+H40)/H94</f>
        <v/>
      </c>
      <c r="C95" s="168" t="n"/>
      <c r="D95" s="167" t="n"/>
      <c r="E95" s="167" t="n"/>
      <c r="H95" s="285" t="n"/>
    </row>
    <row r="96" ht="12.75" customHeight="1" thickBot="1">
      <c r="A96" s="187" t="inlineStr">
        <is>
          <t xml:space="preserve">SERVIÇOS EXTERNOS </t>
        </is>
      </c>
      <c r="B96" s="185">
        <f>H59/H94</f>
        <v/>
      </c>
      <c r="C96" s="169" t="n"/>
      <c r="D96" s="169" t="n"/>
      <c r="E96" s="170" t="n"/>
      <c r="F96" s="86" t="inlineStr">
        <is>
          <t>Custo Unitário</t>
        </is>
      </c>
      <c r="G96" s="66" t="n"/>
      <c r="H96" s="286">
        <f>H94/G6</f>
        <v/>
      </c>
    </row>
    <row r="97" ht="12.75" customHeight="1" thickBot="1">
      <c r="A97" s="188" t="inlineStr">
        <is>
          <t xml:space="preserve">SERVIÇOS INTERNOS </t>
        </is>
      </c>
      <c r="B97" s="186">
        <f>H92/H94</f>
        <v/>
      </c>
      <c r="C97" s="171" t="n"/>
      <c r="D97" s="161" t="n"/>
      <c r="E97" s="161" t="n"/>
      <c r="F97" s="8" t="n"/>
      <c r="G97" s="95" t="n"/>
      <c r="H97" s="287" t="n"/>
    </row>
    <row r="98" ht="12.75" customHeight="1" thickBot="1">
      <c r="C98" s="183" t="n"/>
      <c r="D98" s="183" t="n"/>
      <c r="E98" s="183" t="n"/>
      <c r="F98" s="8" t="n"/>
      <c r="G98" s="95" t="n"/>
      <c r="H98" s="287" t="n"/>
    </row>
    <row r="99">
      <c r="C99" s="70" t="n"/>
      <c r="D99" s="18" t="inlineStr">
        <is>
          <t>Quantidade</t>
        </is>
      </c>
      <c r="E99" s="18" t="inlineStr">
        <is>
          <t>Quantidade</t>
        </is>
      </c>
      <c r="F99" s="20" t="inlineStr">
        <is>
          <t>Quantidade</t>
        </is>
      </c>
      <c r="G99" s="20" t="inlineStr">
        <is>
          <t>Quantidade</t>
        </is>
      </c>
      <c r="H99" s="18" t="inlineStr">
        <is>
          <t>Quantidade</t>
        </is>
      </c>
    </row>
    <row r="100" ht="12.75" customHeight="1">
      <c r="C100" s="19" t="n"/>
      <c r="D100" s="87">
        <f>G6</f>
        <v/>
      </c>
      <c r="E100" s="155" t="n"/>
      <c r="F100" s="155" t="n"/>
      <c r="G100" s="155" t="n"/>
      <c r="H100" s="155" t="n"/>
    </row>
    <row r="101">
      <c r="A101" s="41" t="inlineStr">
        <is>
          <t xml:space="preserve">Preço de Venda      </t>
        </is>
      </c>
      <c r="B101" s="74" t="n">
        <v>0.35</v>
      </c>
      <c r="C101" s="76" t="n"/>
      <c r="D101" s="288">
        <f>H96*B101+H96</f>
        <v/>
      </c>
      <c r="E101" s="157" t="n"/>
      <c r="F101" s="157" t="n"/>
      <c r="G101" s="157" t="n"/>
      <c r="H101" s="157" t="n"/>
    </row>
    <row r="102">
      <c r="A102" s="41" t="inlineStr">
        <is>
          <t>Transporte frete destino</t>
        </is>
      </c>
      <c r="B102" s="74" t="n">
        <v>0</v>
      </c>
      <c r="C102" s="172">
        <f>D102*G6</f>
        <v/>
      </c>
      <c r="D102" s="289">
        <f>B102*D101</f>
        <v/>
      </c>
      <c r="E102" s="157" t="n"/>
      <c r="F102" s="157" t="n"/>
      <c r="G102" s="157" t="n"/>
      <c r="H102" s="157" t="n"/>
    </row>
    <row r="103">
      <c r="A103" s="41" t="inlineStr">
        <is>
          <t>Comissão</t>
        </is>
      </c>
      <c r="B103" s="75" t="n">
        <v>0.04</v>
      </c>
      <c r="C103" s="76" t="n"/>
      <c r="D103" s="289">
        <f>B103*D101</f>
        <v/>
      </c>
      <c r="E103" s="157" t="n"/>
      <c r="F103" s="157" t="n"/>
      <c r="G103" s="157" t="n"/>
      <c r="H103" s="157" t="n"/>
    </row>
    <row r="104" ht="12.75" customHeight="1" thickBot="1">
      <c r="A104" s="41" t="inlineStr">
        <is>
          <t>ENCARGOS FINANCEIROS</t>
        </is>
      </c>
      <c r="B104" s="75" t="n">
        <v>0</v>
      </c>
      <c r="C104" s="76" t="n"/>
      <c r="D104" s="290">
        <f>B104*D101</f>
        <v/>
      </c>
      <c r="E104" s="157" t="n"/>
      <c r="F104" s="157" t="n"/>
      <c r="G104" s="157" t="n"/>
      <c r="H104" s="157" t="n"/>
    </row>
    <row r="105" ht="15" customHeight="1" thickBot="1">
      <c r="A105" s="67" t="inlineStr">
        <is>
          <t>PREÇO DE VENDA UNITÁRIO TOTAL</t>
        </is>
      </c>
      <c r="B105" s="68" t="n"/>
      <c r="C105" s="69" t="n"/>
      <c r="D105" s="291">
        <f>D104+D103+D102+D101</f>
        <v/>
      </c>
      <c r="E105" s="161" t="n"/>
      <c r="F105" s="161" t="n"/>
      <c r="G105" s="161" t="n"/>
      <c r="H105" s="161" t="n"/>
      <c r="I105" s="292">
        <f>I94/G6</f>
        <v/>
      </c>
    </row>
    <row r="106" ht="13.5" customHeight="1" thickBot="1">
      <c r="A106" s="88" t="inlineStr">
        <is>
          <t xml:space="preserve">PREÇO DE VENDA TOTAL GERAL </t>
        </is>
      </c>
      <c r="B106" s="89" t="n"/>
      <c r="C106" s="90" t="n"/>
      <c r="D106" s="162">
        <f>D100*D105</f>
        <v/>
      </c>
      <c r="E106" s="162">
        <f>E100*E105</f>
        <v/>
      </c>
      <c r="F106" s="162">
        <f>F100*F105</f>
        <v/>
      </c>
      <c r="G106" s="162">
        <f>G100*G105</f>
        <v/>
      </c>
      <c r="H106" s="162">
        <f>H100*H105</f>
        <v/>
      </c>
      <c r="I106" s="173">
        <f>I105+D102+D103+D104</f>
        <v/>
      </c>
    </row>
    <row r="107" ht="13.5" customHeight="1" thickBot="1">
      <c r="A107" s="193" t="inlineStr">
        <is>
          <t>DIFERENÇA CUSTOS/P.V</t>
        </is>
      </c>
      <c r="B107" s="293">
        <f>D106-H94</f>
        <v/>
      </c>
      <c r="C107" s="90" t="n"/>
      <c r="D107" s="162" t="n"/>
      <c r="E107" s="162" t="n"/>
      <c r="F107" s="162" t="n"/>
      <c r="G107" s="162" t="n"/>
      <c r="H107" s="162" t="n"/>
      <c r="I107" s="173" t="n"/>
    </row>
    <row r="108" ht="13.5" customHeight="1">
      <c r="A108" s="191" t="inlineStr">
        <is>
          <t>Último preço de venda</t>
        </is>
      </c>
      <c r="B108" s="192" t="n"/>
      <c r="C108" s="90" t="n"/>
      <c r="D108" s="294" t="n"/>
      <c r="E108" s="294" t="n"/>
      <c r="F108" s="294" t="n"/>
      <c r="G108" s="294" t="n"/>
      <c r="H108" s="294" t="n"/>
    </row>
    <row r="109" ht="13.5" customHeight="1" thickBot="1">
      <c r="A109" s="98" t="inlineStr">
        <is>
          <t>Data últ. Venda    Quantidade</t>
        </is>
      </c>
      <c r="B109" s="295" t="n"/>
      <c r="C109" s="90" t="n"/>
      <c r="D109" s="294" t="n"/>
      <c r="E109" s="294" t="n"/>
      <c r="F109" s="294" t="n"/>
      <c r="G109" s="294" t="n"/>
      <c r="H109" s="294" t="n"/>
    </row>
    <row r="110">
      <c r="A110" s="28" t="n"/>
      <c r="B110" s="97" t="inlineStr">
        <is>
          <t>Quantidade</t>
        </is>
      </c>
      <c r="C110" s="56" t="n"/>
      <c r="D110" s="57" t="n"/>
      <c r="E110" s="58" t="n"/>
      <c r="F110" s="269" t="inlineStr">
        <is>
          <t>Prezzo</t>
        </is>
      </c>
      <c r="G110" s="33" t="n"/>
      <c r="H110" s="296" t="n"/>
    </row>
    <row r="111">
      <c r="A111" s="38" t="inlineStr">
        <is>
          <t>FERRAMENTAS/ACESSÓRIOS</t>
        </is>
      </c>
      <c r="B111" s="49" t="n"/>
      <c r="C111" s="29" t="n"/>
      <c r="D111" s="32" t="n"/>
      <c r="E111" s="35" t="n"/>
      <c r="F111" s="271" t="inlineStr">
        <is>
          <t>Unitario</t>
        </is>
      </c>
      <c r="G111" s="35" t="n"/>
      <c r="H111" s="272" t="inlineStr">
        <is>
          <t>Valor</t>
        </is>
      </c>
    </row>
    <row r="112">
      <c r="A112" s="204" t="inlineStr">
        <is>
          <t>RATEIO DE FACA</t>
        </is>
      </c>
      <c r="B112" s="51" t="n"/>
      <c r="C112" s="41" t="n"/>
      <c r="D112" s="42" t="n"/>
      <c r="E112" s="40" t="n"/>
      <c r="F112" s="152" t="n"/>
      <c r="G112" s="40" t="n"/>
      <c r="H112" s="297">
        <f>B112*F112</f>
        <v/>
      </c>
    </row>
    <row r="113" ht="12.75" customHeight="1">
      <c r="A113" s="40" t="inlineStr">
        <is>
          <t>CHAPA DE IMPRESSÃO (se previsto)</t>
        </is>
      </c>
      <c r="B113" s="51" t="inlineStr">
        <is>
          <t>AL COSTO DOPO VISIONE GRAFICA</t>
        </is>
      </c>
      <c r="C113" s="41" t="n"/>
      <c r="D113" s="42" t="n"/>
      <c r="E113" s="40" t="n"/>
      <c r="F113" s="152" t="n"/>
      <c r="G113" s="40" t="n"/>
      <c r="H113" s="297" t="n">
        <v>0</v>
      </c>
    </row>
    <row r="114" ht="12.75" customHeight="1">
      <c r="A114" s="40" t="inlineStr">
        <is>
          <t>CLICHÊ</t>
        </is>
      </c>
      <c r="B114" s="51" t="n"/>
      <c r="C114" s="41" t="n"/>
      <c r="D114" s="42" t="n"/>
      <c r="E114" s="40" t="n"/>
      <c r="F114" s="152" t="n"/>
      <c r="G114" s="40" t="n"/>
      <c r="H114" s="297">
        <f>B114*F114</f>
        <v/>
      </c>
    </row>
    <row r="115" ht="12.75" customHeight="1">
      <c r="A115" s="204" t="inlineStr">
        <is>
          <t>TRANSPORTE frete destino</t>
        </is>
      </c>
      <c r="B115" s="51" t="n"/>
      <c r="C115" s="41" t="n"/>
      <c r="D115" s="42" t="n"/>
      <c r="E115" s="40" t="n"/>
      <c r="F115" s="152" t="n"/>
      <c r="G115" s="40" t="n"/>
      <c r="H115" s="297">
        <f>B115*F115</f>
        <v/>
      </c>
    </row>
    <row r="116">
      <c r="A116" s="298" t="inlineStr">
        <is>
          <t>Validade do orçamento: 30 dias. DISPONIBILIDADE DE MATERIAL A CONFIRMAR NO MOMENTO DO PEDIDO</t>
        </is>
      </c>
      <c r="B116" s="299" t="n"/>
      <c r="C116" s="299" t="n"/>
      <c r="D116" s="299" t="n"/>
      <c r="E116" s="299" t="n"/>
      <c r="F116" s="299" t="n"/>
      <c r="G116" s="299" t="n"/>
      <c r="H116" s="300" t="n"/>
    </row>
    <row r="117" ht="13.5" customHeight="1" thickBot="1">
      <c r="A117" s="1" t="n"/>
      <c r="H117" s="301">
        <f>SUM(H112:H116)</f>
        <v/>
      </c>
    </row>
    <row r="118">
      <c r="A118" s="6" t="inlineStr">
        <is>
          <t>Condições de fornecimento:</t>
        </is>
      </c>
      <c r="C118" s="6" t="inlineStr">
        <is>
          <t>Total do pedido</t>
        </is>
      </c>
      <c r="E118" s="302">
        <f>E106+$H$117</f>
        <v/>
      </c>
      <c r="F118" s="302">
        <f>F106+$H$117</f>
        <v/>
      </c>
      <c r="G118" s="302">
        <f>G106+$H$117</f>
        <v/>
      </c>
      <c r="H118" s="302">
        <f>H106+$H$117</f>
        <v/>
      </c>
    </row>
    <row r="119">
      <c r="A119" s="40" t="inlineStr">
        <is>
          <t>Prazo de entrega</t>
        </is>
      </c>
      <c r="B119" s="71" t="inlineStr">
        <is>
          <t>VARIÁVEL CONFORME DATA DE CONFIRMAÇÃO DO PEDIDO</t>
        </is>
      </c>
      <c r="C119" s="71" t="n"/>
      <c r="D119" s="71" t="n"/>
      <c r="E119" s="71" t="n"/>
      <c r="F119" s="303" t="n"/>
      <c r="G119" s="71" t="n"/>
      <c r="H119" s="42" t="n"/>
    </row>
    <row r="120">
      <c r="A120" s="40" t="inlineStr">
        <is>
          <t>Local de entrega</t>
        </is>
      </c>
      <c r="B120" s="71">
        <f>A115</f>
        <v/>
      </c>
      <c r="C120" s="71" t="n"/>
      <c r="D120" s="71" t="n"/>
      <c r="E120" s="71" t="n"/>
      <c r="F120" s="303" t="n"/>
      <c r="G120" s="71" t="n"/>
      <c r="H120" s="42" t="n"/>
    </row>
    <row r="121">
      <c r="A121" s="40" t="inlineStr">
        <is>
          <t>Transporte</t>
        </is>
      </c>
      <c r="B121" s="207" t="inlineStr">
        <is>
          <t>A 1/2 NS</t>
        </is>
      </c>
      <c r="C121" s="71" t="n"/>
      <c r="D121" s="71" t="n"/>
      <c r="E121" s="71" t="n"/>
      <c r="F121" s="303" t="n"/>
      <c r="G121" s="71" t="n"/>
      <c r="H121" s="42" t="n"/>
    </row>
    <row r="122">
      <c r="A122" s="40" t="inlineStr">
        <is>
          <t>Pagamento</t>
        </is>
      </c>
      <c r="B122" s="71" t="inlineStr">
        <is>
          <t>HABITUAL</t>
        </is>
      </c>
    </row>
    <row r="123" ht="18" customHeight="1">
      <c r="A123" s="40" t="inlineStr">
        <is>
          <t>Orçamento realizado por</t>
        </is>
      </c>
      <c r="B123" s="71" t="inlineStr">
        <is>
          <t>Assinatura Responsável Comercial</t>
        </is>
      </c>
      <c r="C123" s="71" t="n"/>
      <c r="D123" s="71" t="n"/>
      <c r="E123" s="71" t="n"/>
      <c r="F123" s="303" t="n"/>
      <c r="G123" s="41" t="inlineStr">
        <is>
          <t>Data</t>
        </is>
      </c>
      <c r="H123" s="42" t="n"/>
    </row>
    <row r="124" ht="25.5" customHeight="1">
      <c r="A124" s="40" t="n"/>
      <c r="B124" s="71" t="n"/>
      <c r="C124" s="71" t="n"/>
      <c r="D124" s="71" t="n"/>
      <c r="E124" s="71" t="n"/>
      <c r="F124" s="303" t="n"/>
      <c r="G124" s="107" t="n"/>
      <c r="H124" s="42" t="n"/>
    </row>
  </sheetData>
  <mergeCells count="3">
    <mergeCell ref="A11:H15"/>
    <mergeCell ref="A116:H116"/>
    <mergeCell ref="A94:B94"/>
  </mergeCells>
  <conditionalFormatting sqref="G26:G29">
    <cfRule type="cellIs" priority="5" operator="lessThan" dxfId="0" stopIfTrue="1">
      <formula>250</formula>
    </cfRule>
  </conditionalFormatting>
  <conditionalFormatting sqref="G30:G32">
    <cfRule type="cellIs" priority="6" operator="lessThan" dxfId="0" stopIfTrue="1">
      <formula>500</formula>
    </cfRule>
  </conditionalFormatting>
  <conditionalFormatting sqref="G39">
    <cfRule type="cellIs" priority="3" operator="lessThan" dxfId="0" stopIfTrue="1">
      <formula>250</formula>
    </cfRule>
  </conditionalFormatting>
  <conditionalFormatting sqref="G71:G72">
    <cfRule type="cellIs" priority="13" operator="lessThan" dxfId="0" stopIfTrue="1">
      <formula>40</formula>
    </cfRule>
    <cfRule type="cellIs" priority="14" operator="lessThan" dxfId="0" stopIfTrue="1">
      <formula>41</formula>
    </cfRule>
    <cfRule type="cellIs" priority="15" operator="lessThan" dxfId="0" stopIfTrue="1">
      <formula>40</formula>
    </cfRule>
    <cfRule type="expression" priority="16" dxfId="6" stopIfTrue="1">
      <formula>"SE(B72*C72/1000*D72/1000*F72&gt;40; B72*C72/1000*D72/1000*F72; 40)"</formula>
    </cfRule>
  </conditionalFormatting>
  <conditionalFormatting sqref="G74:G75">
    <cfRule type="cellIs" priority="1" operator="lessThan" dxfId="0" stopIfTrue="1">
      <formula>101</formula>
    </cfRule>
  </conditionalFormatting>
  <conditionalFormatting sqref="G77">
    <cfRule type="cellIs" priority="2" operator="lessThan" dxfId="0" stopIfTrue="1">
      <formula>101</formula>
    </cfRule>
  </conditionalFormatting>
  <conditionalFormatting sqref="G79">
    <cfRule type="cellIs" priority="10" operator="lessThan" dxfId="0" stopIfTrue="1">
      <formula>101</formula>
    </cfRule>
  </conditionalFormatting>
  <conditionalFormatting sqref="G81:G83">
    <cfRule type="cellIs" priority="9" operator="lessThan" dxfId="0" stopIfTrue="1">
      <formula>101</formula>
    </cfRule>
  </conditionalFormatting>
  <conditionalFormatting sqref="G85">
    <cfRule type="cellIs" priority="8" operator="lessThan" dxfId="0" stopIfTrue="1">
      <formula>101</formula>
    </cfRule>
  </conditionalFormatting>
  <conditionalFormatting sqref="G87">
    <cfRule type="cellIs" priority="7" operator="lessThan" dxfId="0" stopIfTrue="1">
      <formula>101</formula>
    </cfRule>
  </conditionalFormatting>
  <pageMargins left="0" right="0" top="0.1968503937007874" bottom="0" header="0.1181102362204725" footer="0"/>
  <pageSetup orientation="portrait" paperSize="9" scale="88" fitToHeight="0"/>
  <headerFooter alignWithMargins="0">
    <oddHeader/>
    <oddFooter>&amp;LMacp-mp rev.0&amp;CPagina &amp;P di &amp;N</oddFooter>
    <evenHeader/>
    <evenFooter/>
    <firstHeader/>
    <firstFooter/>
  </headerFooter>
  <rowBreaks count="1" manualBreakCount="1">
    <brk id="59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topLeftCell="A7" zoomScaleNormal="100" workbookViewId="0">
      <selection activeCell="B32" sqref="B32:H32"/>
    </sheetView>
  </sheetViews>
  <sheetFormatPr baseColWidth="8" defaultRowHeight="12.75"/>
  <cols>
    <col width="11.140625" customWidth="1" min="1" max="1"/>
    <col width="11" customWidth="1" min="2" max="8"/>
    <col width="4.140625" customWidth="1" min="9" max="9"/>
  </cols>
  <sheetData>
    <row r="1">
      <c r="A1" s="233">
        <f>CONCATENATE(+calcolo!A6," rif. ",+calcolo!B6)</f>
        <v/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</row>
    <row r="3">
      <c r="A3" s="108" t="n"/>
      <c r="B3" s="124" t="inlineStr">
        <is>
          <t xml:space="preserve">Cliente: </t>
        </is>
      </c>
      <c r="C3" s="108">
        <f>+calcolo!A6</f>
        <v/>
      </c>
      <c r="D3" s="108" t="n"/>
      <c r="E3" s="108" t="n"/>
      <c r="F3" s="108" t="n"/>
      <c r="G3" s="126" t="inlineStr">
        <is>
          <t>data:</t>
        </is>
      </c>
      <c r="H3" s="125">
        <f>TODAY()</f>
        <v/>
      </c>
    </row>
    <row r="4" ht="13.5" customHeight="1" thickBot="1">
      <c r="A4" s="108" t="n"/>
      <c r="B4" s="108" t="n"/>
      <c r="C4" s="108" t="n"/>
      <c r="D4" s="108" t="n"/>
      <c r="E4" s="108" t="n"/>
      <c r="F4" s="108" t="n"/>
      <c r="G4" s="108" t="n"/>
      <c r="H4" s="108" t="n"/>
    </row>
    <row r="5" ht="5.25" customHeight="1">
      <c r="A5" s="109" t="n"/>
      <c r="B5" s="110" t="n"/>
      <c r="C5" s="111" t="n"/>
      <c r="D5" s="111" t="n"/>
      <c r="E5" s="111" t="n"/>
      <c r="F5" s="111" t="n"/>
      <c r="G5" s="111" t="n"/>
      <c r="H5" s="112" t="n"/>
    </row>
    <row r="6" ht="15" customHeight="1">
      <c r="A6" s="109" t="n"/>
      <c r="B6" s="304" t="inlineStr">
        <is>
          <t>Descrizione articolo</t>
        </is>
      </c>
      <c r="H6" s="305" t="n"/>
    </row>
    <row r="7" ht="12" customHeight="1">
      <c r="A7" s="109" t="n"/>
      <c r="B7" s="306">
        <f>calcolo!A10</f>
        <v/>
      </c>
      <c r="H7" s="305" t="n"/>
    </row>
    <row r="8" ht="15" customHeight="1">
      <c r="A8" s="109" t="n"/>
      <c r="B8" s="307">
        <f>calcolo!A11</f>
        <v/>
      </c>
      <c r="H8" s="305" t="n"/>
    </row>
    <row r="9" ht="15" customHeight="1">
      <c r="A9" s="109" t="n"/>
      <c r="B9" s="308" t="n"/>
      <c r="H9" s="305" t="n"/>
    </row>
    <row r="10" ht="15" customHeight="1">
      <c r="A10" s="109" t="n"/>
      <c r="B10" s="308" t="n"/>
      <c r="H10" s="305" t="n"/>
    </row>
    <row r="11" ht="15" customHeight="1">
      <c r="A11" s="109" t="n"/>
      <c r="B11" s="308" t="n"/>
      <c r="H11" s="305" t="n"/>
    </row>
    <row r="12" ht="15" customHeight="1" thickBot="1">
      <c r="A12" s="109" t="n"/>
      <c r="B12" s="309" t="n"/>
      <c r="C12" s="310" t="n"/>
      <c r="D12" s="310" t="n"/>
      <c r="E12" s="310" t="n"/>
      <c r="F12" s="310" t="n"/>
      <c r="G12" s="310" t="n"/>
      <c r="H12" s="311" t="n"/>
    </row>
    <row r="13" ht="6.75" customHeight="1">
      <c r="A13" s="109" t="n"/>
      <c r="B13" s="109" t="n"/>
      <c r="C13" s="109" t="n"/>
      <c r="D13" s="109" t="n"/>
      <c r="E13" s="109" t="n"/>
      <c r="F13" s="109" t="n"/>
      <c r="G13" s="109" t="n"/>
      <c r="H13" s="109" t="n"/>
    </row>
    <row r="14">
      <c r="A14" s="109" t="n"/>
      <c r="B14" s="116" t="inlineStr">
        <is>
          <t>Prezzi €/cad</t>
        </is>
      </c>
      <c r="C14" s="109" t="n"/>
      <c r="D14" s="109" t="n"/>
      <c r="E14" s="109" t="n"/>
      <c r="F14" s="109" t="n"/>
      <c r="G14" s="109" t="n"/>
      <c r="H14" s="109" t="n"/>
    </row>
    <row r="15" ht="15.75" customHeight="1">
      <c r="A15" s="109" t="n"/>
      <c r="B15" s="175">
        <f>calcolo!E98</f>
        <v/>
      </c>
      <c r="C15" s="175">
        <f>calcolo!F98</f>
        <v/>
      </c>
      <c r="D15" s="175">
        <f>calcolo!G98</f>
        <v/>
      </c>
      <c r="E15" s="175">
        <f>calcolo!H98</f>
        <v/>
      </c>
      <c r="F15" s="176">
        <f>calcolo!C92</f>
        <v/>
      </c>
      <c r="G15" s="176">
        <f>calcolo!D92</f>
        <v/>
      </c>
      <c r="H15" s="176">
        <f>calcolo!E92</f>
        <v/>
      </c>
    </row>
    <row r="16" ht="15" customHeight="1">
      <c r="A16" s="109" t="n"/>
      <c r="B16" s="241" t="inlineStr">
        <is>
          <t>Q.ty</t>
        </is>
      </c>
      <c r="C16" s="241" t="inlineStr">
        <is>
          <t>Q.ty</t>
        </is>
      </c>
      <c r="D16" s="241" t="inlineStr">
        <is>
          <t>Q.ty</t>
        </is>
      </c>
      <c r="E16" s="241" t="inlineStr">
        <is>
          <t>Q.ty</t>
        </is>
      </c>
      <c r="F16" s="241" t="inlineStr">
        <is>
          <t>Q.ty</t>
        </is>
      </c>
      <c r="G16" s="241" t="inlineStr">
        <is>
          <t>Q.ty</t>
        </is>
      </c>
      <c r="H16" s="241" t="inlineStr">
        <is>
          <t>Q.ty</t>
        </is>
      </c>
    </row>
    <row r="17" ht="16.5" customHeight="1">
      <c r="A17" s="109" t="n"/>
      <c r="B17" s="178">
        <f>+calcolo!E100</f>
        <v/>
      </c>
      <c r="C17" s="178">
        <f>+calcolo!F100</f>
        <v/>
      </c>
      <c r="D17" s="178">
        <f>+calcolo!G100</f>
        <v/>
      </c>
      <c r="E17" s="178">
        <f>+calcolo!H100</f>
        <v/>
      </c>
      <c r="F17" s="178">
        <f>+calcolo!C94</f>
        <v/>
      </c>
      <c r="G17" s="178">
        <f>+calcolo!D94</f>
        <v/>
      </c>
      <c r="H17" s="178">
        <f>+calcolo!E94</f>
        <v/>
      </c>
    </row>
    <row r="18" ht="16.5" customHeight="1">
      <c r="B18" s="312">
        <f>+calcolo!E105</f>
        <v/>
      </c>
      <c r="C18" s="312">
        <f>+calcolo!F105</f>
        <v/>
      </c>
      <c r="D18" s="312">
        <f>+calcolo!G105</f>
        <v/>
      </c>
      <c r="E18" s="312">
        <f>+calcolo!H105</f>
        <v/>
      </c>
      <c r="F18" s="312">
        <f>+calcolo!C97</f>
        <v/>
      </c>
      <c r="G18" s="312">
        <f>+calcolo!D97</f>
        <v/>
      </c>
      <c r="H18" s="312">
        <f>+calcolo!E97</f>
        <v/>
      </c>
    </row>
    <row r="19" ht="18.75" customHeight="1">
      <c r="A19" s="109" t="n"/>
      <c r="B19" s="313">
        <f>B17*B18</f>
        <v/>
      </c>
      <c r="C19" s="313">
        <f>C17*C18</f>
        <v/>
      </c>
      <c r="D19" s="313">
        <f>D17*D18</f>
        <v/>
      </c>
      <c r="E19" s="313">
        <f>E17*E18</f>
        <v/>
      </c>
      <c r="F19" s="313">
        <f>F17*F18</f>
        <v/>
      </c>
      <c r="G19" s="313">
        <f>G17*G18</f>
        <v/>
      </c>
      <c r="H19" s="313">
        <f>H17*H18</f>
        <v/>
      </c>
    </row>
    <row r="20" ht="29.25" customHeight="1">
      <c r="A20" s="109" t="n"/>
      <c r="B20" s="314" t="inlineStr">
        <is>
          <t>Attrezzature / Accessori</t>
        </is>
      </c>
      <c r="C20" s="299" t="n"/>
      <c r="D20" s="299" t="n"/>
      <c r="E20" s="300" t="n"/>
      <c r="F20" s="116" t="inlineStr">
        <is>
          <t>Q.ty</t>
        </is>
      </c>
      <c r="G20" s="315" t="inlineStr">
        <is>
          <t>Prezzo Unit.</t>
        </is>
      </c>
      <c r="H20" s="316" t="inlineStr">
        <is>
          <t>Valor</t>
        </is>
      </c>
    </row>
    <row r="21" ht="20.1" customHeight="1">
      <c r="A21" s="109" t="n"/>
      <c r="B21" s="317">
        <f>+calcolo!A112</f>
        <v/>
      </c>
      <c r="C21" s="299" t="n"/>
      <c r="D21" s="299" t="n"/>
      <c r="E21" s="300" t="n"/>
      <c r="F21" s="121">
        <f>IF(+calcolo!B112=0,"",+calcolo!B112)</f>
        <v/>
      </c>
      <c r="G21" s="318">
        <f>IF(+calcolo!F112=0,"",+calcolo!F112)</f>
        <v/>
      </c>
      <c r="H21" s="318">
        <f>IF(+calcolo!H112=0,"",+calcolo!H112)</f>
        <v/>
      </c>
    </row>
    <row r="22" ht="20.1" customHeight="1">
      <c r="A22" s="109" t="n"/>
      <c r="B22" s="319">
        <f>+calcolo!A113</f>
        <v/>
      </c>
      <c r="C22" s="299" t="n"/>
      <c r="D22" s="299" t="n"/>
      <c r="E22" s="300" t="n"/>
      <c r="F22" s="179">
        <f>+calcolo!B113</f>
        <v/>
      </c>
      <c r="G22" s="318">
        <f>IF(+calcolo!F113=0,"",+calcolo!F113)</f>
        <v/>
      </c>
      <c r="H22" s="318">
        <f>IF(+calcolo!H113=0,"",+calcolo!H113)</f>
        <v/>
      </c>
    </row>
    <row r="23" ht="20.1" customHeight="1">
      <c r="A23" s="109" t="n"/>
      <c r="B23" s="319">
        <f>+calcolo!A114</f>
        <v/>
      </c>
      <c r="C23" s="299" t="n"/>
      <c r="D23" s="299" t="n"/>
      <c r="E23" s="300" t="n"/>
      <c r="F23" s="121">
        <f>IF(+calcolo!B114=0,"",+calcolo!B114)</f>
        <v/>
      </c>
      <c r="G23" s="318">
        <f>IF(+calcolo!F114=0,"",+calcolo!F114)</f>
        <v/>
      </c>
      <c r="H23" s="318">
        <f>IF(+calcolo!H114=0,"",+calcolo!H114)</f>
        <v/>
      </c>
    </row>
    <row r="24" ht="22.5" customHeight="1">
      <c r="A24" s="109" t="n"/>
      <c r="B24" s="319">
        <f>+calcolo!A115</f>
        <v/>
      </c>
      <c r="C24" s="299" t="n"/>
      <c r="D24" s="299" t="n"/>
      <c r="E24" s="300" t="n"/>
      <c r="F24" s="121">
        <f>IF(+calcolo!B115=0,"",+calcolo!B115)</f>
        <v/>
      </c>
      <c r="G24" s="318">
        <f>IF(+calcolo!F115=0,"",+calcolo!F115)</f>
        <v/>
      </c>
      <c r="H24" s="318">
        <f>IF(+calcolo!H115=0,"",+calcolo!H115)</f>
        <v/>
      </c>
    </row>
    <row r="25" ht="9.949999999999999" customHeight="1">
      <c r="A25" s="109" t="n"/>
      <c r="B25" s="113" t="n"/>
      <c r="C25" s="114" t="n"/>
      <c r="D25" s="320" t="n"/>
      <c r="E25" s="320" t="n"/>
      <c r="F25" s="320" t="n"/>
      <c r="G25" s="320" t="n"/>
      <c r="H25" s="320" t="n"/>
    </row>
    <row r="26" ht="17.1" customHeight="1">
      <c r="A26" s="109" t="n"/>
      <c r="B26" s="232">
        <f>+calcolo!A119</f>
        <v/>
      </c>
      <c r="C26" s="300" t="n"/>
      <c r="D26" s="232">
        <f>+calcolo!B119</f>
        <v/>
      </c>
      <c r="E26" s="299" t="n"/>
      <c r="F26" s="299" t="n"/>
      <c r="G26" s="299" t="n"/>
      <c r="H26" s="300" t="n"/>
    </row>
    <row r="27" ht="17.1" customHeight="1">
      <c r="A27" s="109" t="n"/>
      <c r="B27" s="232">
        <f>+calcolo!A120</f>
        <v/>
      </c>
      <c r="C27" s="300" t="n"/>
      <c r="D27" s="232">
        <f>calcolo!B120</f>
        <v/>
      </c>
      <c r="E27" s="299" t="n"/>
      <c r="F27" s="299" t="n"/>
      <c r="G27" s="299" t="n"/>
      <c r="H27" s="300" t="n"/>
    </row>
    <row r="28" ht="17.1" customHeight="1">
      <c r="A28" s="109" t="n"/>
      <c r="B28" s="232">
        <f>+calcolo!A121</f>
        <v/>
      </c>
      <c r="C28" s="300" t="n"/>
      <c r="D28" s="232">
        <f>calcolo!B121</f>
        <v/>
      </c>
      <c r="E28" s="299" t="n"/>
      <c r="F28" s="299" t="n"/>
      <c r="G28" s="300" t="n"/>
      <c r="H28" s="321" t="n"/>
    </row>
    <row r="29" ht="7.5" customHeight="1">
      <c r="A29" s="109" t="n"/>
      <c r="B29" s="109" t="n"/>
      <c r="C29" s="109" t="n"/>
      <c r="D29" s="118" t="n"/>
      <c r="E29" s="118" t="n"/>
      <c r="F29" s="118" t="n"/>
      <c r="G29" s="118" t="n"/>
      <c r="H29" s="118" t="n"/>
    </row>
    <row r="30" ht="9.949999999999999" customHeight="1">
      <c r="A30" s="109" t="n"/>
      <c r="B30" s="109" t="n"/>
      <c r="C30" s="109" t="n"/>
      <c r="D30" s="109" t="n"/>
      <c r="E30" s="109" t="n"/>
      <c r="F30" s="109" t="n"/>
      <c r="G30" s="109" t="n"/>
      <c r="H30" s="109" t="n"/>
    </row>
    <row r="31">
      <c r="A31" s="109" t="n"/>
      <c r="B31" s="119" t="inlineStr">
        <is>
          <t>NOTE</t>
        </is>
      </c>
      <c r="C31" s="109" t="n"/>
      <c r="D31" s="109" t="n"/>
      <c r="E31" s="109" t="n"/>
      <c r="F31" s="109" t="n"/>
      <c r="G31" s="109" t="n"/>
      <c r="H31" s="109" t="n"/>
    </row>
    <row r="32" ht="42.75" customHeight="1">
      <c r="A32" s="109" t="n"/>
      <c r="B32" s="322">
        <f>calcolo!A116</f>
        <v/>
      </c>
      <c r="C32" s="299" t="n"/>
      <c r="D32" s="299" t="n"/>
      <c r="E32" s="299" t="n"/>
      <c r="F32" s="299" t="n"/>
      <c r="G32" s="299" t="n"/>
      <c r="H32" s="300" t="n"/>
    </row>
    <row r="33">
      <c r="A33" s="108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16">
    <mergeCell ref="A1:H1"/>
    <mergeCell ref="B20:E20"/>
    <mergeCell ref="B23:E23"/>
    <mergeCell ref="B32:H32"/>
    <mergeCell ref="B22:E22"/>
    <mergeCell ref="B8:H12"/>
    <mergeCell ref="B21:E21"/>
    <mergeCell ref="B28:C28"/>
    <mergeCell ref="B6:H6"/>
    <mergeCell ref="D27:H27"/>
    <mergeCell ref="B24:E24"/>
    <mergeCell ref="B7:H7"/>
    <mergeCell ref="B26:C26"/>
    <mergeCell ref="B27:C27"/>
    <mergeCell ref="D28:G28"/>
    <mergeCell ref="D26:H26"/>
  </mergeCells>
  <pageMargins left="0.75" right="0.75" top="1" bottom="1" header="0.5" footer="0.5"/>
  <pageSetup orientation="portrait" paperSize="9" scale="57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A1"/>
  <sheetViews>
    <sheetView workbookViewId="0">
      <selection activeCell="D41" sqref="D41"/>
    </sheetView>
  </sheetViews>
  <sheetFormatPr baseColWidth="8" defaultColWidth="9.140625" defaultRowHeight="12.75"/>
  <cols>
    <col width="9.140625" customWidth="1" style="202" min="1" max="5"/>
    <col width="9.5703125" customWidth="1" style="202" min="6" max="6"/>
    <col width="12.85546875" customWidth="1" style="202" min="7" max="7"/>
    <col width="9.140625" customWidth="1" style="202" min="8" max="16384"/>
  </cols>
  <sheetData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B4" sqref="B4"/>
    </sheetView>
  </sheetViews>
  <sheetFormatPr baseColWidth="8" defaultColWidth="9.140625" defaultRowHeight="12.75"/>
  <cols>
    <col width="9.140625" customWidth="1" style="202" min="1" max="16384"/>
  </cols>
  <sheetData/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9.140625" defaultRowHeight="12.75"/>
  <cols>
    <col width="9.140625" customWidth="1" style="202" min="1" max="16384"/>
  </cols>
  <sheetData>
    <row r="1"/>
    <row r="2">
      <c r="B2" s="208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CREATIVE SRL</dc:creator>
  <dcterms:created xmlns:dcterms="http://purl.org/dc/terms/" xmlns:xsi="http://www.w3.org/2001/XMLSchema-instance" xsi:type="dcterms:W3CDTF">2003-09-09T14:12:47Z</dcterms:created>
  <dcterms:modified xmlns:dcterms="http://purl.org/dc/terms/" xmlns:xsi="http://www.w3.org/2001/XMLSchema-instance" xsi:type="dcterms:W3CDTF">2026-06-08T13:53:32Z</dcterms:modified>
  <cp:lastModifiedBy>Simone Donati</cp:lastModifiedBy>
  <cp:lastPrinted>2023-11-14T13:31:01Z</cp:lastPrinted>
</cp:coreProperties>
</file>