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png"/>
  <Default Extension="emf" ContentType="image/x-emf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omments/comment1.xml" ContentType="application/vnd.openxmlformats-officedocument.spreadsheetml.comments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comments/comment2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omments/comment3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worksheets/sheet10.xml" ContentType="application/vnd.openxmlformats-officedocument.spreadsheetml.worksheet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worksheets/sheet11.xml" ContentType="application/vnd.openxmlformats-officedocument.spreadsheetml.worksheet+xml"/>
  <Override PartName="/xl/tables/table18.xml" ContentType="application/vnd.openxmlformats-officedocument.spreadsheetml.table+xml"/>
  <Override PartName="/xl/worksheets/sheet12.xml" ContentType="application/vnd.openxmlformats-officedocument.spreadsheetml.worksheet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worksheets/sheet1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Questa_cartella_di_lavoro"/>
  <bookViews>
    <workbookView visibility="visible" minimized="0" showHorizontalScroll="1" showVerticalScroll="1" showSheetTabs="1" xWindow="-120" yWindow="-120" windowWidth="29040" windowHeight="15840" tabRatio="600" firstSheet="1" activeTab="1" autoFilterDateGrouping="1"/>
  </bookViews>
  <sheets>
    <sheet xmlns:r="http://schemas.openxmlformats.org/officeDocument/2006/relationships" name="Parâmetros Macro" sheetId="1" state="hidden" r:id="rId1"/>
    <sheet xmlns:r="http://schemas.openxmlformats.org/officeDocument/2006/relationships" name="calculo" sheetId="2" state="visible" r:id="rId2"/>
    <sheet xmlns:r="http://schemas.openxmlformats.org/officeDocument/2006/relationships" name="calcolo digitale" sheetId="3" state="hidden" r:id="rId3"/>
    <sheet xmlns:r="http://schemas.openxmlformats.org/officeDocument/2006/relationships" name="PREFORMALIZZATA_REDBOX" sheetId="4" state="visible" r:id="rId4"/>
    <sheet xmlns:r="http://schemas.openxmlformats.org/officeDocument/2006/relationships" name="PREVENTIVO" sheetId="5" state="visible" r:id="rId5"/>
    <sheet xmlns:r="http://schemas.openxmlformats.org/officeDocument/2006/relationships" name="SVILUPPI" sheetId="6" state="visible" r:id="rId6"/>
    <sheet xmlns:r="http://schemas.openxmlformats.org/officeDocument/2006/relationships" name="RP O MAIL &quot;RICHIESTA PREV.&quot;" sheetId="7" state="visible" r:id="rId7"/>
    <sheet xmlns:r="http://schemas.openxmlformats.org/officeDocument/2006/relationships" name="TRASPORTI" sheetId="8" state="hidden" r:id="rId8"/>
    <sheet xmlns:r="http://schemas.openxmlformats.org/officeDocument/2006/relationships" name="Listino Stampa" sheetId="9" state="hidden" r:id="rId9"/>
    <sheet xmlns:r="http://schemas.openxmlformats.org/officeDocument/2006/relationships" name="Listino Ondulato-Durevole" sheetId="10" state="hidden" r:id="rId10"/>
    <sheet xmlns:r="http://schemas.openxmlformats.org/officeDocument/2006/relationships" name="LISTINO CARTONCINI" sheetId="11" state="hidden" r:id="rId11"/>
    <sheet xmlns:r="http://schemas.openxmlformats.org/officeDocument/2006/relationships" name="Formato magazzino" sheetId="12" state="hidden" r:id="rId12"/>
    <sheet xmlns:r="http://schemas.openxmlformats.org/officeDocument/2006/relationships" name="LISTINO MACCHINARI" sheetId="13" state="hidden" r:id="rId13"/>
    <sheet xmlns:r="http://schemas.openxmlformats.org/officeDocument/2006/relationships" name="LISTINO ACCESSORI" sheetId="14" state="hidden" r:id="rId14"/>
    <sheet xmlns:r="http://schemas.openxmlformats.org/officeDocument/2006/relationships" name="CALCOLO COLLA" sheetId="15" state="hidden" r:id="rId15"/>
  </sheets>
  <definedNames>
    <definedName name="_xleta.IF" hidden="1" xlm="1">#NAME?</definedName>
    <definedName name="_xleta.NA" hidden="1" xlm="1">#NAME?</definedName>
    <definedName name="_xleta.NOT" hidden="1" xlm="1">#NAME?</definedName>
    <definedName name="dest1">calcolo!$A$200</definedName>
    <definedName name="dest2">calcolo!$A$201</definedName>
    <definedName name="dest3">calcolo!$A$202</definedName>
    <definedName name="grafiche">calcolo!$I$6</definedName>
    <definedName name="MASTER">calcolo!$B$62</definedName>
    <definedName name="N_PLT_1">calcolo!$B$195</definedName>
    <definedName name="N_PLT_2">calcolo!$B$196</definedName>
    <definedName name="N_PLT_3">calcolo!$B$197</definedName>
    <definedName name="N_PLT_4">calcolo!$B$198</definedName>
    <definedName name="part1">calcolo!$C$200</definedName>
    <definedName name="part2">calcolo!$C$201</definedName>
    <definedName name="part3">calcolo!$C$202</definedName>
    <definedName name="produzioni">calcolo!$J$6</definedName>
    <definedName name="QTA">calcolo!$G$6</definedName>
    <definedName name="RESA">calcolo!$H$6</definedName>
    <definedName name="Scatola_Mag">calcolo!$B$60</definedName>
    <definedName name="trasporto1">calcolo!$F$200</definedName>
    <definedName name="trasporto2">calcolo!$F$201</definedName>
    <definedName name="trasporto3">calcolo!$F$202</definedName>
    <definedName name="_xlnm.Print_Area" localSheetId="1">'calculo'!$A$1:$I$239</definedName>
    <definedName name="Split_1" localSheetId="9">'Listino Ondulato-Durevole'!#REF!</definedName>
    <definedName name="Split_2" localSheetId="9">'Listino Ondulato-Durevole'!#REF!</definedName>
    <definedName name="Split_3" localSheetId="9">'Listino Ondulato-Durevole'!#REF!</definedName>
    <definedName name="_xlnm.Print_Titles" localSheetId="9">'Listino Ondulato-Durevole'!$1:$1</definedName>
  </definedNames>
  <calcPr calcId="191029" fullCalcOnLoad="1"/>
</workbook>
</file>

<file path=xl/styles.xml><?xml version="1.0" encoding="utf-8"?>
<styleSheet xmlns="http://schemas.openxmlformats.org/spreadsheetml/2006/main">
  <numFmts count="28">
    <numFmt numFmtId="164" formatCode="_-* #,##0.00_-;\-* #,##0.00_-;_-* &quot;-&quot;??_-;_-@_-"/>
    <numFmt numFmtId="165" formatCode="_-* #,##0_-;\-* #,##0_-;_-* &quot;-&quot;??_-;_-@_-"/>
    <numFmt numFmtId="166" formatCode="_-* #,##0.0000_-;\-* #,##0.0000_-;_-* &quot;-&quot;??_-;_-@_-"/>
    <numFmt numFmtId="167" formatCode="_-* #,##0.00000_-;\-* #,##0.00000_-;_-* &quot;-&quot;??_-;_-@_-"/>
    <numFmt numFmtId="168" formatCode="_-* #,##0.00_-;\-* #,##0.00_-;_-* &quot;-&quot;?????_-;_-@_-"/>
    <numFmt numFmtId="169" formatCode="_-* #,##0.000_-;\-* #,##0.000_-;_-* &quot;-&quot;??_-;_-@_-"/>
    <numFmt numFmtId="170" formatCode="_-* #,##0.0000000_-;\-* #,##0.0000000_-;_-* &quot;-&quot;??_-;_-@_-"/>
    <numFmt numFmtId="171" formatCode="#,##0_ ;\-#,##0\ "/>
    <numFmt numFmtId="172" formatCode="0.0000"/>
    <numFmt numFmtId="173" formatCode="#,##0.0000"/>
    <numFmt numFmtId="174" formatCode="#,##0.00_ ;\-#,##0.00\ "/>
    <numFmt numFmtId="175" formatCode="#,##0.0000_ ;\-#,##0.0000\ "/>
    <numFmt numFmtId="176" formatCode="_-&quot;€&quot;\ * #,##0.000_-;\-&quot;€&quot;\ * #,##0.000_-;_-&quot;€&quot;\ * &quot;-&quot;??_-;_-@_-"/>
    <numFmt numFmtId="177" formatCode="_-&quot;€&quot;\ * #,##0.00_-;\-&quot;€&quot;\ * #,##0.00_-;_-&quot;€&quot;\ * &quot;-&quot;??_-;_-@_-"/>
    <numFmt numFmtId="178" formatCode="#,##0\ &quot;€&quot;;[Red]\-#,##0\ &quot;€&quot;"/>
    <numFmt numFmtId="179" formatCode="0.000"/>
    <numFmt numFmtId="180" formatCode="0.0"/>
    <numFmt numFmtId="181" formatCode="#,##0.000000_ ;\-#,##0.000000\ "/>
    <numFmt numFmtId="182" formatCode="#,##0.00000"/>
    <numFmt numFmtId="183" formatCode="&quot;COSTO KM TARIFFA &quot;@"/>
    <numFmt numFmtId="184" formatCode="&quot;Consegna &quot;@"/>
    <numFmt numFmtId="185" formatCode="_-&quot;€&quot;\ * #,##0_-;\-&quot;€&quot;\ * #,##0_-;_-&quot;€&quot;\ * &quot;-&quot;??_-;_-@_-"/>
    <numFmt numFmtId="186" formatCode="_-&quot;€&quot;\ * #,##0.00000_-;\-&quot;€&quot;\ * #,##0.00000_-;_-&quot;€&quot;\ * &quot;-&quot;??_-;_-@_-"/>
    <numFmt numFmtId="187" formatCode="0.00000"/>
    <numFmt numFmtId="188" formatCode="_-&quot;€&quot;\ * #,##0.0000_-;\-&quot;€&quot;\ * #,##0.0000_-;_-&quot;€&quot;\ * &quot;-&quot;??_-;_-@_-"/>
    <numFmt numFmtId="189" formatCode="#,##0.0"/>
    <numFmt numFmtId="190" formatCode="&quot;Partenza da &quot;@"/>
    <numFmt numFmtId="191" formatCode="_-* #,##0.00\ &quot;€&quot;_-;\-* #,##0.00\ &quot;€&quot;_-;_-* &quot;-&quot;??\ &quot;€&quot;_-;_-@_-"/>
  </numFmts>
  <fonts count="64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0"/>
    </font>
    <font>
      <name val="Arial"/>
      <family val="2"/>
      <b val="1"/>
      <sz val="12"/>
    </font>
    <font>
      <name val="Times New Roman"/>
      <family val="1"/>
      <sz val="18"/>
    </font>
    <font>
      <name val="Arial"/>
      <family val="2"/>
      <sz val="7"/>
    </font>
    <font>
      <name val="Arial"/>
      <family val="2"/>
      <sz val="9"/>
    </font>
    <font>
      <name val="Arial"/>
      <family val="2"/>
      <sz val="10"/>
    </font>
    <font>
      <name val="Arial"/>
      <family val="2"/>
      <b val="1"/>
      <sz val="9"/>
    </font>
    <font>
      <name val="Arial"/>
      <family val="2"/>
      <sz val="8"/>
    </font>
    <font>
      <name val="Arial"/>
      <family val="2"/>
      <i val="1"/>
      <sz val="7"/>
    </font>
    <font>
      <name val="Arial"/>
      <family val="2"/>
      <i val="1"/>
      <sz val="8"/>
    </font>
    <font>
      <name val="Arial"/>
      <family val="2"/>
      <sz val="6"/>
    </font>
    <font>
      <name val="Arial"/>
      <family val="2"/>
      <b val="1"/>
      <sz val="8"/>
      <u val="single"/>
    </font>
    <font>
      <name val="Arial"/>
      <family val="2"/>
      <b val="1"/>
      <sz val="10"/>
      <u val="single"/>
    </font>
    <font>
      <name val="Arial"/>
      <family val="2"/>
      <b val="1"/>
      <color rgb="FFFF0000"/>
      <sz val="10"/>
    </font>
    <font>
      <name val="Arial"/>
      <family val="2"/>
      <color rgb="FFFF0000"/>
      <sz val="6"/>
    </font>
    <font>
      <name val="Arial"/>
      <family val="2"/>
      <b val="1"/>
      <color rgb="FFFF0000"/>
      <sz val="6"/>
    </font>
    <font>
      <name val="Calibri"/>
      <family val="2"/>
      <color rgb="FF0070C0"/>
      <sz val="11"/>
      <scheme val="minor"/>
    </font>
    <font>
      <name val="Arial"/>
      <family val="2"/>
      <b val="1"/>
      <sz val="8"/>
    </font>
    <font>
      <name val="Arial"/>
      <family val="2"/>
      <color theme="0"/>
      <sz val="10"/>
    </font>
    <font>
      <name val="Arial"/>
      <family val="2"/>
      <color rgb="FF000000"/>
      <sz val="10"/>
    </font>
    <font>
      <name val="Arial"/>
      <family val="2"/>
      <sz val="8"/>
    </font>
    <font>
      <name val="Arial"/>
      <family val="2"/>
      <b val="1"/>
      <sz val="6"/>
    </font>
    <font>
      <name val="Arial"/>
      <family val="2"/>
      <b val="1"/>
      <sz val="5"/>
    </font>
    <font>
      <name val="Arial"/>
      <family val="2"/>
      <b val="1"/>
      <sz val="7"/>
    </font>
    <font>
      <name val="Arial"/>
      <family val="2"/>
      <b val="1"/>
      <color rgb="FFFF0000"/>
      <sz val="8"/>
    </font>
    <font>
      <name val="Arial MT"/>
      <family val="2"/>
      <color rgb="FF000000"/>
      <sz val="10"/>
    </font>
    <font>
      <name val="Arial MT"/>
      <sz val="10"/>
    </font>
    <font>
      <name val="Arial MT"/>
      <family val="2"/>
      <sz val="10"/>
    </font>
    <font>
      <name val="Arial"/>
      <family val="2"/>
      <color theme="0" tint="-0.249977111117893"/>
      <sz val="10"/>
    </font>
    <font>
      <name val="Arial"/>
      <family val="2"/>
      <b val="1"/>
      <color rgb="FFFF0000"/>
      <sz val="7"/>
    </font>
    <font>
      <name val="Arial"/>
      <family val="2"/>
      <color theme="10"/>
      <sz val="10"/>
      <u val="single"/>
    </font>
    <font>
      <name val="Arial"/>
      <family val="2"/>
      <color rgb="FFFF0000"/>
      <sz val="10"/>
    </font>
    <font>
      <name val="Arial"/>
      <family val="2"/>
      <b val="1"/>
      <color theme="0"/>
      <sz val="10"/>
    </font>
    <font>
      <name val="Calibri"/>
      <family val="2"/>
      <b val="1"/>
      <color theme="1"/>
      <sz val="16"/>
      <scheme val="minor"/>
    </font>
    <font>
      <name val="Calibri"/>
      <family val="2"/>
      <color theme="1"/>
      <sz val="14"/>
      <scheme val="minor"/>
    </font>
    <font>
      <name val="Calibri"/>
      <family val="2"/>
      <b val="1"/>
      <color theme="1"/>
      <sz val="14"/>
      <scheme val="minor"/>
    </font>
    <font>
      <name val="Gadugi"/>
      <family val="2"/>
      <i val="1"/>
      <color theme="1"/>
      <sz val="22"/>
    </font>
    <font>
      <name val="Calibri"/>
      <family val="2"/>
      <b val="1"/>
      <color theme="1"/>
      <sz val="18"/>
      <scheme val="minor"/>
    </font>
    <font>
      <name val="Calibri"/>
      <family val="2"/>
      <sz val="14"/>
      <scheme val="minor"/>
    </font>
    <font>
      <name val="Calibri"/>
      <family val="2"/>
      <sz val="14"/>
      <vertAlign val="superscript"/>
      <scheme val="minor"/>
    </font>
    <font>
      <name val="Arial"/>
      <family val="2"/>
      <b val="1"/>
      <i val="1"/>
      <sz val="9"/>
    </font>
    <font>
      <name val="Arial"/>
      <family val="2"/>
      <sz val="8"/>
    </font>
    <font>
      <name val="Calibri"/>
      <family val="2"/>
      <color rgb="FFFF0000"/>
      <sz val="11"/>
      <scheme val="minor"/>
    </font>
    <font>
      <name val="Arial"/>
      <family val="2"/>
      <color theme="1"/>
      <sz val="10"/>
    </font>
    <font>
      <name val="Tahoma"/>
      <family val="2"/>
      <color indexed="81"/>
      <sz val="9"/>
    </font>
    <font>
      <name val="Tahoma"/>
      <family val="2"/>
      <b val="1"/>
      <color indexed="81"/>
      <sz val="9"/>
    </font>
    <font>
      <name val="Aptos Narrow"/>
      <family val="2"/>
      <sz val="10"/>
    </font>
    <font>
      <name val="Aptos Narrow"/>
      <family val="2"/>
      <sz val="11"/>
    </font>
    <font>
      <name val="Aptos Narrow"/>
      <family val="2"/>
      <color rgb="FF000000"/>
      <sz val="11"/>
    </font>
    <font>
      <name val="Aptos Narrow"/>
      <family val="2"/>
      <b val="1"/>
      <color rgb="FF0070C0"/>
      <sz val="11"/>
    </font>
    <font>
      <name val="Arial"/>
      <family val="2"/>
      <b val="1"/>
      <i val="1"/>
      <sz val="10"/>
    </font>
  </fonts>
  <fills count="2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5" tint="0.7999816888943144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6" tint="0.3999755851924192"/>
      </left>
      <right/>
      <top/>
      <bottom style="thin">
        <color theme="6" tint="0.3999755851924192"/>
      </bottom>
      <diagonal/>
    </border>
    <border>
      <left/>
      <right/>
      <top/>
      <bottom style="thin">
        <color theme="6" tint="0.3999755851924192"/>
      </bottom>
      <diagonal/>
    </border>
    <border>
      <left/>
      <right/>
      <top style="thin">
        <color theme="8" tint="0.3999755851924192"/>
      </top>
      <bottom style="thin">
        <color theme="8" tint="0.3999755851924192"/>
      </bottom>
      <diagonal/>
    </border>
    <border>
      <left/>
      <right/>
      <top/>
      <bottom style="thin">
        <color theme="8" tint="0.3999755851924192"/>
      </bottom>
      <diagonal/>
    </border>
    <border>
      <left/>
      <right/>
      <top style="thin">
        <color theme="8" tint="0.3999755851924192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177" fontId="18" fillId="0" borderId="0"/>
    <xf numFmtId="177" fontId="18" fillId="0" borderId="0"/>
    <xf numFmtId="43" fontId="18" fillId="0" borderId="0"/>
    <xf numFmtId="43" fontId="18" fillId="0" borderId="0"/>
    <xf numFmtId="9" fontId="18" fillId="0" borderId="0"/>
    <xf numFmtId="9" fontId="18" fillId="0" borderId="0"/>
    <xf numFmtId="177" fontId="18" fillId="0" borderId="0"/>
    <xf numFmtId="0" fontId="10" fillId="0" borderId="0"/>
    <xf numFmtId="0" fontId="43" fillId="0" borderId="0"/>
    <xf numFmtId="0" fontId="10" fillId="0" borderId="0"/>
    <xf numFmtId="0" fontId="18" fillId="0" borderId="0"/>
  </cellStyleXfs>
  <cellXfs count="972">
    <xf numFmtId="0" fontId="0" fillId="0" borderId="0" pivotButton="0" quotePrefix="0" xfId="0"/>
    <xf numFmtId="0" fontId="12" fillId="0" borderId="0" pivotButton="0" quotePrefix="0" xfId="0"/>
    <xf numFmtId="0" fontId="12" fillId="0" borderId="1" pivotButton="0" quotePrefix="0" xfId="0"/>
    <xf numFmtId="0" fontId="12" fillId="0" borderId="2" pivotButton="0" quotePrefix="0" xfId="0"/>
    <xf numFmtId="0" fontId="14" fillId="0" borderId="0" pivotButton="0" quotePrefix="0" xfId="0"/>
    <xf numFmtId="0" fontId="13" fillId="0" borderId="2" pivotButton="0" quotePrefix="0" xfId="0"/>
    <xf numFmtId="0" fontId="13" fillId="0" borderId="0" pivotButton="0" quotePrefix="0" xfId="0"/>
    <xf numFmtId="164" fontId="13" fillId="0" borderId="0" pivotButton="0" quotePrefix="0" xfId="3"/>
    <xf numFmtId="165" fontId="13" fillId="0" borderId="0" pivotButton="0" quotePrefix="0" xfId="3"/>
    <xf numFmtId="0" fontId="15" fillId="0" borderId="3" applyAlignment="1" pivotButton="0" quotePrefix="0" xfId="0">
      <alignment horizontal="left"/>
    </xf>
    <xf numFmtId="0" fontId="15" fillId="0" borderId="0" pivotButton="0" quotePrefix="0" xfId="0"/>
    <xf numFmtId="166" fontId="13" fillId="0" borderId="2" pivotButton="0" quotePrefix="0" xfId="3"/>
    <xf numFmtId="166" fontId="13" fillId="0" borderId="0" pivotButton="0" quotePrefix="0" xfId="3"/>
    <xf numFmtId="166" fontId="12" fillId="0" borderId="0" pivotButton="0" quotePrefix="0" xfId="3"/>
    <xf numFmtId="167" fontId="12" fillId="0" borderId="0" pivotButton="0" quotePrefix="0" xfId="3"/>
    <xf numFmtId="0" fontId="13" fillId="0" borderId="0" applyAlignment="1" pivotButton="0" quotePrefix="0" xfId="0">
      <alignment horizontal="center"/>
    </xf>
    <xf numFmtId="0" fontId="12" fillId="0" borderId="0" applyAlignment="1" pivotButton="0" quotePrefix="0" xfId="0">
      <alignment horizontal="center"/>
    </xf>
    <xf numFmtId="166" fontId="12" fillId="0" borderId="0" applyAlignment="1" pivotButton="0" quotePrefix="0" xfId="3">
      <alignment horizontal="center"/>
    </xf>
    <xf numFmtId="0" fontId="12" fillId="0" borderId="4" applyAlignment="1" pivotButton="0" quotePrefix="0" xfId="0">
      <alignment horizontal="center"/>
    </xf>
    <xf numFmtId="0" fontId="13" fillId="0" borderId="3" pivotButton="0" quotePrefix="0" xfId="0"/>
    <xf numFmtId="0" fontId="12" fillId="0" borderId="5" applyAlignment="1" pivotButton="0" quotePrefix="0" xfId="0">
      <alignment horizontal="center"/>
    </xf>
    <xf numFmtId="14" fontId="13" fillId="0" borderId="6" pivotButton="0" quotePrefix="0" xfId="0"/>
    <xf numFmtId="0" fontId="13" fillId="0" borderId="7" pivotButton="0" quotePrefix="0" xfId="0"/>
    <xf numFmtId="0" fontId="13" fillId="0" borderId="8" pivotButton="0" quotePrefix="0" xfId="0"/>
    <xf numFmtId="0" fontId="13" fillId="0" borderId="9" pivotButton="0" quotePrefix="0" xfId="0"/>
    <xf numFmtId="0" fontId="13" fillId="0" borderId="10" pivotButton="0" quotePrefix="0" xfId="0"/>
    <xf numFmtId="166" fontId="13" fillId="0" borderId="10" pivotButton="0" quotePrefix="0" xfId="3"/>
    <xf numFmtId="0" fontId="13" fillId="0" borderId="11" pivotButton="0" quotePrefix="0" xfId="0"/>
    <xf numFmtId="0" fontId="13" fillId="0" borderId="12" pivotButton="0" quotePrefix="0" xfId="0"/>
    <xf numFmtId="0" fontId="13" fillId="0" borderId="13" pivotButton="0" quotePrefix="0" xfId="0"/>
    <xf numFmtId="0" fontId="13" fillId="0" borderId="14" pivotButton="0" quotePrefix="0" xfId="0"/>
    <xf numFmtId="166" fontId="13" fillId="0" borderId="14" pivotButton="0" quotePrefix="0" xfId="3"/>
    <xf numFmtId="0" fontId="13" fillId="0" borderId="15" pivotButton="0" quotePrefix="0" xfId="0"/>
    <xf numFmtId="0" fontId="13" fillId="0" borderId="16" pivotButton="0" quotePrefix="0" xfId="0"/>
    <xf numFmtId="0" fontId="13" fillId="0" borderId="17" pivotButton="0" quotePrefix="0" xfId="0"/>
    <xf numFmtId="0" fontId="13" fillId="0" borderId="18" pivotButton="0" quotePrefix="0" xfId="0"/>
    <xf numFmtId="165" fontId="13" fillId="0" borderId="17" pivotButton="0" quotePrefix="0" xfId="3"/>
    <xf numFmtId="0" fontId="12" fillId="0" borderId="13" pivotButton="0" quotePrefix="0" xfId="0"/>
    <xf numFmtId="0" fontId="13" fillId="0" borderId="19" pivotButton="0" quotePrefix="0" xfId="0"/>
    <xf numFmtId="0" fontId="13" fillId="0" borderId="20" pivotButton="0" quotePrefix="0" xfId="0"/>
    <xf numFmtId="0" fontId="13" fillId="0" borderId="21" pivotButton="0" quotePrefix="0" xfId="0"/>
    <xf numFmtId="0" fontId="12" fillId="0" borderId="18" pivotButton="0" quotePrefix="0" xfId="0"/>
    <xf numFmtId="0" fontId="12" fillId="0" borderId="18" applyAlignment="1" pivotButton="0" quotePrefix="0" xfId="0">
      <alignment horizontal="center"/>
    </xf>
    <xf numFmtId="168" fontId="12" fillId="0" borderId="15" applyAlignment="1" pivotButton="0" quotePrefix="0" xfId="0">
      <alignment horizontal="center"/>
    </xf>
    <xf numFmtId="166" fontId="12" fillId="0" borderId="16" applyAlignment="1" pivotButton="0" quotePrefix="0" xfId="3">
      <alignment horizontal="center"/>
    </xf>
    <xf numFmtId="166" fontId="12" fillId="0" borderId="18" applyAlignment="1" pivotButton="0" quotePrefix="0" xfId="3">
      <alignment horizontal="center"/>
    </xf>
    <xf numFmtId="164" fontId="13" fillId="0" borderId="11" pivotButton="0" quotePrefix="0" xfId="3"/>
    <xf numFmtId="165" fontId="13" fillId="0" borderId="18" pivotButton="0" quotePrefix="0" xfId="3"/>
    <xf numFmtId="165" fontId="13" fillId="0" borderId="19" pivotButton="0" quotePrefix="0" xfId="3"/>
    <xf numFmtId="164" fontId="13" fillId="0" borderId="19" pivotButton="0" quotePrefix="0" xfId="3"/>
    <xf numFmtId="0" fontId="12" fillId="0" borderId="13" applyAlignment="1" pivotButton="0" quotePrefix="0" xfId="0">
      <alignment horizontal="center"/>
    </xf>
    <xf numFmtId="165" fontId="12" fillId="0" borderId="18" applyAlignment="1" pivotButton="0" quotePrefix="0" xfId="3">
      <alignment horizontal="center"/>
    </xf>
    <xf numFmtId="164" fontId="12" fillId="0" borderId="18" applyAlignment="1" pivotButton="0" quotePrefix="0" xfId="3">
      <alignment horizontal="center"/>
    </xf>
    <xf numFmtId="165" fontId="13" fillId="0" borderId="9" applyAlignment="1" pivotButton="0" quotePrefix="0" xfId="0">
      <alignment horizontal="left"/>
    </xf>
    <xf numFmtId="165" fontId="13" fillId="0" borderId="11" pivotButton="0" quotePrefix="0" xfId="0"/>
    <xf numFmtId="165" fontId="13" fillId="0" borderId="16" pivotButton="0" quotePrefix="0" xfId="0"/>
    <xf numFmtId="166" fontId="12" fillId="0" borderId="22" pivotButton="0" quotePrefix="0" xfId="3"/>
    <xf numFmtId="165" fontId="12" fillId="0" borderId="23" pivotButton="0" quotePrefix="0" xfId="0"/>
    <xf numFmtId="0" fontId="12" fillId="0" borderId="22" pivotButton="0" quotePrefix="0" xfId="0"/>
    <xf numFmtId="165" fontId="12" fillId="0" borderId="23" applyAlignment="1" pivotButton="0" quotePrefix="0" xfId="3">
      <alignment horizontal="center"/>
    </xf>
    <xf numFmtId="0" fontId="12" fillId="0" borderId="22" applyAlignment="1" pivotButton="0" quotePrefix="0" xfId="0">
      <alignment horizontal="left"/>
    </xf>
    <xf numFmtId="0" fontId="12" fillId="0" borderId="1" applyAlignment="1" pivotButton="0" quotePrefix="0" xfId="0">
      <alignment horizontal="center"/>
    </xf>
    <xf numFmtId="0" fontId="13" fillId="0" borderId="24" pivotButton="0" quotePrefix="0" xfId="0"/>
    <xf numFmtId="166" fontId="13" fillId="0" borderId="24" pivotButton="0" quotePrefix="0" xfId="3"/>
    <xf numFmtId="164" fontId="13" fillId="0" borderId="18" pivotButton="0" quotePrefix="0" xfId="3"/>
    <xf numFmtId="9" fontId="13" fillId="0" borderId="25" pivotButton="0" quotePrefix="0" xfId="5"/>
    <xf numFmtId="9" fontId="13" fillId="0" borderId="26" pivotButton="0" quotePrefix="0" xfId="5"/>
    <xf numFmtId="169" fontId="12" fillId="0" borderId="12" applyAlignment="1" pivotButton="0" quotePrefix="0" xfId="3">
      <alignment horizontal="center"/>
    </xf>
    <xf numFmtId="164" fontId="13" fillId="0" borderId="13" pivotButton="0" quotePrefix="0" xfId="3"/>
    <xf numFmtId="165" fontId="12" fillId="0" borderId="17" pivotButton="0" quotePrefix="0" xfId="3"/>
    <xf numFmtId="0" fontId="12" fillId="0" borderId="28" pivotButton="0" quotePrefix="0" xfId="0"/>
    <xf numFmtId="0" fontId="12" fillId="0" borderId="29" pivotButton="0" quotePrefix="0" xfId="0"/>
    <xf numFmtId="0" fontId="12" fillId="0" borderId="31" pivotButton="0" quotePrefix="0" xfId="0"/>
    <xf numFmtId="165" fontId="12" fillId="0" borderId="22" pivotButton="0" quotePrefix="0" xfId="3"/>
    <xf numFmtId="165" fontId="13" fillId="0" borderId="32" pivotButton="0" quotePrefix="0" xfId="3"/>
    <xf numFmtId="0" fontId="16" fillId="0" borderId="0" pivotButton="0" quotePrefix="0" xfId="0"/>
    <xf numFmtId="165" fontId="16" fillId="0" borderId="0" pivotButton="0" quotePrefix="0" xfId="3"/>
    <xf numFmtId="165" fontId="16" fillId="0" borderId="0" applyAlignment="1" pivotButton="0" quotePrefix="0" xfId="0">
      <alignment horizontal="left"/>
    </xf>
    <xf numFmtId="49" fontId="13" fillId="0" borderId="14" pivotButton="0" quotePrefix="0" xfId="0"/>
    <xf numFmtId="167" fontId="13" fillId="0" borderId="0" pivotButton="0" quotePrefix="0" xfId="3"/>
    <xf numFmtId="165" fontId="13" fillId="0" borderId="0" pivotButton="0" quotePrefix="0" xfId="0"/>
    <xf numFmtId="170" fontId="13" fillId="0" borderId="0" pivotButton="0" quotePrefix="0" xfId="3"/>
    <xf numFmtId="0" fontId="12" fillId="0" borderId="17" applyAlignment="1" pivotButton="0" quotePrefix="0" xfId="0">
      <alignment horizontal="center"/>
    </xf>
    <xf numFmtId="0" fontId="13" fillId="0" borderId="33" pivotButton="0" quotePrefix="0" xfId="0"/>
    <xf numFmtId="171" fontId="16" fillId="0" borderId="34" pivotButton="0" quotePrefix="0" xfId="3"/>
    <xf numFmtId="0" fontId="13" fillId="0" borderId="28" pivotButton="0" quotePrefix="0" xfId="0"/>
    <xf numFmtId="0" fontId="13" fillId="0" borderId="29" pivotButton="0" quotePrefix="0" xfId="0"/>
    <xf numFmtId="0" fontId="13" fillId="0" borderId="30" pivotButton="0" quotePrefix="0" xfId="0"/>
    <xf numFmtId="166" fontId="13" fillId="0" borderId="30" pivotButton="0" quotePrefix="0" xfId="3"/>
    <xf numFmtId="2" fontId="13" fillId="0" borderId="0" pivotButton="0" quotePrefix="0" xfId="0"/>
    <xf numFmtId="2" fontId="12" fillId="0" borderId="0" pivotButton="0" quotePrefix="0" xfId="0"/>
    <xf numFmtId="172" fontId="13" fillId="0" borderId="0" pivotButton="0" quotePrefix="0" xfId="0"/>
    <xf numFmtId="0" fontId="0" fillId="2" borderId="0" pivotButton="0" quotePrefix="0" xfId="0"/>
    <xf numFmtId="0" fontId="17" fillId="2" borderId="0" pivotButton="0" quotePrefix="0" xfId="0"/>
    <xf numFmtId="0" fontId="17" fillId="2" borderId="1" pivotButton="0" quotePrefix="0" xfId="0"/>
    <xf numFmtId="0" fontId="17" fillId="2" borderId="2" pivotButton="0" quotePrefix="0" xfId="0"/>
    <xf numFmtId="0" fontId="17" fillId="2" borderId="4" pivotButton="0" quotePrefix="0" xfId="0"/>
    <xf numFmtId="165" fontId="17" fillId="2" borderId="0" pivotButton="0" quotePrefix="0" xfId="4"/>
    <xf numFmtId="165" fontId="17" fillId="2" borderId="0" applyAlignment="1" pivotButton="0" quotePrefix="0" xfId="0">
      <alignment horizontal="left"/>
    </xf>
    <xf numFmtId="164" fontId="17" fillId="2" borderId="0" pivotButton="0" quotePrefix="0" xfId="0"/>
    <xf numFmtId="0" fontId="19" fillId="2" borderId="19" applyAlignment="1" pivotButton="0" quotePrefix="0" xfId="0">
      <alignment horizontal="center" vertical="center"/>
    </xf>
    <xf numFmtId="164" fontId="17" fillId="2" borderId="19" applyAlignment="1" pivotButton="0" quotePrefix="0" xfId="4">
      <alignment vertical="center"/>
    </xf>
    <xf numFmtId="0" fontId="17" fillId="2" borderId="0" applyAlignment="1" pivotButton="0" quotePrefix="0" xfId="0">
      <alignment vertical="center"/>
    </xf>
    <xf numFmtId="0" fontId="19" fillId="2" borderId="16" pivotButton="0" quotePrefix="0" xfId="0"/>
    <xf numFmtId="166" fontId="19" fillId="2" borderId="16" applyAlignment="1" pivotButton="0" quotePrefix="0" xfId="4">
      <alignment horizontal="center" vertical="center"/>
    </xf>
    <xf numFmtId="168" fontId="19" fillId="2" borderId="16" applyAlignment="1" pivotButton="0" quotePrefix="0" xfId="0">
      <alignment horizontal="center" vertical="center"/>
    </xf>
    <xf numFmtId="0" fontId="13" fillId="2" borderId="0" pivotButton="0" quotePrefix="0" xfId="0"/>
    <xf numFmtId="14" fontId="0" fillId="2" borderId="0" pivotButton="0" quotePrefix="0" xfId="0"/>
    <xf numFmtId="0" fontId="13" fillId="2" borderId="0" applyAlignment="1" pivotButton="0" quotePrefix="0" xfId="0">
      <alignment horizontal="right"/>
    </xf>
    <xf numFmtId="164" fontId="13" fillId="0" borderId="12" pivotButton="0" quotePrefix="0" xfId="0"/>
    <xf numFmtId="3" fontId="13" fillId="0" borderId="19" pivotButton="0" quotePrefix="0" xfId="0"/>
    <xf numFmtId="173" fontId="13" fillId="0" borderId="19" pivotButton="0" quotePrefix="0" xfId="3"/>
    <xf numFmtId="4" fontId="13" fillId="0" borderId="21" applyAlignment="1" pivotButton="0" quotePrefix="0" xfId="0">
      <alignment horizontal="right"/>
    </xf>
    <xf numFmtId="3" fontId="13" fillId="0" borderId="18" pivotButton="0" quotePrefix="0" xfId="0"/>
    <xf numFmtId="173" fontId="13" fillId="0" borderId="18" pivotButton="0" quotePrefix="0" xfId="3"/>
    <xf numFmtId="4" fontId="13" fillId="0" borderId="35" pivotButton="0" quotePrefix="0" xfId="0"/>
    <xf numFmtId="4" fontId="12" fillId="0" borderId="15" applyAlignment="1" pivotButton="0" quotePrefix="0" xfId="0">
      <alignment horizontal="center"/>
    </xf>
    <xf numFmtId="3" fontId="13" fillId="0" borderId="19" pivotButton="0" quotePrefix="0" xfId="3"/>
    <xf numFmtId="4" fontId="13" fillId="0" borderId="18" pivotButton="0" quotePrefix="0" xfId="3"/>
    <xf numFmtId="4" fontId="13" fillId="0" borderId="35" pivotButton="0" quotePrefix="0" xfId="3"/>
    <xf numFmtId="4" fontId="12" fillId="0" borderId="5" applyAlignment="1" pivotButton="0" quotePrefix="0" xfId="0">
      <alignment horizontal="center"/>
    </xf>
    <xf numFmtId="4" fontId="13" fillId="0" borderId="6" pivotButton="0" quotePrefix="0" xfId="0"/>
    <xf numFmtId="4" fontId="12" fillId="0" borderId="17" pivotButton="0" quotePrefix="0" xfId="0"/>
    <xf numFmtId="4" fontId="13" fillId="0" borderId="17" pivotButton="0" quotePrefix="0" xfId="0"/>
    <xf numFmtId="4" fontId="12" fillId="0" borderId="0" applyAlignment="1" pivotButton="0" quotePrefix="0" xfId="0">
      <alignment horizontal="center"/>
    </xf>
    <xf numFmtId="4" fontId="13" fillId="0" borderId="0" pivotButton="0" quotePrefix="0" xfId="3"/>
    <xf numFmtId="174" fontId="12" fillId="0" borderId="35" pivotButton="0" quotePrefix="0" xfId="3"/>
    <xf numFmtId="4" fontId="17" fillId="0" borderId="0" pivotButton="0" quotePrefix="0" xfId="0"/>
    <xf numFmtId="174" fontId="13" fillId="0" borderId="0" pivotButton="0" quotePrefix="0" xfId="0"/>
    <xf numFmtId="14" fontId="13" fillId="0" borderId="31" pivotButton="0" quotePrefix="0" xfId="0"/>
    <xf numFmtId="0" fontId="12" fillId="0" borderId="39" applyAlignment="1" pivotButton="0" quotePrefix="0" xfId="0">
      <alignment horizontal="center"/>
    </xf>
    <xf numFmtId="2" fontId="21" fillId="0" borderId="27" pivotButton="0" quotePrefix="0" xfId="0"/>
    <xf numFmtId="0" fontId="22" fillId="0" borderId="0" pivotButton="0" quotePrefix="0" xfId="0"/>
    <xf numFmtId="3" fontId="13" fillId="0" borderId="20" pivotButton="0" quotePrefix="0" xfId="3"/>
    <xf numFmtId="4" fontId="20" fillId="2" borderId="0" applyAlignment="1" pivotButton="0" quotePrefix="0" xfId="0">
      <alignment horizontal="center" vertical="center"/>
    </xf>
    <xf numFmtId="0" fontId="20" fillId="2" borderId="0" applyAlignment="1" pivotButton="0" quotePrefix="0" xfId="0">
      <alignment horizontal="center" vertical="center"/>
    </xf>
    <xf numFmtId="0" fontId="19" fillId="2" borderId="0" applyAlignment="1" pivotButton="0" quotePrefix="0" xfId="0">
      <alignment horizontal="center" vertical="center"/>
    </xf>
    <xf numFmtId="0" fontId="12" fillId="0" borderId="18" applyAlignment="1" pivotButton="0" quotePrefix="0" xfId="0">
      <alignment horizontal="center" vertical="center"/>
    </xf>
    <xf numFmtId="1" fontId="13" fillId="0" borderId="19" pivotButton="0" quotePrefix="0" xfId="0"/>
    <xf numFmtId="173" fontId="13" fillId="0" borderId="0" pivotButton="0" quotePrefix="0" xfId="0"/>
    <xf numFmtId="174" fontId="13" fillId="0" borderId="31" pivotButton="0" quotePrefix="0" xfId="3"/>
    <xf numFmtId="9" fontId="26" fillId="3" borderId="40" applyAlignment="1" pivotButton="0" quotePrefix="0" xfId="5">
      <alignment horizontal="center" vertical="center"/>
    </xf>
    <xf numFmtId="9" fontId="26" fillId="3" borderId="34" applyAlignment="1" pivotButton="0" quotePrefix="0" xfId="5">
      <alignment horizontal="center" vertical="center"/>
    </xf>
    <xf numFmtId="0" fontId="24" fillId="3" borderId="41" applyAlignment="1" pivotButton="0" quotePrefix="0" xfId="0">
      <alignment vertical="center" wrapText="1"/>
    </xf>
    <xf numFmtId="0" fontId="24" fillId="3" borderId="42" applyAlignment="1" pivotButton="0" quotePrefix="0" xfId="0">
      <alignment vertical="center" wrapText="1"/>
    </xf>
    <xf numFmtId="2" fontId="27" fillId="0" borderId="0" applyAlignment="1" pivotButton="0" quotePrefix="0" xfId="0">
      <alignment horizontal="center" vertical="center"/>
    </xf>
    <xf numFmtId="2" fontId="28" fillId="0" borderId="0" applyAlignment="1" pivotButton="0" quotePrefix="0" xfId="0">
      <alignment horizontal="center" vertical="center"/>
    </xf>
    <xf numFmtId="0" fontId="13" fillId="0" borderId="43" pivotButton="0" quotePrefix="0" xfId="0"/>
    <xf numFmtId="175" fontId="16" fillId="0" borderId="44" pivotButton="0" quotePrefix="0" xfId="3"/>
    <xf numFmtId="166" fontId="13" fillId="0" borderId="0" pivotButton="0" quotePrefix="0" xfId="3"/>
    <xf numFmtId="176" fontId="17" fillId="2" borderId="0" applyAlignment="1" pivotButton="0" quotePrefix="0" xfId="7">
      <alignment horizontal="center" vertical="center"/>
    </xf>
    <xf numFmtId="177" fontId="20" fillId="2" borderId="0" applyAlignment="1" pivotButton="0" quotePrefix="0" xfId="7">
      <alignment horizontal="center" vertical="center"/>
    </xf>
    <xf numFmtId="0" fontId="0" fillId="5" borderId="0" pivotButton="0" quotePrefix="0" xfId="0"/>
    <xf numFmtId="0" fontId="11" fillId="0" borderId="19" pivotButton="0" quotePrefix="0" xfId="0"/>
    <xf numFmtId="0" fontId="10" fillId="0" borderId="0" pivotButton="0" quotePrefix="0" xfId="8"/>
    <xf numFmtId="0" fontId="10" fillId="0" borderId="15" pivotButton="0" quotePrefix="0" xfId="8"/>
    <xf numFmtId="0" fontId="10" fillId="0" borderId="14" pivotButton="0" quotePrefix="0" xfId="8"/>
    <xf numFmtId="0" fontId="10" fillId="0" borderId="13" pivotButton="0" quotePrefix="0" xfId="8"/>
    <xf numFmtId="0" fontId="10" fillId="0" borderId="11" pivotButton="0" quotePrefix="0" xfId="8"/>
    <xf numFmtId="0" fontId="10" fillId="0" borderId="10" pivotButton="0" quotePrefix="0" xfId="8"/>
    <xf numFmtId="0" fontId="10" fillId="0" borderId="9" pivotButton="0" quotePrefix="0" xfId="8"/>
    <xf numFmtId="14" fontId="10" fillId="0" borderId="13" applyAlignment="1" pivotButton="0" quotePrefix="0" xfId="8">
      <alignment horizontal="center" vertical="center"/>
    </xf>
    <xf numFmtId="0" fontId="10" fillId="0" borderId="10" applyAlignment="1" pivotButton="0" quotePrefix="0" xfId="8">
      <alignment horizontal="center"/>
    </xf>
    <xf numFmtId="0" fontId="10" fillId="0" borderId="9" applyAlignment="1" pivotButton="0" quotePrefix="0" xfId="8">
      <alignment horizontal="center" vertical="center"/>
    </xf>
    <xf numFmtId="178" fontId="29" fillId="0" borderId="49" applyAlignment="1" pivotButton="0" quotePrefix="0" xfId="8">
      <alignment horizontal="right"/>
    </xf>
    <xf numFmtId="179" fontId="10" fillId="0" borderId="25" applyAlignment="1" pivotButton="0" quotePrefix="0" xfId="8">
      <alignment horizontal="center" vertical="center"/>
    </xf>
    <xf numFmtId="2" fontId="10" fillId="0" borderId="19" applyAlignment="1" pivotButton="0" quotePrefix="0" xfId="8">
      <alignment horizontal="center"/>
    </xf>
    <xf numFmtId="0" fontId="10" fillId="0" borderId="0" applyAlignment="1" pivotButton="0" quotePrefix="0" xfId="8">
      <alignment horizontal="center" vertical="center"/>
    </xf>
    <xf numFmtId="0" fontId="10" fillId="0" borderId="41" pivotButton="0" quotePrefix="0" xfId="8"/>
    <xf numFmtId="2" fontId="10" fillId="0" borderId="17" applyAlignment="1" pivotButton="0" quotePrefix="0" xfId="8">
      <alignment horizontal="center"/>
    </xf>
    <xf numFmtId="0" fontId="10" fillId="0" borderId="24" applyAlignment="1" pivotButton="0" quotePrefix="0" xfId="8">
      <alignment horizontal="center" vertical="center"/>
    </xf>
    <xf numFmtId="0" fontId="10" fillId="0" borderId="51" pivotButton="0" quotePrefix="0" xfId="8"/>
    <xf numFmtId="0" fontId="10" fillId="0" borderId="41" applyAlignment="1" pivotButton="0" quotePrefix="0" xfId="8">
      <alignment horizontal="center"/>
    </xf>
    <xf numFmtId="0" fontId="10" fillId="0" borderId="36" applyAlignment="1" pivotButton="0" quotePrefix="0" xfId="8">
      <alignment horizontal="center" vertical="center"/>
    </xf>
    <xf numFmtId="0" fontId="10" fillId="0" borderId="17" applyAlignment="1" pivotButton="0" quotePrefix="0" xfId="8">
      <alignment horizontal="center" vertical="center"/>
    </xf>
    <xf numFmtId="0" fontId="10" fillId="0" borderId="4" applyAlignment="1" pivotButton="0" quotePrefix="0" xfId="8">
      <alignment horizontal="center" vertical="center"/>
    </xf>
    <xf numFmtId="0" fontId="10" fillId="0" borderId="52" applyAlignment="1" pivotButton="0" quotePrefix="0" xfId="8">
      <alignment horizontal="center" vertical="center"/>
    </xf>
    <xf numFmtId="0" fontId="10" fillId="0" borderId="2" pivotButton="0" quotePrefix="0" xfId="8"/>
    <xf numFmtId="0" fontId="10" fillId="0" borderId="53" pivotButton="0" quotePrefix="0" xfId="8"/>
    <xf numFmtId="179" fontId="10" fillId="0" borderId="36" applyAlignment="1" pivotButton="0" quotePrefix="0" xfId="8">
      <alignment horizontal="center" vertical="center"/>
    </xf>
    <xf numFmtId="0" fontId="10" fillId="0" borderId="41" applyAlignment="1" pivotButton="0" quotePrefix="0" xfId="8">
      <alignment horizontal="center" vertical="center"/>
    </xf>
    <xf numFmtId="0" fontId="11" fillId="0" borderId="19" applyAlignment="1" pivotButton="0" quotePrefix="0" xfId="0">
      <alignment vertical="center"/>
    </xf>
    <xf numFmtId="0" fontId="13" fillId="0" borderId="19" applyAlignment="1" pivotButton="0" quotePrefix="0" xfId="0">
      <alignment vertical="center"/>
    </xf>
    <xf numFmtId="164" fontId="13" fillId="0" borderId="19" applyAlignment="1" pivotButton="0" quotePrefix="0" xfId="3">
      <alignment vertical="center"/>
    </xf>
    <xf numFmtId="0" fontId="11" fillId="0" borderId="17" pivotButton="0" quotePrefix="0" xfId="0"/>
    <xf numFmtId="1" fontId="27" fillId="0" borderId="19" applyAlignment="1" pivotButton="0" quotePrefix="0" xfId="0">
      <alignment horizontal="center" vertical="center"/>
    </xf>
    <xf numFmtId="0" fontId="11" fillId="0" borderId="24" pivotButton="0" quotePrefix="0" xfId="0"/>
    <xf numFmtId="0" fontId="0" fillId="8" borderId="19" pivotButton="0" quotePrefix="0" xfId="0"/>
    <xf numFmtId="0" fontId="0" fillId="8" borderId="0" pivotButton="0" quotePrefix="0" xfId="0"/>
    <xf numFmtId="0" fontId="0" fillId="8" borderId="19" applyAlignment="1" pivotButton="0" quotePrefix="0" xfId="0">
      <alignment horizontal="center"/>
    </xf>
    <xf numFmtId="165" fontId="19" fillId="0" borderId="3" pivotButton="0" quotePrefix="0" xfId="0"/>
    <xf numFmtId="165" fontId="19" fillId="0" borderId="0" pivotButton="0" quotePrefix="0" xfId="0"/>
    <xf numFmtId="165" fontId="19" fillId="0" borderId="43" pivotButton="0" quotePrefix="0" xfId="0"/>
    <xf numFmtId="165" fontId="19" fillId="0" borderId="14" pivotButton="0" quotePrefix="0" xfId="0"/>
    <xf numFmtId="1" fontId="27" fillId="7" borderId="19" applyAlignment="1" pivotButton="0" quotePrefix="0" xfId="0">
      <alignment horizontal="center" vertical="center" wrapText="1"/>
    </xf>
    <xf numFmtId="0" fontId="11" fillId="0" borderId="20" pivotButton="0" quotePrefix="0" xfId="0"/>
    <xf numFmtId="179" fontId="10" fillId="0" borderId="0" pivotButton="0" quotePrefix="0" xfId="8"/>
    <xf numFmtId="2" fontId="10" fillId="0" borderId="0" pivotButton="0" quotePrefix="0" xfId="8"/>
    <xf numFmtId="0" fontId="10" fillId="0" borderId="39" pivotButton="0" quotePrefix="0" xfId="8"/>
    <xf numFmtId="0" fontId="10" fillId="0" borderId="37" pivotButton="0" quotePrefix="0" xfId="8"/>
    <xf numFmtId="0" fontId="11" fillId="0" borderId="0" pivotButton="0" quotePrefix="0" xfId="0"/>
    <xf numFmtId="177" fontId="11" fillId="0" borderId="0" pivotButton="0" quotePrefix="0" xfId="7"/>
    <xf numFmtId="177" fontId="0" fillId="0" borderId="0" pivotButton="0" quotePrefix="0" xfId="7"/>
    <xf numFmtId="176" fontId="0" fillId="0" borderId="0" pivotButton="0" quotePrefix="0" xfId="7"/>
    <xf numFmtId="3" fontId="11" fillId="0" borderId="19" pivotButton="0" quotePrefix="0" xfId="3"/>
    <xf numFmtId="2" fontId="27" fillId="0" borderId="19" applyAlignment="1" pivotButton="0" quotePrefix="0" xfId="0">
      <alignment horizontal="center" vertical="center"/>
    </xf>
    <xf numFmtId="180" fontId="0" fillId="8" borderId="19" pivotButton="0" quotePrefix="0" xfId="0"/>
    <xf numFmtId="1" fontId="32" fillId="0" borderId="0" applyAlignment="1" pivotButton="0" quotePrefix="0" xfId="0">
      <alignment horizontal="center" vertical="center" shrinkToFit="1"/>
    </xf>
    <xf numFmtId="179" fontId="32" fillId="0" borderId="0" applyAlignment="1" pivotButton="0" quotePrefix="0" xfId="0">
      <alignment horizontal="center" vertical="center" shrinkToFit="1"/>
    </xf>
    <xf numFmtId="0" fontId="11" fillId="0" borderId="0" applyAlignment="1" pivotButton="0" quotePrefix="0" xfId="0">
      <alignment horizontal="center" vertical="center" wrapText="1"/>
    </xf>
    <xf numFmtId="0" fontId="11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11" fillId="9" borderId="0" applyAlignment="1" pivotButton="0" quotePrefix="0" xfId="0">
      <alignment horizontal="center" vertical="center"/>
    </xf>
    <xf numFmtId="0" fontId="12" fillId="9" borderId="0" applyAlignment="1" pivotButton="0" quotePrefix="0" xfId="0">
      <alignment horizontal="center" vertical="center" wrapText="1"/>
    </xf>
    <xf numFmtId="1" fontId="32" fillId="9" borderId="0" applyAlignment="1" pivotButton="0" quotePrefix="0" xfId="0">
      <alignment horizontal="center" vertical="center" shrinkToFit="1"/>
    </xf>
    <xf numFmtId="0" fontId="11" fillId="9" borderId="0" applyAlignment="1" pivotButton="0" quotePrefix="0" xfId="0">
      <alignment horizontal="center" vertical="center" wrapText="1"/>
    </xf>
    <xf numFmtId="0" fontId="16" fillId="0" borderId="19" pivotButton="0" quotePrefix="0" xfId="0"/>
    <xf numFmtId="0" fontId="11" fillId="0" borderId="0" applyAlignment="1" pivotButton="0" quotePrefix="0" xfId="0">
      <alignment horizontal="left" vertical="center"/>
    </xf>
    <xf numFmtId="0" fontId="12" fillId="0" borderId="23" pivotButton="0" quotePrefix="0" xfId="0"/>
    <xf numFmtId="3" fontId="11" fillId="0" borderId="0" pivotButton="0" quotePrefix="0" xfId="0"/>
    <xf numFmtId="3" fontId="11" fillId="0" borderId="0" pivotButton="0" quotePrefix="0" xfId="7"/>
    <xf numFmtId="177" fontId="11" fillId="0" borderId="0" pivotButton="0" quotePrefix="0" xfId="7"/>
    <xf numFmtId="177" fontId="0" fillId="0" borderId="0" pivotButton="0" quotePrefix="0" xfId="7"/>
    <xf numFmtId="0" fontId="11" fillId="0" borderId="16" pivotButton="0" quotePrefix="0" xfId="0"/>
    <xf numFmtId="165" fontId="11" fillId="0" borderId="16" pivotButton="0" quotePrefix="0" xfId="3"/>
    <xf numFmtId="0" fontId="11" fillId="0" borderId="9" pivotButton="0" quotePrefix="0" xfId="0"/>
    <xf numFmtId="0" fontId="11" fillId="0" borderId="11" pivotButton="0" quotePrefix="0" xfId="0"/>
    <xf numFmtId="164" fontId="11" fillId="0" borderId="16" pivotButton="0" quotePrefix="0" xfId="3"/>
    <xf numFmtId="4" fontId="11" fillId="0" borderId="11" pivotButton="0" quotePrefix="0" xfId="3"/>
    <xf numFmtId="0" fontId="11" fillId="0" borderId="15" pivotButton="0" quotePrefix="0" xfId="0"/>
    <xf numFmtId="1" fontId="11" fillId="0" borderId="19" pivotButton="0" quotePrefix="0" xfId="0"/>
    <xf numFmtId="173" fontId="11" fillId="0" borderId="19" pivotButton="0" quotePrefix="0" xfId="3"/>
    <xf numFmtId="164" fontId="11" fillId="0" borderId="19" pivotButton="0" quotePrefix="0" xfId="3"/>
    <xf numFmtId="4" fontId="11" fillId="0" borderId="18" pivotButton="0" quotePrefix="0" xfId="3"/>
    <xf numFmtId="164" fontId="11" fillId="0" borderId="18" pivotButton="0" quotePrefix="0" xfId="3"/>
    <xf numFmtId="175" fontId="11" fillId="0" borderId="19" pivotButton="0" quotePrefix="0" xfId="3"/>
    <xf numFmtId="165" fontId="11" fillId="2" borderId="19" applyAlignment="1" pivotButton="0" quotePrefix="0" xfId="3">
      <alignment horizontal="center" vertical="center"/>
    </xf>
    <xf numFmtId="175" fontId="11" fillId="0" borderId="16" pivotButton="0" quotePrefix="0" xfId="3"/>
    <xf numFmtId="165" fontId="11" fillId="2" borderId="16" applyAlignment="1" pivotButton="0" quotePrefix="0" xfId="3">
      <alignment horizontal="center" vertical="center"/>
    </xf>
    <xf numFmtId="4" fontId="11" fillId="0" borderId="35" pivotButton="0" quotePrefix="0" xfId="3"/>
    <xf numFmtId="166" fontId="11" fillId="0" borderId="0" pivotButton="0" quotePrefix="0" xfId="3"/>
    <xf numFmtId="167" fontId="11" fillId="0" borderId="0" pivotButton="0" quotePrefix="0" xfId="3"/>
    <xf numFmtId="181" fontId="12" fillId="0" borderId="35" pivotButton="0" quotePrefix="0" xfId="3"/>
    <xf numFmtId="165" fontId="11" fillId="0" borderId="0" pivotButton="0" quotePrefix="0" xfId="3"/>
    <xf numFmtId="165" fontId="11" fillId="0" borderId="0" pivotButton="0" quotePrefix="0" xfId="0"/>
    <xf numFmtId="170" fontId="11" fillId="0" borderId="0" pivotButton="0" quotePrefix="0" xfId="3"/>
    <xf numFmtId="0" fontId="11" fillId="0" borderId="3" pivotButton="0" quotePrefix="0" xfId="0"/>
    <xf numFmtId="165" fontId="11" fillId="0" borderId="32" pivotButton="0" quotePrefix="0" xfId="3"/>
    <xf numFmtId="0" fontId="11" fillId="0" borderId="37" pivotButton="0" quotePrefix="0" xfId="0"/>
    <xf numFmtId="9" fontId="11" fillId="0" borderId="25" pivotButton="0" quotePrefix="0" xfId="5"/>
    <xf numFmtId="0" fontId="11" fillId="0" borderId="27" pivotButton="0" quotePrefix="0" xfId="0"/>
    <xf numFmtId="182" fontId="11" fillId="0" borderId="32" pivotButton="0" quotePrefix="0" xfId="0"/>
    <xf numFmtId="173" fontId="11" fillId="0" borderId="35" pivotButton="0" quotePrefix="0" xfId="0"/>
    <xf numFmtId="182" fontId="11" fillId="0" borderId="25" pivotButton="0" quotePrefix="0" xfId="0"/>
    <xf numFmtId="0" fontId="34" fillId="4" borderId="0" applyAlignment="1" pivotButton="0" quotePrefix="0" xfId="0">
      <alignment horizontal="center" vertical="center"/>
    </xf>
    <xf numFmtId="177" fontId="30" fillId="4" borderId="0" applyAlignment="1" pivotButton="0" quotePrefix="0" xfId="7">
      <alignment horizontal="center" vertical="center"/>
    </xf>
    <xf numFmtId="165" fontId="35" fillId="10" borderId="0" applyAlignment="1" pivotButton="0" quotePrefix="0" xfId="0">
      <alignment horizontal="center" vertical="center" wrapText="1"/>
    </xf>
    <xf numFmtId="177" fontId="36" fillId="10" borderId="0" applyAlignment="1" pivotButton="0" quotePrefix="0" xfId="7">
      <alignment horizontal="center" vertical="center"/>
    </xf>
    <xf numFmtId="182" fontId="11" fillId="0" borderId="38" pivotButton="0" quotePrefix="0" xfId="0"/>
    <xf numFmtId="182" fontId="11" fillId="0" borderId="23" pivotButton="0" quotePrefix="0" xfId="0"/>
    <xf numFmtId="177" fontId="12" fillId="0" borderId="35" applyAlignment="1" pivotButton="0" quotePrefix="0" xfId="7">
      <alignment horizontal="center" vertical="center"/>
    </xf>
    <xf numFmtId="0" fontId="37" fillId="0" borderId="35" pivotButton="0" quotePrefix="0" xfId="0"/>
    <xf numFmtId="1" fontId="38" fillId="0" borderId="0" applyAlignment="1" pivotButton="0" quotePrefix="0" xfId="0">
      <alignment horizontal="center" vertical="top" shrinkToFit="1"/>
    </xf>
    <xf numFmtId="0" fontId="39" fillId="0" borderId="0" applyAlignment="1" pivotButton="0" quotePrefix="0" xfId="0">
      <alignment horizontal="left" vertical="top" wrapText="1"/>
    </xf>
    <xf numFmtId="1" fontId="38" fillId="0" borderId="0" applyAlignment="1" pivotButton="0" quotePrefix="0" xfId="0">
      <alignment vertical="top" shrinkToFit="1"/>
    </xf>
    <xf numFmtId="179" fontId="38" fillId="0" borderId="0" applyAlignment="1" pivotButton="0" quotePrefix="0" xfId="0">
      <alignment vertical="top" shrinkToFit="1"/>
    </xf>
    <xf numFmtId="0" fontId="40" fillId="0" borderId="0" applyAlignment="1" pivotButton="0" quotePrefix="0" xfId="0">
      <alignment horizontal="left" vertical="top" wrapText="1"/>
    </xf>
    <xf numFmtId="1" fontId="38" fillId="0" borderId="0" applyAlignment="1" pivotButton="0" quotePrefix="0" xfId="0">
      <alignment horizontal="left" vertical="top" shrinkToFit="1" indent="1"/>
    </xf>
    <xf numFmtId="179" fontId="38" fillId="0" borderId="0" applyAlignment="1" pivotButton="0" quotePrefix="0" xfId="0">
      <alignment horizontal="center" vertical="top" shrinkToFit="1"/>
    </xf>
    <xf numFmtId="0" fontId="39" fillId="0" borderId="0" applyAlignment="1" pivotButton="0" quotePrefix="0" xfId="0">
      <alignment horizontal="center" vertical="top" wrapText="1"/>
    </xf>
    <xf numFmtId="0" fontId="39" fillId="0" borderId="0" applyAlignment="1" pivotButton="0" quotePrefix="0" xfId="0">
      <alignment vertical="top" wrapText="1"/>
    </xf>
    <xf numFmtId="0" fontId="39" fillId="0" borderId="0" applyAlignment="1" pivotButton="0" quotePrefix="0" xfId="0">
      <alignment horizontal="left" vertical="top" wrapText="1" indent="1"/>
    </xf>
    <xf numFmtId="183" fontId="11" fillId="0" borderId="0" pivotButton="0" quotePrefix="0" xfId="0"/>
    <xf numFmtId="0" fontId="31" fillId="0" borderId="0" applyAlignment="1" pivotButton="0" quotePrefix="0" xfId="0">
      <alignment horizontal="center" vertical="center"/>
    </xf>
    <xf numFmtId="177" fontId="11" fillId="0" borderId="0" applyAlignment="1" pivotButton="0" quotePrefix="0" xfId="7">
      <alignment horizontal="center" vertical="center"/>
    </xf>
    <xf numFmtId="177" fontId="0" fillId="0" borderId="0" applyAlignment="1" pivotButton="0" quotePrefix="0" xfId="7">
      <alignment horizontal="center" vertical="center"/>
    </xf>
    <xf numFmtId="177" fontId="11" fillId="0" borderId="0" applyAlignment="1" pivotButton="0" quotePrefix="0" xfId="0">
      <alignment horizontal="center" vertical="center"/>
    </xf>
    <xf numFmtId="177" fontId="0" fillId="0" borderId="0" pivotButton="0" quotePrefix="0" xfId="0"/>
    <xf numFmtId="184" fontId="11" fillId="0" borderId="19" pivotButton="0" quotePrefix="0" xfId="0"/>
    <xf numFmtId="175" fontId="12" fillId="0" borderId="35" pivotButton="0" quotePrefix="0" xfId="3"/>
    <xf numFmtId="173" fontId="13" fillId="0" borderId="23" pivotButton="0" quotePrefix="0" xfId="0"/>
    <xf numFmtId="173" fontId="17" fillId="0" borderId="32" pivotButton="0" quotePrefix="0" xfId="0"/>
    <xf numFmtId="182" fontId="17" fillId="0" borderId="25" pivotButton="0" quotePrefix="0" xfId="0"/>
    <xf numFmtId="182" fontId="17" fillId="0" borderId="38" pivotButton="0" quotePrefix="0" xfId="0"/>
    <xf numFmtId="0" fontId="12" fillId="0" borderId="15" applyAlignment="1" pivotButton="0" quotePrefix="0" xfId="0">
      <alignment horizontal="center" vertical="center"/>
    </xf>
    <xf numFmtId="0" fontId="12" fillId="0" borderId="13" applyAlignment="1" pivotButton="0" quotePrefix="0" xfId="0">
      <alignment horizontal="center" vertical="center"/>
    </xf>
    <xf numFmtId="176" fontId="26" fillId="0" borderId="19" applyAlignment="1" pivotButton="0" quotePrefix="0" xfId="7">
      <alignment horizontal="center" vertical="center"/>
    </xf>
    <xf numFmtId="0" fontId="11" fillId="0" borderId="20" applyAlignment="1" pivotButton="0" quotePrefix="0" xfId="0">
      <alignment horizontal="center" vertical="center"/>
    </xf>
    <xf numFmtId="176" fontId="26" fillId="0" borderId="16" applyAlignment="1" pivotButton="0" quotePrefix="0" xfId="7">
      <alignment horizontal="center" vertical="center"/>
    </xf>
    <xf numFmtId="0" fontId="11" fillId="0" borderId="9" applyAlignment="1" pivotButton="0" quotePrefix="0" xfId="0">
      <alignment horizontal="center" vertical="center"/>
    </xf>
    <xf numFmtId="0" fontId="0" fillId="0" borderId="20" pivotButton="0" quotePrefix="0" xfId="0"/>
    <xf numFmtId="0" fontId="11" fillId="0" borderId="21" applyAlignment="1" pivotButton="0" quotePrefix="0" xfId="0">
      <alignment horizontal="left" vertical="center"/>
    </xf>
    <xf numFmtId="0" fontId="11" fillId="0" borderId="11" applyAlignment="1" pivotButton="0" quotePrefix="0" xfId="0">
      <alignment horizontal="left" vertical="center"/>
    </xf>
    <xf numFmtId="173" fontId="11" fillId="0" borderId="0" pivotButton="0" quotePrefix="0" xfId="0"/>
    <xf numFmtId="49" fontId="11" fillId="0" borderId="0" applyAlignment="1" pivotButton="0" quotePrefix="0" xfId="0">
      <alignment horizontal="left" vertical="center"/>
    </xf>
    <xf numFmtId="176" fontId="0" fillId="0" borderId="0" applyAlignment="1" pivotButton="0" quotePrefix="0" xfId="7">
      <alignment horizontal="center" vertical="center"/>
    </xf>
    <xf numFmtId="2" fontId="41" fillId="0" borderId="0" pivotButton="0" quotePrefix="0" xfId="0"/>
    <xf numFmtId="0" fontId="41" fillId="0" borderId="0" pivotButton="0" quotePrefix="0" xfId="0"/>
    <xf numFmtId="0" fontId="0" fillId="8" borderId="0" applyAlignment="1" pivotButton="0" quotePrefix="0" xfId="0">
      <alignment horizontal="center"/>
    </xf>
    <xf numFmtId="164" fontId="0" fillId="8" borderId="0" pivotButton="0" quotePrefix="0" xfId="3"/>
    <xf numFmtId="0" fontId="42" fillId="4" borderId="45" applyAlignment="1" pivotButton="0" quotePrefix="0" xfId="0">
      <alignment horizontal="center" vertical="center"/>
    </xf>
    <xf numFmtId="185" fontId="42" fillId="4" borderId="46" applyAlignment="1" pivotButton="0" quotePrefix="0" xfId="7">
      <alignment horizontal="center" vertical="center"/>
    </xf>
    <xf numFmtId="0" fontId="8" fillId="0" borderId="0" applyAlignment="1" pivotButton="0" quotePrefix="0" xfId="8">
      <alignment horizontal="center" vertical="center"/>
    </xf>
    <xf numFmtId="177" fontId="10" fillId="0" borderId="0" applyAlignment="1" pivotButton="0" quotePrefix="0" xfId="7">
      <alignment horizontal="center" vertical="center"/>
    </xf>
    <xf numFmtId="177" fontId="8" fillId="0" borderId="0" applyAlignment="1" pivotButton="0" quotePrefix="0" xfId="7">
      <alignment horizontal="center" vertical="center"/>
    </xf>
    <xf numFmtId="176" fontId="10" fillId="0" borderId="0" applyAlignment="1" pivotButton="0" quotePrefix="0" xfId="7">
      <alignment horizontal="center" vertical="center"/>
    </xf>
    <xf numFmtId="176" fontId="8" fillId="0" borderId="0" applyAlignment="1" pivotButton="0" quotePrefix="0" xfId="7">
      <alignment horizontal="center" vertical="center"/>
    </xf>
    <xf numFmtId="0" fontId="10" fillId="0" borderId="48" pivotButton="0" quotePrefix="0" xfId="8"/>
    <xf numFmtId="0" fontId="10" fillId="0" borderId="25" pivotButton="0" quotePrefix="0" xfId="8"/>
    <xf numFmtId="0" fontId="9" fillId="0" borderId="38" pivotButton="0" quotePrefix="0" xfId="8"/>
    <xf numFmtId="0" fontId="9" fillId="0" borderId="31" pivotButton="0" quotePrefix="0" xfId="8"/>
    <xf numFmtId="0" fontId="9" fillId="0" borderId="28" pivotButton="0" quotePrefix="0" xfId="8"/>
    <xf numFmtId="0" fontId="10" fillId="0" borderId="26" pivotButton="0" quotePrefix="0" xfId="8"/>
    <xf numFmtId="0" fontId="10" fillId="0" borderId="54" pivotButton="0" quotePrefix="0" xfId="8"/>
    <xf numFmtId="166" fontId="0" fillId="0" borderId="19" pivotButton="0" quotePrefix="0" xfId="3"/>
    <xf numFmtId="0" fontId="8" fillId="0" borderId="26" pivotButton="0" quotePrefix="0" xfId="8"/>
    <xf numFmtId="0" fontId="8" fillId="0" borderId="31" pivotButton="0" quotePrefix="0" xfId="8"/>
    <xf numFmtId="2" fontId="34" fillId="4" borderId="56" applyAlignment="1" pivotButton="0" quotePrefix="0" xfId="0">
      <alignment horizontal="center" vertical="center"/>
    </xf>
    <xf numFmtId="2" fontId="34" fillId="4" borderId="57" applyAlignment="1" pivotButton="0" quotePrefix="0" xfId="0">
      <alignment horizontal="center" vertical="center"/>
    </xf>
    <xf numFmtId="2" fontId="34" fillId="4" borderId="58" applyAlignment="1" pivotButton="0" quotePrefix="0" xfId="0">
      <alignment horizontal="center" vertical="center"/>
    </xf>
    <xf numFmtId="2" fontId="23" fillId="4" borderId="41" applyAlignment="1" pivotButton="0" quotePrefix="0" xfId="0">
      <alignment horizontal="center" vertical="center"/>
    </xf>
    <xf numFmtId="1" fontId="23" fillId="4" borderId="19" applyAlignment="1" pivotButton="0" quotePrefix="0" xfId="0">
      <alignment horizontal="center" vertical="center"/>
    </xf>
    <xf numFmtId="177" fontId="23" fillId="4" borderId="19" applyAlignment="1" pivotButton="0" quotePrefix="0" xfId="7">
      <alignment horizontal="center" vertical="center"/>
    </xf>
    <xf numFmtId="177" fontId="23" fillId="4" borderId="40" applyAlignment="1" pivotButton="0" quotePrefix="0" xfId="7">
      <alignment horizontal="center" vertical="center"/>
    </xf>
    <xf numFmtId="2" fontId="23" fillId="4" borderId="42" applyAlignment="1" pivotButton="0" quotePrefix="0" xfId="0">
      <alignment horizontal="center" vertical="center"/>
    </xf>
    <xf numFmtId="1" fontId="23" fillId="4" borderId="59" applyAlignment="1" pivotButton="0" quotePrefix="0" xfId="0">
      <alignment horizontal="center" vertical="center"/>
    </xf>
    <xf numFmtId="177" fontId="23" fillId="4" borderId="59" applyAlignment="1" pivotButton="0" quotePrefix="0" xfId="7">
      <alignment horizontal="center" vertical="center"/>
    </xf>
    <xf numFmtId="177" fontId="23" fillId="4" borderId="60" applyAlignment="1" pivotButton="0" quotePrefix="0" xfId="7">
      <alignment horizontal="center" vertical="center"/>
    </xf>
    <xf numFmtId="0" fontId="44" fillId="10" borderId="35" applyAlignment="1" pivotButton="0" quotePrefix="0" xfId="0">
      <alignment horizontal="center" vertical="center"/>
    </xf>
    <xf numFmtId="0" fontId="44" fillId="10" borderId="22" applyAlignment="1" pivotButton="0" quotePrefix="0" xfId="0">
      <alignment horizontal="center" vertical="center"/>
    </xf>
    <xf numFmtId="2" fontId="34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horizontal="center" vertical="center"/>
    </xf>
    <xf numFmtId="1" fontId="23" fillId="0" borderId="0" applyAlignment="1" pivotButton="0" quotePrefix="0" xfId="0">
      <alignment horizontal="center" vertical="center"/>
    </xf>
    <xf numFmtId="177" fontId="23" fillId="0" borderId="0" applyAlignment="1" pivotButton="0" quotePrefix="0" xfId="7">
      <alignment horizontal="center" vertical="center"/>
    </xf>
    <xf numFmtId="0" fontId="44" fillId="0" borderId="0" applyAlignment="1" pivotButton="0" quotePrefix="0" xfId="0">
      <alignment horizontal="center" vertical="center"/>
    </xf>
    <xf numFmtId="177" fontId="44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177" fontId="23" fillId="0" borderId="0" applyAlignment="1" pivotButton="0" quotePrefix="0" xfId="7">
      <alignment vertical="center"/>
    </xf>
    <xf numFmtId="0" fontId="19" fillId="0" borderId="0" pivotButton="0" quotePrefix="0" xfId="0"/>
    <xf numFmtId="1" fontId="27" fillId="0" borderId="0" applyAlignment="1" pivotButton="0" quotePrefix="0" xfId="0">
      <alignment horizontal="center" vertical="center"/>
    </xf>
    <xf numFmtId="0" fontId="13" fillId="0" borderId="0" applyAlignment="1" pivotButton="0" quotePrefix="0" xfId="0">
      <alignment vertical="center"/>
    </xf>
    <xf numFmtId="176" fontId="11" fillId="0" borderId="0" applyAlignment="1" pivotButton="0" quotePrefix="0" xfId="7">
      <alignment horizontal="center" vertical="center"/>
    </xf>
    <xf numFmtId="176" fontId="11" fillId="0" borderId="0" applyAlignment="1" pivotButton="0" quotePrefix="0" xfId="7">
      <alignment horizontal="center" vertical="center" wrapText="1"/>
    </xf>
    <xf numFmtId="176" fontId="32" fillId="0" borderId="0" applyAlignment="1" pivotButton="0" quotePrefix="0" xfId="7">
      <alignment horizontal="center" vertical="center" shrinkToFit="1"/>
    </xf>
    <xf numFmtId="176" fontId="0" fillId="0" borderId="0" applyAlignment="1" pivotButton="0" quotePrefix="0" xfId="7">
      <alignment horizontal="center" vertical="center"/>
    </xf>
    <xf numFmtId="0" fontId="47" fillId="10" borderId="55" applyAlignment="1" pivotButton="0" quotePrefix="0" xfId="10">
      <alignment horizontal="center"/>
    </xf>
    <xf numFmtId="0" fontId="47" fillId="0" borderId="23" pivotButton="0" quotePrefix="0" xfId="10"/>
    <xf numFmtId="0" fontId="47" fillId="12" borderId="23" applyAlignment="1" pivotButton="0" quotePrefix="0" xfId="10">
      <alignment horizontal="center"/>
    </xf>
    <xf numFmtId="0" fontId="47" fillId="0" borderId="2" pivotButton="0" quotePrefix="0" xfId="10"/>
    <xf numFmtId="0" fontId="7" fillId="0" borderId="2" pivotButton="0" quotePrefix="0" xfId="10"/>
    <xf numFmtId="0" fontId="7" fillId="0" borderId="4" applyAlignment="1" pivotButton="0" quotePrefix="0" xfId="10">
      <alignment horizontal="center"/>
    </xf>
    <xf numFmtId="0" fontId="7" fillId="0" borderId="0" pivotButton="0" quotePrefix="0" xfId="10"/>
    <xf numFmtId="0" fontId="7" fillId="0" borderId="3" pivotButton="0" quotePrefix="0" xfId="10"/>
    <xf numFmtId="0" fontId="7" fillId="10" borderId="0" pivotButton="0" quotePrefix="0" xfId="10"/>
    <xf numFmtId="0" fontId="7" fillId="0" borderId="36" applyAlignment="1" pivotButton="0" quotePrefix="0" xfId="10">
      <alignment horizontal="center"/>
    </xf>
    <xf numFmtId="0" fontId="7" fillId="12" borderId="0" pivotButton="0" quotePrefix="0" xfId="10"/>
    <xf numFmtId="0" fontId="7" fillId="13" borderId="0" pivotButton="0" quotePrefix="0" xfId="10"/>
    <xf numFmtId="0" fontId="7" fillId="14" borderId="0" pivotButton="0" quotePrefix="0" xfId="10"/>
    <xf numFmtId="0" fontId="47" fillId="10" borderId="0" applyAlignment="1" pivotButton="0" quotePrefix="0" xfId="10">
      <alignment horizontal="center"/>
    </xf>
    <xf numFmtId="0" fontId="47" fillId="0" borderId="0" applyAlignment="1" pivotButton="0" quotePrefix="0" xfId="10">
      <alignment horizontal="center"/>
    </xf>
    <xf numFmtId="0" fontId="47" fillId="12" borderId="0" applyAlignment="1" pivotButton="0" quotePrefix="0" xfId="10">
      <alignment horizontal="center"/>
    </xf>
    <xf numFmtId="0" fontId="7" fillId="0" borderId="0" applyAlignment="1" pivotButton="0" quotePrefix="0" xfId="10">
      <alignment horizontal="center"/>
    </xf>
    <xf numFmtId="0" fontId="47" fillId="13" borderId="0" applyAlignment="1" pivotButton="0" quotePrefix="0" xfId="10">
      <alignment horizontal="center"/>
    </xf>
    <xf numFmtId="0" fontId="47" fillId="0" borderId="0" pivotButton="0" quotePrefix="0" xfId="10"/>
    <xf numFmtId="0" fontId="7" fillId="0" borderId="1" pivotButton="0" quotePrefix="0" xfId="10"/>
    <xf numFmtId="0" fontId="7" fillId="0" borderId="2" applyAlignment="1" pivotButton="0" quotePrefix="0" xfId="10">
      <alignment horizontal="center"/>
    </xf>
    <xf numFmtId="0" fontId="7" fillId="0" borderId="4" pivotButton="0" quotePrefix="0" xfId="10"/>
    <xf numFmtId="0" fontId="47" fillId="16" borderId="61" applyAlignment="1" pivotButton="0" quotePrefix="0" xfId="10">
      <alignment horizontal="center"/>
    </xf>
    <xf numFmtId="0" fontId="51" fillId="2" borderId="46" pivotButton="0" quotePrefix="0" xfId="10"/>
    <xf numFmtId="0" fontId="7" fillId="0" borderId="36" pivotButton="0" quotePrefix="0" xfId="10"/>
    <xf numFmtId="0" fontId="47" fillId="12" borderId="61" applyAlignment="1" pivotButton="0" quotePrefix="0" xfId="10">
      <alignment horizontal="center"/>
    </xf>
    <xf numFmtId="0" fontId="48" fillId="12" borderId="62" applyAlignment="1" pivotButton="0" quotePrefix="0" xfId="10">
      <alignment horizontal="center"/>
    </xf>
    <xf numFmtId="0" fontId="47" fillId="17" borderId="61" applyAlignment="1" pivotButton="0" quotePrefix="0" xfId="10">
      <alignment horizontal="center"/>
    </xf>
    <xf numFmtId="0" fontId="48" fillId="0" borderId="30" applyAlignment="1" pivotButton="0" quotePrefix="0" xfId="10">
      <alignment horizontal="center"/>
    </xf>
    <xf numFmtId="0" fontId="47" fillId="2" borderId="30" applyAlignment="1" pivotButton="0" quotePrefix="0" xfId="10">
      <alignment horizontal="center"/>
    </xf>
    <xf numFmtId="0" fontId="51" fillId="2" borderId="30" pivotButton="0" quotePrefix="0" xfId="10"/>
    <xf numFmtId="0" fontId="47" fillId="7" borderId="55" applyAlignment="1" pivotButton="0" quotePrefix="0" xfId="10">
      <alignment horizontal="center"/>
    </xf>
    <xf numFmtId="0" fontId="51" fillId="2" borderId="35" pivotButton="0" quotePrefix="0" xfId="10"/>
    <xf numFmtId="0" fontId="7" fillId="0" borderId="28" pivotButton="0" quotePrefix="0" xfId="10"/>
    <xf numFmtId="0" fontId="7" fillId="0" borderId="30" pivotButton="0" quotePrefix="0" xfId="10"/>
    <xf numFmtId="0" fontId="48" fillId="7" borderId="55" applyAlignment="1" pivotButton="0" quotePrefix="0" xfId="10">
      <alignment horizontal="center"/>
    </xf>
    <xf numFmtId="0" fontId="51" fillId="2" borderId="23" pivotButton="0" quotePrefix="0" xfId="10"/>
    <xf numFmtId="0" fontId="7" fillId="0" borderId="38" pivotButton="0" quotePrefix="0" xfId="10"/>
    <xf numFmtId="0" fontId="51" fillId="2" borderId="0" pivotButton="0" quotePrefix="0" xfId="10"/>
    <xf numFmtId="0" fontId="13" fillId="18" borderId="20" pivotButton="0" quotePrefix="0" xfId="0"/>
    <xf numFmtId="0" fontId="13" fillId="18" borderId="19" pivotButton="0" quotePrefix="0" xfId="0"/>
    <xf numFmtId="0" fontId="11" fillId="18" borderId="19" pivotButton="0" quotePrefix="0" xfId="0"/>
    <xf numFmtId="0" fontId="22" fillId="18" borderId="20" applyAlignment="1" pivotButton="0" quotePrefix="0" xfId="0">
      <alignment horizontal="center" vertical="center"/>
    </xf>
    <xf numFmtId="0" fontId="22" fillId="18" borderId="19" applyAlignment="1" pivotButton="0" quotePrefix="0" xfId="0">
      <alignment horizontal="center" vertical="center"/>
    </xf>
    <xf numFmtId="1" fontId="47" fillId="13" borderId="0" applyAlignment="1" pivotButton="0" quotePrefix="0" xfId="10">
      <alignment horizontal="center"/>
    </xf>
    <xf numFmtId="0" fontId="6" fillId="0" borderId="26" pivotButton="0" quotePrefix="0" xfId="8"/>
    <xf numFmtId="186" fontId="10" fillId="0" borderId="39" pivotButton="0" quotePrefix="0" xfId="7"/>
    <xf numFmtId="186" fontId="10" fillId="0" borderId="37" pivotButton="0" quotePrefix="0" xfId="7"/>
    <xf numFmtId="186" fontId="10" fillId="0" borderId="54" pivotButton="0" quotePrefix="0" xfId="7"/>
    <xf numFmtId="186" fontId="10" fillId="0" borderId="54" pivotButton="0" quotePrefix="0" xfId="7"/>
    <xf numFmtId="186" fontId="10" fillId="0" borderId="63" pivotButton="0" quotePrefix="0" xfId="8"/>
    <xf numFmtId="177" fontId="10" fillId="0" borderId="39" pivotButton="0" quotePrefix="0" xfId="7"/>
    <xf numFmtId="177" fontId="10" fillId="0" borderId="37" pivotButton="0" quotePrefix="0" xfId="7"/>
    <xf numFmtId="177" fontId="10" fillId="0" borderId="54" pivotButton="0" quotePrefix="0" xfId="7"/>
    <xf numFmtId="186" fontId="10" fillId="0" borderId="37" pivotButton="0" quotePrefix="0" xfId="8"/>
    <xf numFmtId="186" fontId="10" fillId="0" borderId="54" pivotButton="0" quotePrefix="0" xfId="8"/>
    <xf numFmtId="0" fontId="6" fillId="0" borderId="25" pivotButton="0" quotePrefix="0" xfId="8"/>
    <xf numFmtId="9" fontId="27" fillId="7" borderId="19" applyAlignment="1" pivotButton="0" quotePrefix="0" xfId="5">
      <alignment horizontal="center" vertical="center" wrapText="1"/>
    </xf>
    <xf numFmtId="14" fontId="13" fillId="0" borderId="0" pivotButton="0" quotePrefix="0" xfId="0"/>
    <xf numFmtId="0" fontId="44" fillId="0" borderId="0" pivotButton="0" quotePrefix="0" xfId="0"/>
    <xf numFmtId="0" fontId="11" fillId="0" borderId="0" applyAlignment="1" pivotButton="0" quotePrefix="0" xfId="0">
      <alignment horizontal="center"/>
    </xf>
    <xf numFmtId="1" fontId="11" fillId="0" borderId="0" applyAlignment="1" pivotButton="0" quotePrefix="0" xfId="0">
      <alignment horizontal="center"/>
    </xf>
    <xf numFmtId="1" fontId="11" fillId="0" borderId="0" applyAlignment="1" pivotButton="0" quotePrefix="0" xfId="4">
      <alignment horizontal="center"/>
    </xf>
    <xf numFmtId="177" fontId="20" fillId="0" borderId="0" pivotButton="0" quotePrefix="0" xfId="7"/>
    <xf numFmtId="0" fontId="0" fillId="19" borderId="19" pivotButton="0" quotePrefix="0" xfId="0"/>
    <xf numFmtId="0" fontId="12" fillId="19" borderId="19" pivotButton="0" quotePrefix="0" xfId="0"/>
    <xf numFmtId="0" fontId="5" fillId="0" borderId="0" pivotButton="0" quotePrefix="0" xfId="8"/>
    <xf numFmtId="0" fontId="5" fillId="0" borderId="41" applyAlignment="1" pivotButton="0" quotePrefix="0" xfId="8">
      <alignment horizontal="center"/>
    </xf>
    <xf numFmtId="0" fontId="5" fillId="0" borderId="24" applyAlignment="1" pivotButton="0" quotePrefix="0" xfId="8">
      <alignment horizontal="center" vertical="center"/>
    </xf>
    <xf numFmtId="0" fontId="5" fillId="0" borderId="17" applyAlignment="1" pivotButton="0" quotePrefix="0" xfId="8">
      <alignment horizontal="center" vertical="center"/>
    </xf>
    <xf numFmtId="187" fontId="10" fillId="0" borderId="25" applyAlignment="1" pivotButton="0" quotePrefix="0" xfId="8">
      <alignment horizontal="center" vertical="center"/>
    </xf>
    <xf numFmtId="0" fontId="55" fillId="10" borderId="0" pivotButton="0" quotePrefix="0" xfId="8"/>
    <xf numFmtId="177" fontId="10" fillId="0" borderId="17" applyAlignment="1" pivotButton="0" quotePrefix="0" xfId="7">
      <alignment horizontal="center"/>
    </xf>
    <xf numFmtId="177" fontId="10" fillId="0" borderId="19" applyAlignment="1" pivotButton="0" quotePrefix="0" xfId="7">
      <alignment horizontal="center"/>
    </xf>
    <xf numFmtId="186" fontId="10" fillId="0" borderId="25" applyAlignment="1" pivotButton="0" quotePrefix="0" xfId="7">
      <alignment horizontal="center" vertical="center"/>
    </xf>
    <xf numFmtId="2" fontId="0" fillId="0" borderId="0" pivotButton="0" quotePrefix="0" xfId="0"/>
    <xf numFmtId="188" fontId="32" fillId="0" borderId="0" applyAlignment="1" pivotButton="0" quotePrefix="0" xfId="7">
      <alignment horizontal="center" vertical="center" shrinkToFit="1"/>
    </xf>
    <xf numFmtId="180" fontId="32" fillId="0" borderId="0" applyAlignment="1" pivotButton="0" quotePrefix="0" xfId="0">
      <alignment horizontal="left" vertical="center" shrinkToFit="1"/>
    </xf>
    <xf numFmtId="3" fontId="32" fillId="0" borderId="0" applyAlignment="1" pivotButton="0" quotePrefix="0" xfId="0">
      <alignment horizontal="center" vertical="center" shrinkToFit="1"/>
    </xf>
    <xf numFmtId="3" fontId="11" fillId="0" borderId="0" applyAlignment="1" pivotButton="0" quotePrefix="0" xfId="0">
      <alignment horizontal="center" vertical="center" wrapText="1"/>
    </xf>
    <xf numFmtId="3" fontId="11" fillId="0" borderId="0" applyAlignment="1" pivotButton="0" quotePrefix="0" xfId="0">
      <alignment horizontal="center" vertical="center"/>
    </xf>
    <xf numFmtId="188" fontId="11" fillId="0" borderId="0" applyAlignment="1" pivotButton="0" quotePrefix="0" xfId="7">
      <alignment horizontal="center" vertical="center" wrapText="1"/>
    </xf>
    <xf numFmtId="188" fontId="0" fillId="0" borderId="0" applyAlignment="1" pivotButton="0" quotePrefix="0" xfId="7">
      <alignment horizontal="center" vertical="center"/>
    </xf>
    <xf numFmtId="188" fontId="11" fillId="0" borderId="0" applyAlignment="1" pivotButton="0" quotePrefix="0" xfId="7">
      <alignment horizontal="center" vertical="center"/>
    </xf>
    <xf numFmtId="0" fontId="45" fillId="11" borderId="64" applyAlignment="1" pivotButton="0" quotePrefix="0" xfId="0">
      <alignment horizontal="center" vertical="center"/>
    </xf>
    <xf numFmtId="0" fontId="45" fillId="11" borderId="65" applyAlignment="1" pivotButton="0" quotePrefix="0" xfId="0">
      <alignment horizontal="center" vertical="center"/>
    </xf>
    <xf numFmtId="189" fontId="11" fillId="0" borderId="0" pivotButton="0" quotePrefix="0" xfId="7"/>
    <xf numFmtId="1" fontId="32" fillId="0" borderId="0" applyAlignment="1" pivotButton="0" quotePrefix="0" xfId="0">
      <alignment horizontal="left" vertical="center" shrinkToFit="1"/>
    </xf>
    <xf numFmtId="177" fontId="11" fillId="0" borderId="0" applyAlignment="1" pivotButton="0" quotePrefix="0" xfId="7">
      <alignment horizontal="center"/>
    </xf>
    <xf numFmtId="0" fontId="45" fillId="0" borderId="67" applyAlignment="1" pivotButton="0" quotePrefix="0" xfId="0">
      <alignment horizontal="center" vertical="center"/>
    </xf>
    <xf numFmtId="0" fontId="56" fillId="0" borderId="66" applyAlignment="1" pivotButton="0" quotePrefix="0" xfId="0">
      <alignment horizontal="center" vertical="center"/>
    </xf>
    <xf numFmtId="176" fontId="56" fillId="0" borderId="66" applyAlignment="1" pivotButton="0" quotePrefix="0" xfId="0">
      <alignment horizontal="center" vertical="center"/>
    </xf>
    <xf numFmtId="0" fontId="56" fillId="0" borderId="66" applyAlignment="1" pivotButton="0" quotePrefix="0" xfId="11">
      <alignment horizontal="center" vertical="center"/>
    </xf>
    <xf numFmtId="176" fontId="56" fillId="0" borderId="66" applyAlignment="1" pivotButton="0" quotePrefix="0" xfId="11">
      <alignment horizontal="center" vertical="center"/>
    </xf>
    <xf numFmtId="0" fontId="56" fillId="0" borderId="68" applyAlignment="1" pivotButton="0" quotePrefix="0" xfId="11">
      <alignment horizontal="center" vertical="center"/>
    </xf>
    <xf numFmtId="0" fontId="45" fillId="0" borderId="66" applyAlignment="1" pivotButton="0" quotePrefix="0" xfId="0">
      <alignment horizontal="center" vertical="center"/>
    </xf>
    <xf numFmtId="0" fontId="56" fillId="0" borderId="0" applyAlignment="1" pivotButton="0" quotePrefix="0" xfId="0">
      <alignment horizontal="center" vertical="center"/>
    </xf>
    <xf numFmtId="176" fontId="0" fillId="0" borderId="0" applyAlignment="1" pivotButton="0" quotePrefix="0" xfId="0">
      <alignment horizontal="center" vertical="center"/>
    </xf>
    <xf numFmtId="2" fontId="34" fillId="0" borderId="19" applyAlignment="1" pivotButton="0" quotePrefix="0" xfId="0">
      <alignment horizontal="center" vertical="center"/>
    </xf>
    <xf numFmtId="2" fontId="27" fillId="5" borderId="19" applyAlignment="1" pivotButton="0" quotePrefix="0" xfId="0">
      <alignment horizontal="center" vertical="center"/>
    </xf>
    <xf numFmtId="2" fontId="34" fillId="0" borderId="19" applyAlignment="1" pivotButton="0" quotePrefix="0" xfId="0">
      <alignment horizontal="center" vertical="center" wrapText="1"/>
    </xf>
    <xf numFmtId="0" fontId="11" fillId="10" borderId="19" pivotButton="0" quotePrefix="0" xfId="0"/>
    <xf numFmtId="190" fontId="11" fillId="0" borderId="0" pivotButton="0" quotePrefix="0" xfId="0"/>
    <xf numFmtId="0" fontId="11" fillId="0" borderId="8" pivotButton="0" quotePrefix="0" xfId="0"/>
    <xf numFmtId="191" fontId="0" fillId="0" borderId="0" applyAlignment="1" pivotButton="0" quotePrefix="0" xfId="0">
      <alignment horizontal="center" vertical="center"/>
    </xf>
    <xf numFmtId="0" fontId="0" fillId="0" borderId="19" pivotButton="0" quotePrefix="0" xfId="0"/>
    <xf numFmtId="0" fontId="20" fillId="0" borderId="0" pivotButton="0" quotePrefix="0" xfId="0"/>
    <xf numFmtId="0" fontId="20" fillId="0" borderId="19" applyAlignment="1" pivotButton="0" quotePrefix="0" xfId="0">
      <alignment horizontal="left" vertical="center"/>
    </xf>
    <xf numFmtId="0" fontId="11" fillId="0" borderId="0" pivotButton="0" quotePrefix="1" xfId="0"/>
    <xf numFmtId="177" fontId="11" fillId="0" borderId="0" applyAlignment="1" pivotButton="0" quotePrefix="0" xfId="7">
      <alignment horizontal="center" vertical="center"/>
    </xf>
    <xf numFmtId="177" fontId="17" fillId="2" borderId="20" applyAlignment="1" pivotButton="0" quotePrefix="0" xfId="7">
      <alignment horizontal="center" vertical="center"/>
    </xf>
    <xf numFmtId="177" fontId="17" fillId="2" borderId="19" applyAlignment="1" pivotButton="0" quotePrefix="0" xfId="7">
      <alignment horizontal="center" vertical="center"/>
    </xf>
    <xf numFmtId="0" fontId="45" fillId="0" borderId="64" applyAlignment="1" pivotButton="0" quotePrefix="0" xfId="0">
      <alignment horizontal="center" vertical="center"/>
    </xf>
    <xf numFmtId="0" fontId="45" fillId="0" borderId="65" applyAlignment="1" pivotButton="0" quotePrefix="0" xfId="0">
      <alignment horizontal="center" vertical="center"/>
    </xf>
    <xf numFmtId="188" fontId="32" fillId="0" borderId="0" applyAlignment="1" pivotButton="0" quotePrefix="0" xfId="7">
      <alignment horizontal="center" vertical="center" shrinkToFit="1"/>
    </xf>
    <xf numFmtId="4" fontId="11" fillId="0" borderId="19" pivotButton="0" quotePrefix="0" xfId="3"/>
    <xf numFmtId="0" fontId="13" fillId="0" borderId="18" applyAlignment="1" pivotButton="0" quotePrefix="0" xfId="0">
      <alignment horizontal="right"/>
    </xf>
    <xf numFmtId="0" fontId="4" fillId="0" borderId="19" pivotButton="0" quotePrefix="0" xfId="8"/>
    <xf numFmtId="0" fontId="10" fillId="0" borderId="19" pivotButton="0" quotePrefix="0" xfId="8"/>
    <xf numFmtId="0" fontId="4" fillId="0" borderId="56" pivotButton="0" quotePrefix="0" xfId="8"/>
    <xf numFmtId="0" fontId="4" fillId="0" borderId="57" pivotButton="0" quotePrefix="0" xfId="8"/>
    <xf numFmtId="0" fontId="10" fillId="0" borderId="40" pivotButton="0" quotePrefix="0" xfId="8"/>
    <xf numFmtId="0" fontId="10" fillId="0" borderId="34" pivotButton="0" quotePrefix="0" xfId="8"/>
    <xf numFmtId="0" fontId="10" fillId="0" borderId="44" pivotButton="0" quotePrefix="0" xfId="8"/>
    <xf numFmtId="0" fontId="4" fillId="0" borderId="45" pivotButton="0" quotePrefix="0" xfId="8"/>
    <xf numFmtId="0" fontId="4" fillId="0" borderId="61" pivotButton="0" quotePrefix="0" xfId="8"/>
    <xf numFmtId="0" fontId="4" fillId="0" borderId="46" pivotButton="0" quotePrefix="0" xfId="8"/>
    <xf numFmtId="0" fontId="10" fillId="0" borderId="57" pivotButton="0" quotePrefix="0" xfId="8"/>
    <xf numFmtId="0" fontId="10" fillId="0" borderId="58" pivotButton="0" quotePrefix="0" xfId="8"/>
    <xf numFmtId="0" fontId="10" fillId="0" borderId="42" pivotButton="0" quotePrefix="0" xfId="8"/>
    <xf numFmtId="0" fontId="4" fillId="0" borderId="59" pivotButton="0" quotePrefix="0" xfId="8"/>
    <xf numFmtId="0" fontId="10" fillId="0" borderId="59" pivotButton="0" quotePrefix="0" xfId="8"/>
    <xf numFmtId="3" fontId="17" fillId="2" borderId="0" applyAlignment="1" pivotButton="0" quotePrefix="0" xfId="0">
      <alignment horizontal="center" vertical="center"/>
    </xf>
    <xf numFmtId="3" fontId="17" fillId="2" borderId="20" applyAlignment="1" pivotButton="0" quotePrefix="0" xfId="0">
      <alignment horizontal="center" vertical="center"/>
    </xf>
    <xf numFmtId="3" fontId="23" fillId="2" borderId="20" applyAlignment="1" pivotButton="0" quotePrefix="0" xfId="0">
      <alignment horizontal="center" vertical="center" wrapText="1"/>
    </xf>
    <xf numFmtId="0" fontId="11" fillId="10" borderId="0" pivotButton="0" quotePrefix="0" xfId="0"/>
    <xf numFmtId="0" fontId="0" fillId="10" borderId="0" pivotButton="0" quotePrefix="0" xfId="0"/>
    <xf numFmtId="0" fontId="60" fillId="0" borderId="0" applyAlignment="1" pivotButton="0" quotePrefix="0" xfId="0">
      <alignment horizontal="left" vertical="top" wrapText="1"/>
    </xf>
    <xf numFmtId="0" fontId="60" fillId="0" borderId="0" pivotButton="0" quotePrefix="0" xfId="0"/>
    <xf numFmtId="177" fontId="60" fillId="0" borderId="0" pivotButton="0" quotePrefix="0" xfId="0"/>
    <xf numFmtId="2" fontId="60" fillId="0" borderId="0" pivotButton="0" quotePrefix="0" xfId="0"/>
    <xf numFmtId="0" fontId="62" fillId="0" borderId="0" pivotButton="0" quotePrefix="0" xfId="0"/>
    <xf numFmtId="177" fontId="60" fillId="0" borderId="0" pivotButton="0" quotePrefix="0" xfId="7"/>
    <xf numFmtId="0" fontId="61" fillId="0" borderId="0" applyAlignment="1" pivotButton="0" quotePrefix="0" xfId="0">
      <alignment horizontal="left" vertical="top"/>
    </xf>
    <xf numFmtId="0" fontId="60" fillId="0" borderId="0" applyAlignment="1" pivotButton="0" quotePrefix="0" xfId="0">
      <alignment vertical="center"/>
    </xf>
    <xf numFmtId="0" fontId="60" fillId="0" borderId="0" pivotButton="0" quotePrefix="0" xfId="11"/>
    <xf numFmtId="177" fontId="61" fillId="0" borderId="0" applyAlignment="1" pivotButton="0" quotePrefix="0" xfId="7">
      <alignment horizontal="center" vertical="top" shrinkToFit="1"/>
    </xf>
    <xf numFmtId="177" fontId="60" fillId="0" borderId="0" applyAlignment="1" pivotButton="0" quotePrefix="0" xfId="7">
      <alignment horizontal="right"/>
    </xf>
    <xf numFmtId="0" fontId="3" fillId="0" borderId="45" pivotButton="0" quotePrefix="0" xfId="8"/>
    <xf numFmtId="0" fontId="3" fillId="0" borderId="61" pivotButton="0" quotePrefix="0" xfId="8"/>
    <xf numFmtId="0" fontId="3" fillId="0" borderId="46" pivotButton="0" quotePrefix="0" xfId="8"/>
    <xf numFmtId="0" fontId="3" fillId="0" borderId="71" pivotButton="0" quotePrefix="0" xfId="8"/>
    <xf numFmtId="0" fontId="3" fillId="0" borderId="18" pivotButton="0" quotePrefix="0" xfId="8"/>
    <xf numFmtId="0" fontId="10" fillId="0" borderId="18" pivotButton="0" quotePrefix="0" xfId="8"/>
    <xf numFmtId="0" fontId="3" fillId="0" borderId="25" pivotButton="0" quotePrefix="0" xfId="8"/>
    <xf numFmtId="177" fontId="3" fillId="0" borderId="37" pivotButton="0" quotePrefix="0" xfId="7"/>
    <xf numFmtId="0" fontId="3" fillId="0" borderId="26" pivotButton="0" quotePrefix="0" xfId="8"/>
    <xf numFmtId="0" fontId="63" fillId="0" borderId="0" pivotButton="0" quotePrefix="0" xfId="0"/>
    <xf numFmtId="0" fontId="10" fillId="10" borderId="0" applyAlignment="1" pivotButton="0" quotePrefix="0" xfId="8">
      <alignment horizontal="center" vertical="center"/>
    </xf>
    <xf numFmtId="2" fontId="10" fillId="10" borderId="19" applyAlignment="1" pivotButton="0" quotePrefix="0" xfId="8">
      <alignment horizontal="center"/>
    </xf>
    <xf numFmtId="179" fontId="10" fillId="10" borderId="25" applyAlignment="1" pivotButton="0" quotePrefix="0" xfId="8">
      <alignment horizontal="center" vertical="center"/>
    </xf>
    <xf numFmtId="0" fontId="2" fillId="0" borderId="0" pivotButton="0" quotePrefix="0" xfId="8"/>
    <xf numFmtId="0" fontId="0" fillId="8" borderId="12" applyAlignment="1" pivotButton="0" quotePrefix="0" xfId="0">
      <alignment horizontal="left"/>
    </xf>
    <xf numFmtId="0" fontId="0" fillId="8" borderId="0" applyAlignment="1" pivotButton="0" quotePrefix="0" xfId="0">
      <alignment horizontal="left"/>
    </xf>
    <xf numFmtId="164" fontId="0" fillId="0" borderId="0" pivotButton="0" quotePrefix="0" xfId="0"/>
    <xf numFmtId="0" fontId="11" fillId="8" borderId="0" applyAlignment="1" pivotButton="0" quotePrefix="0" xfId="0">
      <alignment horizontal="left"/>
    </xf>
    <xf numFmtId="0" fontId="11" fillId="8" borderId="12" pivotButton="0" quotePrefix="0" xfId="0"/>
    <xf numFmtId="3" fontId="13" fillId="0" borderId="19" applyAlignment="1" pivotButton="0" quotePrefix="0" xfId="3">
      <alignment shrinkToFit="1"/>
    </xf>
    <xf numFmtId="3" fontId="11" fillId="0" borderId="19" applyAlignment="1" pivotButton="0" quotePrefix="0" xfId="3">
      <alignment shrinkToFit="1"/>
    </xf>
    <xf numFmtId="173" fontId="13" fillId="0" borderId="19" applyAlignment="1" pivotButton="0" quotePrefix="0" xfId="3">
      <alignment horizontal="right" shrinkToFit="1"/>
    </xf>
    <xf numFmtId="164" fontId="13" fillId="0" borderId="19" applyAlignment="1" pivotButton="0" quotePrefix="0" xfId="3">
      <alignment shrinkToFit="1"/>
    </xf>
    <xf numFmtId="4" fontId="13" fillId="0" borderId="18" applyAlignment="1" pivotButton="0" quotePrefix="0" xfId="3">
      <alignment shrinkToFit="1"/>
    </xf>
    <xf numFmtId="173" fontId="0" fillId="0" borderId="19" applyAlignment="1" pivotButton="0" quotePrefix="0" xfId="3">
      <alignment shrinkToFit="1"/>
    </xf>
    <xf numFmtId="164" fontId="13" fillId="0" borderId="18" applyAlignment="1" pivotButton="0" quotePrefix="0" xfId="3">
      <alignment shrinkToFit="1"/>
    </xf>
    <xf numFmtId="173" fontId="13" fillId="0" borderId="19" applyAlignment="1" pivotButton="0" quotePrefix="0" xfId="3">
      <alignment shrinkToFit="1"/>
    </xf>
    <xf numFmtId="173" fontId="11" fillId="0" borderId="19" applyAlignment="1" pivotButton="0" quotePrefix="0" xfId="3">
      <alignment shrinkToFit="1"/>
    </xf>
    <xf numFmtId="164" fontId="11" fillId="0" borderId="18" applyAlignment="1" pivotButton="0" quotePrefix="0" xfId="3">
      <alignment shrinkToFit="1"/>
    </xf>
    <xf numFmtId="4" fontId="11" fillId="0" borderId="18" applyAlignment="1" pivotButton="0" quotePrefix="0" xfId="3">
      <alignment shrinkToFit="1"/>
    </xf>
    <xf numFmtId="0" fontId="13" fillId="0" borderId="19" applyAlignment="1" pivotButton="0" quotePrefix="0" xfId="0">
      <alignment shrinkToFit="1"/>
    </xf>
    <xf numFmtId="0" fontId="13" fillId="0" borderId="20" applyAlignment="1" pivotButton="0" quotePrefix="0" xfId="0">
      <alignment shrinkToFit="1"/>
    </xf>
    <xf numFmtId="173" fontId="13" fillId="0" borderId="18" applyAlignment="1" pivotButton="0" quotePrefix="0" xfId="4">
      <alignment shrinkToFit="1"/>
    </xf>
    <xf numFmtId="0" fontId="13" fillId="0" borderId="19" applyAlignment="1" pivotButton="0" quotePrefix="0" xfId="0">
      <alignment horizontal="center" shrinkToFit="1"/>
    </xf>
    <xf numFmtId="4" fontId="13" fillId="0" borderId="18" applyAlignment="1" pivotButton="0" quotePrefix="0" xfId="0">
      <alignment shrinkToFit="1"/>
    </xf>
    <xf numFmtId="173" fontId="13" fillId="0" borderId="21" applyAlignment="1" pivotButton="0" quotePrefix="0" xfId="3">
      <alignment shrinkToFit="1"/>
    </xf>
    <xf numFmtId="0" fontId="11" fillId="0" borderId="19" applyAlignment="1" pivotButton="0" quotePrefix="0" xfId="0">
      <alignment shrinkToFit="1"/>
    </xf>
    <xf numFmtId="173" fontId="13" fillId="0" borderId="21" applyAlignment="1" pivotButton="0" quotePrefix="0" xfId="3">
      <alignment horizontal="center" shrinkToFit="1"/>
    </xf>
    <xf numFmtId="2" fontId="31" fillId="0" borderId="19" applyAlignment="1" pivotButton="0" quotePrefix="0" xfId="0">
      <alignment shrinkToFit="1"/>
    </xf>
    <xf numFmtId="169" fontId="13" fillId="0" borderId="21" applyAlignment="1" pivotButton="0" quotePrefix="0" xfId="3">
      <alignment horizontal="right" shrinkToFit="1"/>
    </xf>
    <xf numFmtId="9" fontId="13" fillId="0" borderId="19" applyAlignment="1" pivotButton="0" quotePrefix="0" xfId="0">
      <alignment horizontal="center" shrinkToFit="1"/>
    </xf>
    <xf numFmtId="0" fontId="13" fillId="0" borderId="0" applyAlignment="1" pivotButton="0" quotePrefix="0" xfId="0">
      <alignment shrinkToFit="1"/>
    </xf>
    <xf numFmtId="165" fontId="13" fillId="0" borderId="0" applyAlignment="1" pivotButton="0" quotePrefix="0" xfId="3">
      <alignment shrinkToFit="1"/>
    </xf>
    <xf numFmtId="166" fontId="13" fillId="0" borderId="0" applyAlignment="1" pivotButton="0" quotePrefix="0" xfId="3">
      <alignment shrinkToFit="1"/>
    </xf>
    <xf numFmtId="0" fontId="13" fillId="0" borderId="0" applyAlignment="1" pivotButton="0" quotePrefix="0" xfId="0">
      <alignment horizontal="center" shrinkToFit="1"/>
    </xf>
    <xf numFmtId="4" fontId="13" fillId="0" borderId="35" applyAlignment="1" pivotButton="0" quotePrefix="0" xfId="0">
      <alignment shrinkToFit="1"/>
    </xf>
    <xf numFmtId="3" fontId="13" fillId="0" borderId="18" applyAlignment="1" pivotButton="0" quotePrefix="0" xfId="3">
      <alignment shrinkToFit="1"/>
    </xf>
    <xf numFmtId="3" fontId="13" fillId="18" borderId="19" applyAlignment="1" pivotButton="0" quotePrefix="0" xfId="3">
      <alignment shrinkToFit="1"/>
    </xf>
    <xf numFmtId="3" fontId="11" fillId="0" borderId="17" applyAlignment="1" pivotButton="0" quotePrefix="0" xfId="3">
      <alignment shrinkToFit="1"/>
    </xf>
    <xf numFmtId="175" fontId="13" fillId="0" borderId="19" applyAlignment="1" pivotButton="0" quotePrefix="0" xfId="3">
      <alignment shrinkToFit="1"/>
    </xf>
    <xf numFmtId="165" fontId="13" fillId="2" borderId="18" applyAlignment="1" pivotButton="0" quotePrefix="0" xfId="3">
      <alignment horizontal="center" vertical="center" shrinkToFit="1"/>
    </xf>
    <xf numFmtId="165" fontId="13" fillId="2" borderId="19" applyAlignment="1" pivotButton="0" quotePrefix="0" xfId="3">
      <alignment horizontal="center" vertical="center" shrinkToFit="1"/>
    </xf>
    <xf numFmtId="175" fontId="11" fillId="0" borderId="19" applyAlignment="1" pivotButton="0" quotePrefix="0" xfId="3">
      <alignment shrinkToFit="1"/>
    </xf>
    <xf numFmtId="175" fontId="13" fillId="18" borderId="19" applyAlignment="1" pivotButton="0" quotePrefix="0" xfId="3">
      <alignment shrinkToFit="1"/>
    </xf>
    <xf numFmtId="165" fontId="13" fillId="18" borderId="19" applyAlignment="1" pivotButton="0" quotePrefix="0" xfId="3">
      <alignment horizontal="center" vertical="center" shrinkToFit="1"/>
    </xf>
    <xf numFmtId="4" fontId="13" fillId="18" borderId="18" applyAlignment="1" pivotButton="0" quotePrefix="0" xfId="3">
      <alignment shrinkToFit="1"/>
    </xf>
    <xf numFmtId="177" fontId="44" fillId="10" borderId="35" applyAlignment="1" pivotButton="0" quotePrefix="0" xfId="0">
      <alignment horizontal="center" vertical="center" shrinkToFit="1"/>
    </xf>
    <xf numFmtId="174" fontId="13" fillId="0" borderId="19" applyAlignment="1" pivotButton="0" quotePrefix="0" xfId="3">
      <alignment shrinkToFit="1"/>
    </xf>
    <xf numFmtId="171" fontId="13" fillId="0" borderId="18" applyAlignment="1" pivotButton="0" quotePrefix="0" xfId="3">
      <alignment shrinkToFit="1"/>
    </xf>
    <xf numFmtId="3" fontId="13" fillId="0" borderId="36" applyAlignment="1" pivotButton="0" quotePrefix="0" xfId="0">
      <alignment shrinkToFit="1"/>
    </xf>
    <xf numFmtId="164" fontId="17" fillId="0" borderId="0" applyAlignment="1" pivotButton="0" quotePrefix="0" xfId="3">
      <alignment shrinkToFit="1"/>
    </xf>
    <xf numFmtId="0" fontId="11" fillId="0" borderId="37" applyAlignment="1" pivotButton="0" quotePrefix="0" xfId="0">
      <alignment shrinkToFit="1"/>
    </xf>
    <xf numFmtId="0" fontId="11" fillId="0" borderId="37" applyAlignment="1" pivotButton="0" quotePrefix="0" xfId="0">
      <alignment horizontal="center" shrinkToFit="1"/>
    </xf>
    <xf numFmtId="1" fontId="11" fillId="0" borderId="37" applyAlignment="1" pivotButton="0" quotePrefix="0" xfId="0">
      <alignment horizontal="center" shrinkToFit="1"/>
    </xf>
    <xf numFmtId="1" fontId="11" fillId="0" borderId="37" applyAlignment="1" pivotButton="0" quotePrefix="0" xfId="4">
      <alignment horizontal="center" shrinkToFit="1"/>
    </xf>
    <xf numFmtId="169" fontId="11" fillId="0" borderId="35" applyAlignment="1" pivotButton="0" quotePrefix="0" xfId="3">
      <alignment shrinkToFit="1"/>
    </xf>
    <xf numFmtId="169" fontId="11" fillId="0" borderId="23" applyAlignment="1" pivotButton="0" quotePrefix="0" xfId="3">
      <alignment shrinkToFit="1"/>
    </xf>
    <xf numFmtId="164" fontId="20" fillId="0" borderId="0" applyAlignment="1" pivotButton="0" quotePrefix="0" xfId="3">
      <alignment shrinkToFit="1"/>
    </xf>
    <xf numFmtId="3" fontId="13" fillId="0" borderId="37" applyAlignment="1" pivotButton="0" quotePrefix="0" xfId="0">
      <alignment shrinkToFit="1"/>
    </xf>
    <xf numFmtId="169" fontId="13" fillId="0" borderId="23" applyAlignment="1" pivotButton="0" quotePrefix="0" xfId="3">
      <alignment shrinkToFit="1"/>
    </xf>
    <xf numFmtId="165" fontId="11" fillId="0" borderId="19" applyAlignment="1" pivotButton="0" quotePrefix="0" xfId="3">
      <alignment shrinkToFit="1"/>
    </xf>
    <xf numFmtId="0" fontId="13" fillId="0" borderId="21" applyAlignment="1" pivotButton="0" quotePrefix="0" xfId="0">
      <alignment shrinkToFit="1"/>
    </xf>
    <xf numFmtId="174" fontId="11" fillId="0" borderId="18" applyAlignment="1" pivotButton="0" quotePrefix="0" xfId="3">
      <alignment shrinkToFit="1"/>
    </xf>
    <xf numFmtId="165" fontId="13" fillId="0" borderId="19" applyAlignment="1" pivotButton="0" quotePrefix="0" xfId="3">
      <alignment shrinkToFit="1"/>
    </xf>
    <xf numFmtId="177" fontId="1" fillId="0" borderId="37" pivotButton="0" quotePrefix="0" xfId="7"/>
    <xf numFmtId="186" fontId="1" fillId="0" borderId="37" pivotButton="0" quotePrefix="0" xfId="7"/>
    <xf numFmtId="177" fontId="1" fillId="0" borderId="37" pivotButton="0" quotePrefix="0" xfId="7"/>
    <xf numFmtId="177" fontId="1" fillId="0" borderId="54" pivotButton="0" quotePrefix="0" xfId="7"/>
    <xf numFmtId="177" fontId="1" fillId="0" borderId="54" pivotButton="0" quotePrefix="0" xfId="7"/>
    <xf numFmtId="186" fontId="3" fillId="0" borderId="37" pivotButton="0" quotePrefix="0" xfId="7"/>
    <xf numFmtId="0" fontId="43" fillId="5" borderId="0" pivotButton="0" quotePrefix="0" xfId="9"/>
    <xf numFmtId="0" fontId="11" fillId="21" borderId="20" pivotButton="0" quotePrefix="0" xfId="0"/>
    <xf numFmtId="3" fontId="11" fillId="21" borderId="19" pivotButton="0" quotePrefix="0" xfId="0"/>
    <xf numFmtId="0" fontId="11" fillId="21" borderId="21" pivotButton="0" quotePrefix="0" xfId="0"/>
    <xf numFmtId="0" fontId="11" fillId="21" borderId="19" pivotButton="0" quotePrefix="0" xfId="0"/>
    <xf numFmtId="173" fontId="11" fillId="21" borderId="19" pivotButton="0" quotePrefix="0" xfId="3"/>
    <xf numFmtId="4" fontId="11" fillId="21" borderId="21" applyAlignment="1" pivotButton="0" quotePrefix="0" xfId="0">
      <alignment horizontal="right"/>
    </xf>
    <xf numFmtId="2" fontId="11" fillId="21" borderId="0" pivotButton="0" quotePrefix="0" xfId="0"/>
    <xf numFmtId="2" fontId="28" fillId="0" borderId="0" applyAlignment="1" pivotButton="0" quotePrefix="0" xfId="0">
      <alignment horizontal="left" vertical="center"/>
    </xf>
    <xf numFmtId="14" fontId="0" fillId="10" borderId="0" pivotButton="0" quotePrefix="0" xfId="0"/>
    <xf numFmtId="164" fontId="0" fillId="0" borderId="20" applyAlignment="1" pivotButton="0" quotePrefix="0" xfId="3">
      <alignment horizontal="center"/>
    </xf>
    <xf numFmtId="164" fontId="0" fillId="0" borderId="21" applyAlignment="1" pivotButton="0" quotePrefix="0" xfId="3">
      <alignment horizontal="center"/>
    </xf>
    <xf numFmtId="0" fontId="12" fillId="0" borderId="16" applyAlignment="1" pivotButton="0" quotePrefix="0" xfId="0">
      <alignment horizontal="center" vertical="center"/>
    </xf>
    <xf numFmtId="0" fontId="12" fillId="0" borderId="18" applyAlignment="1" pivotButton="0" quotePrefix="0" xfId="0">
      <alignment horizontal="center" vertical="center"/>
    </xf>
    <xf numFmtId="166" fontId="12" fillId="0" borderId="16" applyAlignment="1" pivotButton="0" quotePrefix="0" xfId="3">
      <alignment horizontal="center" vertical="center" wrapText="1"/>
    </xf>
    <xf numFmtId="166" fontId="12" fillId="0" borderId="18" applyAlignment="1" pivotButton="0" quotePrefix="0" xfId="3">
      <alignment horizontal="center" vertical="center" wrapText="1"/>
    </xf>
    <xf numFmtId="0" fontId="12" fillId="0" borderId="9" applyAlignment="1" pivotButton="0" quotePrefix="0" xfId="0">
      <alignment horizontal="center" vertical="center"/>
    </xf>
    <xf numFmtId="0" fontId="12" fillId="0" borderId="11" applyAlignment="1" pivotButton="0" quotePrefix="0" xfId="0">
      <alignment horizontal="center" vertical="center"/>
    </xf>
    <xf numFmtId="0" fontId="12" fillId="0" borderId="13" applyAlignment="1" pivotButton="0" quotePrefix="0" xfId="0">
      <alignment horizontal="center" vertical="center"/>
    </xf>
    <xf numFmtId="0" fontId="12" fillId="0" borderId="15" applyAlignment="1" pivotButton="0" quotePrefix="0" xfId="0">
      <alignment horizontal="center" vertical="center"/>
    </xf>
    <xf numFmtId="0" fontId="12" fillId="0" borderId="9" applyAlignment="1" pivotButton="0" quotePrefix="0" xfId="0">
      <alignment vertical="center"/>
    </xf>
    <xf numFmtId="0" fontId="12" fillId="0" borderId="11" applyAlignment="1" pivotButton="0" quotePrefix="0" xfId="0">
      <alignment vertical="center"/>
    </xf>
    <xf numFmtId="0" fontId="12" fillId="0" borderId="13" applyAlignment="1" pivotButton="0" quotePrefix="0" xfId="0">
      <alignment vertical="center"/>
    </xf>
    <xf numFmtId="0" fontId="12" fillId="0" borderId="15" applyAlignment="1" pivotButton="0" quotePrefix="0" xfId="0">
      <alignment vertical="center"/>
    </xf>
    <xf numFmtId="165" fontId="19" fillId="0" borderId="16" applyAlignment="1" pivotButton="0" quotePrefix="0" xfId="0">
      <alignment horizontal="center" vertical="center"/>
    </xf>
    <xf numFmtId="165" fontId="19" fillId="0" borderId="18" applyAlignment="1" pivotButton="0" quotePrefix="0" xfId="0">
      <alignment horizontal="center" vertical="center"/>
    </xf>
    <xf numFmtId="0" fontId="12" fillId="2" borderId="16" applyAlignment="1" pivotButton="0" quotePrefix="0" xfId="3">
      <alignment horizontal="center" vertical="center"/>
    </xf>
    <xf numFmtId="0" fontId="12" fillId="2" borderId="18" applyAlignment="1" pivotButton="0" quotePrefix="0" xfId="3">
      <alignment horizontal="center" vertical="center"/>
    </xf>
    <xf numFmtId="4" fontId="12" fillId="0" borderId="16" applyAlignment="1" pivotButton="0" quotePrefix="0" xfId="0">
      <alignment horizontal="center" vertical="center"/>
    </xf>
    <xf numFmtId="4" fontId="12" fillId="0" borderId="18" applyAlignment="1" pivotButton="0" quotePrefix="0" xfId="0">
      <alignment horizontal="center" vertical="center"/>
    </xf>
    <xf numFmtId="190" fontId="17" fillId="20" borderId="20" applyAlignment="1" pivotButton="0" quotePrefix="0" xfId="0">
      <alignment horizontal="center"/>
    </xf>
    <xf numFmtId="190" fontId="17" fillId="20" borderId="24" applyAlignment="1" pivotButton="0" quotePrefix="0" xfId="0">
      <alignment horizontal="center"/>
    </xf>
    <xf numFmtId="190" fontId="17" fillId="20" borderId="21" applyAlignment="1" pivotButton="0" quotePrefix="0" xfId="0">
      <alignment horizontal="center"/>
    </xf>
    <xf numFmtId="4" fontId="12" fillId="0" borderId="52" applyAlignment="1" pivotButton="0" quotePrefix="0" xfId="0">
      <alignment horizontal="center" vertical="center"/>
    </xf>
    <xf numFmtId="0" fontId="12" fillId="0" borderId="19" applyAlignment="1" pivotButton="0" quotePrefix="0" xfId="0">
      <alignment horizontal="center" vertical="center" wrapText="1"/>
    </xf>
    <xf numFmtId="0" fontId="12" fillId="0" borderId="19" applyAlignment="1" pivotButton="0" quotePrefix="0" xfId="0">
      <alignment horizontal="center" vertical="center"/>
    </xf>
    <xf numFmtId="0" fontId="30" fillId="0" borderId="19" applyAlignment="1" pivotButton="0" quotePrefix="0" xfId="0">
      <alignment horizontal="center" vertical="center" wrapText="1"/>
    </xf>
    <xf numFmtId="0" fontId="30" fillId="0" borderId="19" applyAlignment="1" pivotButton="0" quotePrefix="0" xfId="0">
      <alignment horizontal="center" vertical="center"/>
    </xf>
    <xf numFmtId="0" fontId="53" fillId="4" borderId="19" applyAlignment="1" pivotButton="0" quotePrefix="0" xfId="0">
      <alignment horizontal="center" vertical="center"/>
    </xf>
    <xf numFmtId="164" fontId="30" fillId="0" borderId="19" applyAlignment="1" pivotButton="0" quotePrefix="0" xfId="3">
      <alignment horizontal="center" vertical="center" wrapText="1"/>
    </xf>
    <xf numFmtId="2" fontId="30" fillId="0" borderId="19" applyAlignment="1" pivotButton="0" quotePrefix="0" xfId="0">
      <alignment horizontal="center" vertical="center" wrapText="1"/>
    </xf>
    <xf numFmtId="0" fontId="26" fillId="6" borderId="47" applyAlignment="1" pivotButton="0" quotePrefix="0" xfId="0">
      <alignment horizontal="center"/>
    </xf>
    <xf numFmtId="0" fontId="26" fillId="6" borderId="48" applyAlignment="1" pivotButton="0" quotePrefix="0" xfId="0">
      <alignment horizontal="center"/>
    </xf>
    <xf numFmtId="0" fontId="19" fillId="4" borderId="22" applyAlignment="1" pivotButton="0" quotePrefix="0" xfId="0">
      <alignment horizontal="center"/>
    </xf>
    <xf numFmtId="0" fontId="19" fillId="4" borderId="55" applyAlignment="1" pivotButton="0" quotePrefix="0" xfId="0">
      <alignment horizontal="center"/>
    </xf>
    <xf numFmtId="0" fontId="19" fillId="4" borderId="23" applyAlignment="1" pivotButton="0" quotePrefix="0" xfId="0">
      <alignment horizontal="center"/>
    </xf>
    <xf numFmtId="190" fontId="17" fillId="3" borderId="20" applyAlignment="1" pivotButton="0" quotePrefix="0" xfId="0">
      <alignment horizontal="center"/>
    </xf>
    <xf numFmtId="190" fontId="17" fillId="3" borderId="24" applyAlignment="1" pivotButton="0" quotePrefix="0" xfId="0">
      <alignment horizontal="center"/>
    </xf>
    <xf numFmtId="190" fontId="17" fillId="3" borderId="21" applyAlignment="1" pivotButton="0" quotePrefix="0" xfId="0">
      <alignment horizontal="center"/>
    </xf>
    <xf numFmtId="0" fontId="13" fillId="0" borderId="52" applyAlignment="1" pivotButton="0" quotePrefix="0" xfId="0">
      <alignment horizontal="left" vertical="top"/>
    </xf>
    <xf numFmtId="0" fontId="13" fillId="0" borderId="17" applyAlignment="1" pivotButton="0" quotePrefix="0" xfId="0">
      <alignment horizontal="left" vertical="top"/>
    </xf>
    <xf numFmtId="0" fontId="12" fillId="0" borderId="69" applyAlignment="1" pivotButton="0" quotePrefix="0" xfId="0">
      <alignment horizontal="left" vertical="top"/>
    </xf>
    <xf numFmtId="0" fontId="12" fillId="0" borderId="2" applyAlignment="1" pivotButton="0" quotePrefix="0" xfId="0">
      <alignment horizontal="left" vertical="top"/>
    </xf>
    <xf numFmtId="0" fontId="12" fillId="0" borderId="7" applyAlignment="1" pivotButton="0" quotePrefix="0" xfId="0">
      <alignment horizontal="left" vertical="top"/>
    </xf>
    <xf numFmtId="0" fontId="12" fillId="0" borderId="12" applyAlignment="1" pivotButton="0" quotePrefix="0" xfId="0">
      <alignment horizontal="left" vertical="top"/>
    </xf>
    <xf numFmtId="0" fontId="12" fillId="0" borderId="0" applyAlignment="1" pivotButton="0" quotePrefix="0" xfId="0">
      <alignment horizontal="left" vertical="top"/>
    </xf>
    <xf numFmtId="0" fontId="12" fillId="0" borderId="8" applyAlignment="1" pivotButton="0" quotePrefix="0" xfId="0">
      <alignment horizontal="left" vertical="top"/>
    </xf>
    <xf numFmtId="164" fontId="11" fillId="0" borderId="13" applyAlignment="1" pivotButton="0" quotePrefix="0" xfId="3">
      <alignment horizontal="left"/>
    </xf>
    <xf numFmtId="164" fontId="11" fillId="0" borderId="14" applyAlignment="1" pivotButton="0" quotePrefix="0" xfId="3">
      <alignment horizontal="left"/>
    </xf>
    <xf numFmtId="164" fontId="11" fillId="0" borderId="15" applyAlignment="1" pivotButton="0" quotePrefix="0" xfId="3">
      <alignment horizontal="left"/>
    </xf>
    <xf numFmtId="49" fontId="16" fillId="0" borderId="12" applyAlignment="1" pivotButton="0" quotePrefix="0" xfId="0">
      <alignment horizontal="left" vertical="center" wrapText="1"/>
    </xf>
    <xf numFmtId="49" fontId="16" fillId="0" borderId="0" applyAlignment="1" pivotButton="0" quotePrefix="0" xfId="0">
      <alignment horizontal="left" vertical="center" wrapText="1"/>
    </xf>
    <xf numFmtId="49" fontId="16" fillId="0" borderId="8" applyAlignment="1" pivotButton="0" quotePrefix="0" xfId="0">
      <alignment horizontal="left" vertical="center" wrapText="1"/>
    </xf>
    <xf numFmtId="49" fontId="16" fillId="0" borderId="13" applyAlignment="1" pivotButton="0" quotePrefix="0" xfId="0">
      <alignment horizontal="left" vertical="center" wrapText="1"/>
    </xf>
    <xf numFmtId="49" fontId="16" fillId="0" borderId="14" applyAlignment="1" pivotButton="0" quotePrefix="0" xfId="0">
      <alignment horizontal="left" vertical="center" wrapText="1"/>
    </xf>
    <xf numFmtId="49" fontId="16" fillId="0" borderId="15" applyAlignment="1" pivotButton="0" quotePrefix="0" xfId="0">
      <alignment horizontal="left" vertical="center" wrapText="1"/>
    </xf>
    <xf numFmtId="168" fontId="12" fillId="0" borderId="16" applyAlignment="1" pivotButton="0" quotePrefix="0" xfId="0">
      <alignment horizontal="center" vertical="center"/>
    </xf>
    <xf numFmtId="168" fontId="12" fillId="0" borderId="18" applyAlignment="1" pivotButton="0" quotePrefix="0" xfId="0">
      <alignment horizontal="center" vertical="center"/>
    </xf>
    <xf numFmtId="164" fontId="12" fillId="0" borderId="16" applyAlignment="1" pivotButton="0" quotePrefix="0" xfId="3">
      <alignment horizontal="center" vertical="center"/>
    </xf>
    <xf numFmtId="164" fontId="12" fillId="0" borderId="18" applyAlignment="1" pivotButton="0" quotePrefix="0" xfId="3">
      <alignment horizontal="center" vertical="center"/>
    </xf>
    <xf numFmtId="165" fontId="12" fillId="0" borderId="16" applyAlignment="1" pivotButton="0" quotePrefix="0" xfId="3">
      <alignment horizontal="center" vertical="center" wrapText="1"/>
    </xf>
    <xf numFmtId="165" fontId="12" fillId="0" borderId="18" applyAlignment="1" pivotButton="0" quotePrefix="0" xfId="3">
      <alignment horizontal="center" vertical="center" wrapText="1"/>
    </xf>
    <xf numFmtId="190" fontId="17" fillId="12" borderId="20" applyAlignment="1" pivotButton="0" quotePrefix="0" xfId="0">
      <alignment horizontal="center"/>
    </xf>
    <xf numFmtId="190" fontId="17" fillId="12" borderId="24" applyAlignment="1" pivotButton="0" quotePrefix="0" xfId="0">
      <alignment horizontal="center"/>
    </xf>
    <xf numFmtId="190" fontId="17" fillId="12" borderId="21" applyAlignment="1" pivotButton="0" quotePrefix="0" xfId="0">
      <alignment horizontal="center"/>
    </xf>
    <xf numFmtId="14" fontId="13" fillId="0" borderId="20" applyAlignment="1" pivotButton="0" quotePrefix="0" xfId="0">
      <alignment horizontal="left" indent="1"/>
    </xf>
    <xf numFmtId="14" fontId="13" fillId="0" borderId="21" applyAlignment="1" pivotButton="0" quotePrefix="0" xfId="0">
      <alignment horizontal="left" indent="1"/>
    </xf>
    <xf numFmtId="0" fontId="11" fillId="0" borderId="20" applyAlignment="1" pivotButton="0" quotePrefix="0" xfId="0">
      <alignment horizontal="left"/>
    </xf>
    <xf numFmtId="0" fontId="11" fillId="0" borderId="24" applyAlignment="1" pivotButton="0" quotePrefix="0" xfId="0">
      <alignment horizontal="left"/>
    </xf>
    <xf numFmtId="0" fontId="11" fillId="0" borderId="21" applyAlignment="1" pivotButton="0" quotePrefix="0" xfId="0">
      <alignment horizontal="left"/>
    </xf>
    <xf numFmtId="0" fontId="13" fillId="0" borderId="20" applyAlignment="1" pivotButton="0" quotePrefix="0" xfId="0">
      <alignment horizontal="left"/>
    </xf>
    <xf numFmtId="0" fontId="13" fillId="0" borderId="24" applyAlignment="1" pivotButton="0" quotePrefix="0" xfId="0">
      <alignment horizontal="left"/>
    </xf>
    <xf numFmtId="0" fontId="13" fillId="0" borderId="21" applyAlignment="1" pivotButton="0" quotePrefix="0" xfId="0">
      <alignment horizontal="left"/>
    </xf>
    <xf numFmtId="0" fontId="11" fillId="0" borderId="24" applyAlignment="1" pivotButton="0" quotePrefix="0" xfId="0">
      <alignment horizontal="center" vertical="center"/>
    </xf>
    <xf numFmtId="0" fontId="13" fillId="0" borderId="24" applyAlignment="1" pivotButton="0" quotePrefix="0" xfId="0">
      <alignment horizontal="center" vertical="center"/>
    </xf>
    <xf numFmtId="0" fontId="13" fillId="0" borderId="21" applyAlignment="1" pivotButton="0" quotePrefix="0" xfId="0">
      <alignment horizontal="center" vertical="center"/>
    </xf>
    <xf numFmtId="0" fontId="30" fillId="0" borderId="9" applyAlignment="1" pivotButton="0" quotePrefix="0" xfId="0">
      <alignment horizontal="center" vertical="center" wrapText="1"/>
    </xf>
    <xf numFmtId="0" fontId="30" fillId="0" borderId="11" applyAlignment="1" pivotButton="0" quotePrefix="0" xfId="0">
      <alignment horizontal="center" vertical="center" wrapText="1"/>
    </xf>
    <xf numFmtId="0" fontId="30" fillId="0" borderId="13" applyAlignment="1" pivotButton="0" quotePrefix="0" xfId="0">
      <alignment horizontal="center" vertical="center" wrapText="1"/>
    </xf>
    <xf numFmtId="0" fontId="30" fillId="0" borderId="15" applyAlignment="1" pivotButton="0" quotePrefix="0" xfId="0">
      <alignment horizontal="center" vertical="center" wrapText="1"/>
    </xf>
    <xf numFmtId="0" fontId="15" fillId="0" borderId="69" applyAlignment="1" pivotButton="0" quotePrefix="0" xfId="0">
      <alignment horizontal="center" vertical="center"/>
    </xf>
    <xf numFmtId="0" fontId="15" fillId="0" borderId="2" applyAlignment="1" pivotButton="0" quotePrefix="0" xfId="0">
      <alignment horizontal="center" vertical="center"/>
    </xf>
    <xf numFmtId="0" fontId="15" fillId="0" borderId="4" applyAlignment="1" pivotButton="0" quotePrefix="0" xfId="0">
      <alignment horizontal="center" vertical="center"/>
    </xf>
    <xf numFmtId="0" fontId="15" fillId="0" borderId="12" applyAlignment="1" pivotButton="0" quotePrefix="0" xfId="0">
      <alignment horizontal="center" vertical="center"/>
    </xf>
    <xf numFmtId="0" fontId="15" fillId="0" borderId="0" applyAlignment="1" pivotButton="0" quotePrefix="0" xfId="0">
      <alignment horizontal="center" vertical="center"/>
    </xf>
    <xf numFmtId="0" fontId="15" fillId="0" borderId="36" applyAlignment="1" pivotButton="0" quotePrefix="0" xfId="0">
      <alignment horizontal="center" vertical="center"/>
    </xf>
    <xf numFmtId="0" fontId="15" fillId="0" borderId="70" applyAlignment="1" pivotButton="0" quotePrefix="0" xfId="0">
      <alignment horizontal="center" vertical="center"/>
    </xf>
    <xf numFmtId="0" fontId="15" fillId="0" borderId="30" applyAlignment="1" pivotButton="0" quotePrefix="0" xfId="0">
      <alignment horizontal="center" vertical="center"/>
    </xf>
    <xf numFmtId="0" fontId="15" fillId="0" borderId="38" applyAlignment="1" pivotButton="0" quotePrefix="0" xfId="0">
      <alignment horizontal="center" vertical="center"/>
    </xf>
    <xf numFmtId="0" fontId="12" fillId="0" borderId="52" applyAlignment="1" pivotButton="0" quotePrefix="0" xfId="0">
      <alignment horizontal="left" vertical="top"/>
    </xf>
    <xf numFmtId="0" fontId="12" fillId="0" borderId="17" applyAlignment="1" pivotButton="0" quotePrefix="0" xfId="0">
      <alignment horizontal="left" vertical="top"/>
    </xf>
    <xf numFmtId="0" fontId="12" fillId="0" borderId="16" applyAlignment="1" pivotButton="0" quotePrefix="0" xfId="0">
      <alignment horizontal="left" vertical="top"/>
    </xf>
    <xf numFmtId="0" fontId="12" fillId="0" borderId="9" applyAlignment="1" pivotButton="0" quotePrefix="0" xfId="0">
      <alignment horizontal="left" vertical="top"/>
    </xf>
    <xf numFmtId="0" fontId="12" fillId="0" borderId="11" applyAlignment="1" pivotButton="0" quotePrefix="0" xfId="0">
      <alignment horizontal="left" vertical="top"/>
    </xf>
    <xf numFmtId="165" fontId="12" fillId="0" borderId="52" applyAlignment="1" pivotButton="0" quotePrefix="0" xfId="3">
      <alignment horizontal="left" vertical="top"/>
    </xf>
    <xf numFmtId="165" fontId="12" fillId="0" borderId="17" applyAlignment="1" pivotButton="0" quotePrefix="0" xfId="3">
      <alignment horizontal="left" vertical="top"/>
    </xf>
    <xf numFmtId="1" fontId="13" fillId="0" borderId="13" applyAlignment="1" pivotButton="0" quotePrefix="0" xfId="0">
      <alignment horizontal="right"/>
    </xf>
    <xf numFmtId="1" fontId="13" fillId="0" borderId="15" applyAlignment="1" pivotButton="0" quotePrefix="0" xfId="0">
      <alignment horizontal="right"/>
    </xf>
    <xf numFmtId="0" fontId="26" fillId="10" borderId="14" applyAlignment="1" pivotButton="0" quotePrefix="0" xfId="0">
      <alignment horizontal="center" vertical="center"/>
    </xf>
    <xf numFmtId="0" fontId="12" fillId="0" borderId="22" applyAlignment="1" pivotButton="0" quotePrefix="0" xfId="0">
      <alignment horizontal="center" vertical="center"/>
    </xf>
    <xf numFmtId="0" fontId="12" fillId="0" borderId="23" applyAlignment="1" pivotButton="0" quotePrefix="0" xfId="0">
      <alignment horizontal="center" vertical="center"/>
    </xf>
    <xf numFmtId="49" fontId="20" fillId="2" borderId="3" applyAlignment="1" pivotButton="0" quotePrefix="0" xfId="0">
      <alignment horizontal="center" vertical="center" wrapText="1"/>
    </xf>
    <xf numFmtId="49" fontId="20" fillId="2" borderId="0" applyAlignment="1" pivotButton="0" quotePrefix="0" xfId="0">
      <alignment horizontal="center" vertical="center" wrapText="1"/>
    </xf>
    <xf numFmtId="49" fontId="20" fillId="2" borderId="36" applyAlignment="1" pivotButton="0" quotePrefix="0" xfId="0">
      <alignment horizontal="center" vertical="center" wrapText="1"/>
    </xf>
    <xf numFmtId="49" fontId="20" fillId="2" borderId="28" applyAlignment="1" pivotButton="0" quotePrefix="0" xfId="0">
      <alignment horizontal="center" vertical="center" wrapText="1"/>
    </xf>
    <xf numFmtId="49" fontId="20" fillId="2" borderId="30" applyAlignment="1" pivotButton="0" quotePrefix="0" xfId="0">
      <alignment horizontal="center" vertical="center" wrapText="1"/>
    </xf>
    <xf numFmtId="49" fontId="20" fillId="2" borderId="38" applyAlignment="1" pivotButton="0" quotePrefix="0" xfId="0">
      <alignment horizontal="center" vertical="center" wrapText="1"/>
    </xf>
    <xf numFmtId="0" fontId="20" fillId="2" borderId="20" applyAlignment="1" pivotButton="0" quotePrefix="0" xfId="0">
      <alignment horizontal="left" vertical="center" wrapText="1" indent="1"/>
    </xf>
    <xf numFmtId="0" fontId="20" fillId="2" borderId="24" applyAlignment="1" pivotButton="0" quotePrefix="0" xfId="0">
      <alignment horizontal="left" vertical="center" wrapText="1" indent="1"/>
    </xf>
    <xf numFmtId="0" fontId="20" fillId="2" borderId="21" applyAlignment="1" pivotButton="0" quotePrefix="0" xfId="0">
      <alignment horizontal="left" vertical="center" wrapText="1" indent="1"/>
    </xf>
    <xf numFmtId="0" fontId="0" fillId="0" borderId="0" applyAlignment="1" pivotButton="0" quotePrefix="0" xfId="0">
      <alignment horizontal="center"/>
    </xf>
    <xf numFmtId="0" fontId="0" fillId="2" borderId="0" applyAlignment="1" pivotButton="0" quotePrefix="0" xfId="0">
      <alignment horizontal="left"/>
    </xf>
    <xf numFmtId="0" fontId="19" fillId="2" borderId="20" applyAlignment="1" pivotButton="0" quotePrefix="0" xfId="0">
      <alignment horizontal="left" vertical="center" wrapText="1"/>
    </xf>
    <xf numFmtId="0" fontId="19" fillId="2" borderId="24" applyAlignment="1" pivotButton="0" quotePrefix="0" xfId="0">
      <alignment horizontal="left" vertical="center" wrapText="1"/>
    </xf>
    <xf numFmtId="0" fontId="19" fillId="2" borderId="21" applyAlignment="1" pivotButton="0" quotePrefix="0" xfId="0">
      <alignment horizontal="left" vertical="center" wrapText="1"/>
    </xf>
    <xf numFmtId="0" fontId="20" fillId="2" borderId="20" applyAlignment="1" pivotButton="0" quotePrefix="0" xfId="0">
      <alignment horizontal="left" vertical="center" indent="1"/>
    </xf>
    <xf numFmtId="0" fontId="20" fillId="2" borderId="24" applyAlignment="1" pivotButton="0" quotePrefix="0" xfId="0">
      <alignment horizontal="left" vertical="center" indent="1"/>
    </xf>
    <xf numFmtId="0" fontId="20" fillId="2" borderId="21" applyAlignment="1" pivotButton="0" quotePrefix="0" xfId="0">
      <alignment horizontal="left" vertical="center" indent="1"/>
    </xf>
    <xf numFmtId="0" fontId="19" fillId="2" borderId="3" applyAlignment="1" pivotButton="0" quotePrefix="0" xfId="0">
      <alignment horizontal="center" vertical="center"/>
    </xf>
    <xf numFmtId="0" fontId="19" fillId="2" borderId="0" applyAlignment="1" pivotButton="0" quotePrefix="0" xfId="0">
      <alignment horizontal="center" vertical="center"/>
    </xf>
    <xf numFmtId="0" fontId="19" fillId="2" borderId="36" applyAlignment="1" pivotButton="0" quotePrefix="0" xfId="0">
      <alignment horizontal="center" vertical="center"/>
    </xf>
    <xf numFmtId="49" fontId="17" fillId="2" borderId="3" applyAlignment="1" pivotButton="0" quotePrefix="0" xfId="0">
      <alignment horizontal="center" vertical="center"/>
    </xf>
    <xf numFmtId="49" fontId="17" fillId="2" borderId="0" applyAlignment="1" pivotButton="0" quotePrefix="0" xfId="0">
      <alignment horizontal="center" vertical="center"/>
    </xf>
    <xf numFmtId="49" fontId="17" fillId="2" borderId="36" applyAlignment="1" pivotButton="0" quotePrefix="0" xfId="0">
      <alignment horizontal="center" vertical="center"/>
    </xf>
    <xf numFmtId="0" fontId="25" fillId="2" borderId="20" applyAlignment="1" pivotButton="0" quotePrefix="0" xfId="0">
      <alignment horizontal="center" vertical="center" wrapText="1"/>
    </xf>
    <xf numFmtId="0" fontId="25" fillId="2" borderId="24" applyAlignment="1" pivotButton="0" quotePrefix="0" xfId="0">
      <alignment horizontal="center" vertical="center" wrapText="1"/>
    </xf>
    <xf numFmtId="0" fontId="25" fillId="2" borderId="21" applyAlignment="1" pivotButton="0" quotePrefix="0" xfId="0">
      <alignment horizontal="center" vertical="center" wrapText="1"/>
    </xf>
    <xf numFmtId="0" fontId="17" fillId="2" borderId="20" applyAlignment="1" pivotButton="0" quotePrefix="0" xfId="0">
      <alignment horizontal="left" vertical="center" wrapText="1" indent="1"/>
    </xf>
    <xf numFmtId="0" fontId="17" fillId="2" borderId="24" applyAlignment="1" pivotButton="0" quotePrefix="0" xfId="0">
      <alignment horizontal="left" vertical="center" wrapText="1" indent="1"/>
    </xf>
    <xf numFmtId="0" fontId="17" fillId="2" borderId="21" applyAlignment="1" pivotButton="0" quotePrefix="0" xfId="0">
      <alignment horizontal="left" vertical="center" wrapText="1" indent="1"/>
    </xf>
    <xf numFmtId="0" fontId="17" fillId="2" borderId="19" applyAlignment="1" pivotButton="0" quotePrefix="0" xfId="0">
      <alignment horizontal="left" vertical="center" wrapText="1" indent="1"/>
    </xf>
    <xf numFmtId="0" fontId="12" fillId="0" borderId="0" applyAlignment="1" pivotButton="0" quotePrefix="0" xfId="8">
      <alignment horizontal="center" vertical="center" wrapText="1"/>
    </xf>
    <xf numFmtId="0" fontId="4" fillId="0" borderId="71" applyAlignment="1" pivotButton="0" quotePrefix="0" xfId="8">
      <alignment horizontal="left"/>
    </xf>
    <xf numFmtId="0" fontId="4" fillId="0" borderId="18" applyAlignment="1" pivotButton="0" quotePrefix="0" xfId="8">
      <alignment horizontal="left"/>
    </xf>
    <xf numFmtId="0" fontId="3" fillId="0" borderId="42" applyAlignment="1" pivotButton="0" quotePrefix="0" xfId="8">
      <alignment horizontal="center"/>
    </xf>
    <xf numFmtId="0" fontId="3" fillId="0" borderId="59" applyAlignment="1" pivotButton="0" quotePrefix="0" xfId="8">
      <alignment horizontal="center"/>
    </xf>
    <xf numFmtId="0" fontId="4" fillId="0" borderId="42" applyAlignment="1" pivotButton="0" quotePrefix="0" xfId="8">
      <alignment horizontal="left"/>
    </xf>
    <xf numFmtId="0" fontId="4" fillId="0" borderId="59" applyAlignment="1" pivotButton="0" quotePrefix="0" xfId="8">
      <alignment horizontal="left"/>
    </xf>
    <xf numFmtId="0" fontId="29" fillId="0" borderId="33" applyAlignment="1" pivotButton="0" quotePrefix="0" xfId="8">
      <alignment horizontal="left" vertical="top"/>
    </xf>
    <xf numFmtId="0" fontId="29" fillId="0" borderId="50" applyAlignment="1" pivotButton="0" quotePrefix="0" xfId="8">
      <alignment horizontal="left" vertical="top"/>
    </xf>
    <xf numFmtId="0" fontId="44" fillId="10" borderId="0" applyAlignment="1" pivotButton="0" quotePrefix="0" xfId="0">
      <alignment horizontal="center" vertical="center"/>
    </xf>
    <xf numFmtId="0" fontId="0" fillId="8" borderId="0" applyAlignment="1" pivotButton="0" quotePrefix="0" xfId="0">
      <alignment horizontal="center"/>
    </xf>
    <xf numFmtId="0" fontId="0" fillId="19" borderId="0" applyAlignment="1" pivotButton="0" quotePrefix="0" xfId="0">
      <alignment horizontal="center"/>
    </xf>
    <xf numFmtId="0" fontId="12" fillId="19" borderId="20" applyAlignment="1" pivotButton="0" quotePrefix="0" xfId="0">
      <alignment horizontal="left"/>
    </xf>
    <xf numFmtId="0" fontId="12" fillId="19" borderId="24" applyAlignment="1" pivotButton="0" quotePrefix="0" xfId="0">
      <alignment horizontal="left"/>
    </xf>
    <xf numFmtId="0" fontId="12" fillId="19" borderId="21" applyAlignment="1" pivotButton="0" quotePrefix="0" xfId="0">
      <alignment horizontal="left"/>
    </xf>
    <xf numFmtId="0" fontId="0" fillId="8" borderId="14" applyAlignment="1" pivotButton="0" quotePrefix="0" xfId="0">
      <alignment horizontal="center"/>
    </xf>
    <xf numFmtId="0" fontId="46" fillId="0" borderId="22" applyAlignment="1" pivotButton="0" quotePrefix="0" xfId="10">
      <alignment horizontal="center"/>
    </xf>
    <xf numFmtId="0" fontId="46" fillId="0" borderId="55" applyAlignment="1" pivotButton="0" quotePrefix="0" xfId="10">
      <alignment horizontal="center"/>
    </xf>
    <xf numFmtId="0" fontId="46" fillId="0" borderId="0" applyAlignment="1" pivotButton="0" quotePrefix="0" xfId="10">
      <alignment horizontal="center"/>
    </xf>
    <xf numFmtId="0" fontId="7" fillId="0" borderId="3" applyAlignment="1" pivotButton="0" quotePrefix="0" xfId="10">
      <alignment horizontal="center"/>
    </xf>
    <xf numFmtId="0" fontId="7" fillId="0" borderId="0" applyAlignment="1" pivotButton="0" quotePrefix="0" xfId="10">
      <alignment horizontal="center"/>
    </xf>
    <xf numFmtId="0" fontId="48" fillId="0" borderId="0" applyAlignment="1" pivotButton="0" quotePrefix="0" xfId="10">
      <alignment horizontal="center"/>
    </xf>
    <xf numFmtId="0" fontId="49" fillId="15" borderId="1" applyAlignment="1" pivotButton="0" quotePrefix="0" xfId="10">
      <alignment horizontal="center"/>
    </xf>
    <xf numFmtId="0" fontId="49" fillId="15" borderId="2" applyAlignment="1" pivotButton="0" quotePrefix="0" xfId="10">
      <alignment horizontal="center"/>
    </xf>
    <xf numFmtId="0" fontId="49" fillId="15" borderId="4" applyAlignment="1" pivotButton="0" quotePrefix="0" xfId="10">
      <alignment horizontal="center"/>
    </xf>
    <xf numFmtId="0" fontId="49" fillId="15" borderId="28" applyAlignment="1" pivotButton="0" quotePrefix="0" xfId="10">
      <alignment horizontal="center"/>
    </xf>
    <xf numFmtId="0" fontId="49" fillId="15" borderId="30" applyAlignment="1" pivotButton="0" quotePrefix="0" xfId="10">
      <alignment horizontal="center"/>
    </xf>
    <xf numFmtId="0" fontId="49" fillId="15" borderId="38" applyAlignment="1" pivotButton="0" quotePrefix="0" xfId="10">
      <alignment horizontal="center"/>
    </xf>
    <xf numFmtId="0" fontId="47" fillId="0" borderId="0" applyAlignment="1" pivotButton="0" quotePrefix="0" xfId="10">
      <alignment horizontal="center"/>
    </xf>
    <xf numFmtId="0" fontId="7" fillId="0" borderId="0" applyAlignment="1" pivotButton="0" quotePrefix="0" xfId="10">
      <alignment horizontal="left"/>
    </xf>
    <xf numFmtId="0" fontId="48" fillId="0" borderId="22" applyAlignment="1" pivotButton="0" quotePrefix="0" xfId="10">
      <alignment horizontal="center"/>
    </xf>
    <xf numFmtId="0" fontId="48" fillId="0" borderId="55" applyAlignment="1" pivotButton="0" quotePrefix="0" xfId="10">
      <alignment horizontal="center"/>
    </xf>
    <xf numFmtId="0" fontId="48" fillId="0" borderId="23" applyAlignment="1" pivotButton="0" quotePrefix="0" xfId="10">
      <alignment horizontal="center"/>
    </xf>
    <xf numFmtId="0" fontId="50" fillId="14" borderId="22" applyAlignment="1" pivotButton="0" quotePrefix="0" xfId="10">
      <alignment horizontal="center"/>
    </xf>
    <xf numFmtId="0" fontId="50" fillId="14" borderId="23" applyAlignment="1" pivotButton="0" quotePrefix="0" xfId="10">
      <alignment horizontal="center"/>
    </xf>
    <xf numFmtId="0" fontId="48" fillId="0" borderId="45" applyAlignment="1" pivotButton="0" quotePrefix="0" xfId="10">
      <alignment horizontal="center"/>
    </xf>
    <xf numFmtId="0" fontId="48" fillId="0" borderId="61" applyAlignment="1" pivotButton="0" quotePrefix="0" xfId="10">
      <alignment horizontal="center"/>
    </xf>
    <xf numFmtId="0" fontId="7" fillId="0" borderId="36" applyAlignment="1" pivotButton="0" quotePrefix="0" xfId="10">
      <alignment horizontal="center"/>
    </xf>
    <xf numFmtId="0" fontId="7" fillId="0" borderId="28" applyAlignment="1" pivotButton="0" quotePrefix="0" xfId="10">
      <alignment horizontal="center"/>
    </xf>
    <xf numFmtId="0" fontId="7" fillId="0" borderId="30" applyAlignment="1" pivotButton="0" quotePrefix="0" xfId="10">
      <alignment horizontal="center"/>
    </xf>
    <xf numFmtId="0" fontId="7" fillId="0" borderId="38" applyAlignment="1" pivotButton="0" quotePrefix="0" xfId="10">
      <alignment horizontal="center"/>
    </xf>
    <xf numFmtId="0" fontId="7" fillId="0" borderId="1" applyAlignment="1" pivotButton="0" quotePrefix="0" xfId="10">
      <alignment horizontal="center"/>
    </xf>
    <xf numFmtId="0" fontId="7" fillId="0" borderId="2" applyAlignment="1" pivotButton="0" quotePrefix="0" xfId="10">
      <alignment horizontal="center"/>
    </xf>
    <xf numFmtId="0" fontId="7" fillId="0" borderId="4" applyAlignment="1" pivotButton="0" quotePrefix="0" xfId="10">
      <alignment horizontal="center"/>
    </xf>
    <xf numFmtId="0" fontId="48" fillId="0" borderId="22" applyAlignment="1" pivotButton="0" quotePrefix="0" xfId="10">
      <alignment horizontal="center" vertical="center"/>
    </xf>
    <xf numFmtId="0" fontId="48" fillId="0" borderId="55" applyAlignment="1" pivotButton="0" quotePrefix="0" xfId="10">
      <alignment horizontal="center" vertical="center"/>
    </xf>
    <xf numFmtId="0" fontId="48" fillId="0" borderId="23" applyAlignment="1" pivotButton="0" quotePrefix="0" xfId="10">
      <alignment horizontal="center" vertical="center"/>
    </xf>
    <xf numFmtId="166" fontId="13" fillId="0" borderId="0" pivotButton="0" quotePrefix="0" xfId="3"/>
    <xf numFmtId="0" fontId="15" fillId="0" borderId="46" applyAlignment="1" pivotButton="0" quotePrefix="0" xfId="0">
      <alignment horizontal="center" vertical="center"/>
    </xf>
    <xf numFmtId="0" fontId="0" fillId="0" borderId="2" pivotButton="0" quotePrefix="0" xfId="0"/>
    <xf numFmtId="0" fontId="0" fillId="0" borderId="4" pivotButton="0" quotePrefix="0" xfId="0"/>
    <xf numFmtId="0" fontId="0" fillId="0" borderId="12" pivotButton="0" quotePrefix="0" xfId="0"/>
    <xf numFmtId="0" fontId="0" fillId="0" borderId="36" pivotButton="0" quotePrefix="0" xfId="0"/>
    <xf numFmtId="0" fontId="0" fillId="0" borderId="70" pivotButton="0" quotePrefix="0" xfId="0"/>
    <xf numFmtId="0" fontId="0" fillId="0" borderId="30" pivotButton="0" quotePrefix="0" xfId="0"/>
    <xf numFmtId="0" fontId="0" fillId="0" borderId="38" pivotButton="0" quotePrefix="0" xfId="0"/>
    <xf numFmtId="0" fontId="0" fillId="0" borderId="7" pivotButton="0" quotePrefix="0" xfId="0"/>
    <xf numFmtId="0" fontId="0" fillId="0" borderId="11" pivotButton="0" quotePrefix="0" xfId="0"/>
    <xf numFmtId="0" fontId="0" fillId="0" borderId="17" pivotButton="0" quotePrefix="0" xfId="0"/>
    <xf numFmtId="0" fontId="0" fillId="0" borderId="8" pivotButton="0" quotePrefix="0" xfId="0"/>
    <xf numFmtId="164" fontId="11" fillId="0" borderId="18" applyAlignment="1" pivotButton="0" quotePrefix="0" xfId="3">
      <alignment horizontal="left"/>
    </xf>
    <xf numFmtId="0" fontId="0" fillId="0" borderId="14" pivotButton="0" quotePrefix="0" xfId="0"/>
    <xf numFmtId="0" fontId="0" fillId="0" borderId="15" pivotButton="0" quotePrefix="0" xfId="0"/>
    <xf numFmtId="171" fontId="13" fillId="0" borderId="18" applyAlignment="1" pivotButton="0" quotePrefix="0" xfId="3">
      <alignment shrinkToFit="1"/>
    </xf>
    <xf numFmtId="1" fontId="13" fillId="0" borderId="18" applyAlignment="1" pivotButton="0" quotePrefix="0" xfId="0">
      <alignment horizontal="right"/>
    </xf>
    <xf numFmtId="166" fontId="13" fillId="0" borderId="10" pivotButton="0" quotePrefix="0" xfId="3"/>
    <xf numFmtId="164" fontId="13" fillId="0" borderId="12" pivotButton="0" quotePrefix="0" xfId="0"/>
    <xf numFmtId="49" fontId="16" fillId="0" borderId="18" applyAlignment="1" pivotButton="0" quotePrefix="0" xfId="0">
      <alignment horizontal="left" vertical="center" wrapText="1"/>
    </xf>
    <xf numFmtId="164" fontId="13" fillId="0" borderId="0" pivotButton="0" quotePrefix="0" xfId="3"/>
    <xf numFmtId="0" fontId="0" fillId="0" borderId="13" pivotButton="0" quotePrefix="0" xfId="0"/>
    <xf numFmtId="166" fontId="12" fillId="0" borderId="0" applyAlignment="1" pivotButton="0" quotePrefix="0" xfId="3">
      <alignment horizontal="center"/>
    </xf>
    <xf numFmtId="166" fontId="12" fillId="0" borderId="19" applyAlignment="1" pivotButton="0" quotePrefix="0" xfId="3">
      <alignment horizontal="center" vertical="center" wrapText="1"/>
    </xf>
    <xf numFmtId="168" fontId="12" fillId="0" borderId="19" applyAlignment="1" pivotButton="0" quotePrefix="0" xfId="0">
      <alignment horizontal="center" vertical="center"/>
    </xf>
    <xf numFmtId="0" fontId="0" fillId="0" borderId="18" pivotButton="0" quotePrefix="0" xfId="0"/>
    <xf numFmtId="173" fontId="13" fillId="0" borderId="19" pivotButton="0" quotePrefix="0" xfId="3"/>
    <xf numFmtId="173" fontId="11" fillId="21" borderId="19" pivotButton="0" quotePrefix="0" xfId="3"/>
    <xf numFmtId="173" fontId="13" fillId="0" borderId="18" pivotButton="0" quotePrefix="0" xfId="3"/>
    <xf numFmtId="165" fontId="12" fillId="0" borderId="19" applyAlignment="1" pivotButton="0" quotePrefix="0" xfId="3">
      <alignment horizontal="center" vertical="center" wrapText="1"/>
    </xf>
    <xf numFmtId="164" fontId="12" fillId="0" borderId="19" applyAlignment="1" pivotButton="0" quotePrefix="0" xfId="3">
      <alignment horizontal="center" vertical="center"/>
    </xf>
    <xf numFmtId="4" fontId="12" fillId="0" borderId="57" applyAlignment="1" pivotButton="0" quotePrefix="0" xfId="0">
      <alignment horizontal="center" vertical="center"/>
    </xf>
    <xf numFmtId="164" fontId="30" fillId="0" borderId="19" applyAlignment="1" pivotButton="0" quotePrefix="0" xfId="3">
      <alignment horizontal="center" vertical="center" wrapText="1"/>
    </xf>
    <xf numFmtId="173" fontId="13" fillId="0" borderId="19" applyAlignment="1" pivotButton="0" quotePrefix="0" xfId="3">
      <alignment horizontal="right" shrinkToFit="1"/>
    </xf>
    <xf numFmtId="164" fontId="13" fillId="0" borderId="19" applyAlignment="1" pivotButton="0" quotePrefix="0" xfId="3">
      <alignment shrinkToFit="1"/>
    </xf>
    <xf numFmtId="164" fontId="13" fillId="0" borderId="19" applyAlignment="1" pivotButton="0" quotePrefix="0" xfId="3">
      <alignment vertical="center"/>
    </xf>
    <xf numFmtId="173" fontId="0" fillId="0" borderId="19" applyAlignment="1" pivotButton="0" quotePrefix="0" xfId="3">
      <alignment shrinkToFit="1"/>
    </xf>
    <xf numFmtId="164" fontId="13" fillId="0" borderId="18" applyAlignment="1" pivotButton="0" quotePrefix="0" xfId="3">
      <alignment shrinkToFit="1"/>
    </xf>
    <xf numFmtId="173" fontId="13" fillId="0" borderId="19" applyAlignment="1" pivotButton="0" quotePrefix="0" xfId="3">
      <alignment shrinkToFit="1"/>
    </xf>
    <xf numFmtId="0" fontId="0" fillId="0" borderId="21" pivotButton="0" quotePrefix="0" xfId="0"/>
    <xf numFmtId="173" fontId="11" fillId="0" borderId="19" applyAlignment="1" pivotButton="0" quotePrefix="0" xfId="3">
      <alignment shrinkToFit="1"/>
    </xf>
    <xf numFmtId="164" fontId="11" fillId="0" borderId="18" applyAlignment="1" pivotButton="0" quotePrefix="0" xfId="3">
      <alignment shrinkToFit="1"/>
    </xf>
    <xf numFmtId="164" fontId="13" fillId="0" borderId="19" pivotButton="0" quotePrefix="0" xfId="3"/>
    <xf numFmtId="0" fontId="12" fillId="0" borderId="19" applyAlignment="1" pivotButton="0" quotePrefix="0" xfId="0">
      <alignment vertical="center"/>
    </xf>
    <xf numFmtId="165" fontId="19" fillId="0" borderId="19" applyAlignment="1" pivotButton="0" quotePrefix="0" xfId="0">
      <alignment horizontal="center" vertical="center"/>
    </xf>
    <xf numFmtId="173" fontId="13" fillId="0" borderId="18" applyAlignment="1" pivotButton="0" quotePrefix="0" xfId="4">
      <alignment shrinkToFit="1"/>
    </xf>
    <xf numFmtId="164" fontId="0" fillId="0" borderId="19" applyAlignment="1" pivotButton="0" quotePrefix="0" xfId="3">
      <alignment horizontal="center"/>
    </xf>
    <xf numFmtId="166" fontId="0" fillId="0" borderId="19" pivotButton="0" quotePrefix="0" xfId="3"/>
    <xf numFmtId="173" fontId="13" fillId="0" borderId="21" applyAlignment="1" pivotButton="0" quotePrefix="0" xfId="3">
      <alignment shrinkToFit="1"/>
    </xf>
    <xf numFmtId="173" fontId="13" fillId="0" borderId="21" applyAlignment="1" pivotButton="0" quotePrefix="0" xfId="3">
      <alignment horizontal="center" shrinkToFit="1"/>
    </xf>
    <xf numFmtId="169" fontId="13" fillId="0" borderId="21" applyAlignment="1" pivotButton="0" quotePrefix="0" xfId="3">
      <alignment horizontal="right" shrinkToFit="1"/>
    </xf>
    <xf numFmtId="166" fontId="13" fillId="0" borderId="0" applyAlignment="1" pivotButton="0" quotePrefix="0" xfId="3">
      <alignment shrinkToFit="1"/>
    </xf>
    <xf numFmtId="166" fontId="13" fillId="0" borderId="2" pivotButton="0" quotePrefix="0" xfId="3"/>
    <xf numFmtId="166" fontId="13" fillId="0" borderId="30" pivotButton="0" quotePrefix="0" xfId="3"/>
    <xf numFmtId="169" fontId="12" fillId="0" borderId="12" applyAlignment="1" pivotButton="0" quotePrefix="0" xfId="3">
      <alignment horizontal="center"/>
    </xf>
    <xf numFmtId="164" fontId="13" fillId="0" borderId="13" pivotButton="0" quotePrefix="0" xfId="3"/>
    <xf numFmtId="166" fontId="13" fillId="0" borderId="14" pivotButton="0" quotePrefix="0" xfId="3"/>
    <xf numFmtId="166" fontId="12" fillId="0" borderId="0" pivotButton="0" quotePrefix="0" xfId="3"/>
    <xf numFmtId="0" fontId="12" fillId="2" borderId="19" applyAlignment="1" pivotButton="0" quotePrefix="0" xfId="3">
      <alignment horizontal="center" vertical="center"/>
    </xf>
    <xf numFmtId="4" fontId="12" fillId="0" borderId="19" applyAlignment="1" pivotButton="0" quotePrefix="0" xfId="0">
      <alignment horizontal="center" vertical="center"/>
    </xf>
    <xf numFmtId="177" fontId="23" fillId="0" borderId="0" applyAlignment="1" pivotButton="0" quotePrefix="0" xfId="7">
      <alignment horizontal="center" vertical="center"/>
    </xf>
    <xf numFmtId="177" fontId="23" fillId="0" borderId="0" applyAlignment="1" pivotButton="0" quotePrefix="0" xfId="7">
      <alignment vertical="center"/>
    </xf>
    <xf numFmtId="0" fontId="19" fillId="4" borderId="35" applyAlignment="1" pivotButton="0" quotePrefix="0" xfId="0">
      <alignment horizontal="center"/>
    </xf>
    <xf numFmtId="0" fontId="0" fillId="0" borderId="55" pivotButton="0" quotePrefix="0" xfId="0"/>
    <xf numFmtId="0" fontId="0" fillId="0" borderId="23" pivotButton="0" quotePrefix="0" xfId="0"/>
    <xf numFmtId="177" fontId="23" fillId="4" borderId="19" applyAlignment="1" pivotButton="0" quotePrefix="0" xfId="7">
      <alignment horizontal="center" vertical="center"/>
    </xf>
    <xf numFmtId="177" fontId="23" fillId="4" borderId="40" applyAlignment="1" pivotButton="0" quotePrefix="0" xfId="7">
      <alignment horizontal="center" vertical="center"/>
    </xf>
    <xf numFmtId="177" fontId="23" fillId="4" borderId="59" applyAlignment="1" pivotButton="0" quotePrefix="0" xfId="7">
      <alignment horizontal="center" vertical="center"/>
    </xf>
    <xf numFmtId="177" fontId="23" fillId="4" borderId="60" applyAlignment="1" pivotButton="0" quotePrefix="0" xfId="7">
      <alignment horizontal="center" vertical="center"/>
    </xf>
    <xf numFmtId="177" fontId="44" fillId="10" borderId="35" applyAlignment="1" pivotButton="0" quotePrefix="0" xfId="0">
      <alignment horizontal="center" vertical="center" shrinkToFit="1"/>
    </xf>
    <xf numFmtId="177" fontId="44" fillId="0" borderId="0" applyAlignment="1" pivotButton="0" quotePrefix="0" xfId="0">
      <alignment horizontal="center" vertical="center"/>
    </xf>
    <xf numFmtId="190" fontId="17" fillId="3" borderId="19" applyAlignment="1" pivotButton="0" quotePrefix="0" xfId="0">
      <alignment horizontal="center"/>
    </xf>
    <xf numFmtId="0" fontId="0" fillId="0" borderId="24" pivotButton="0" quotePrefix="0" xfId="0"/>
    <xf numFmtId="174" fontId="13" fillId="0" borderId="19" applyAlignment="1" pivotButton="0" quotePrefix="0" xfId="3">
      <alignment shrinkToFit="1"/>
    </xf>
    <xf numFmtId="190" fontId="17" fillId="12" borderId="19" applyAlignment="1" pivotButton="0" quotePrefix="0" xfId="0">
      <alignment horizontal="center"/>
    </xf>
    <xf numFmtId="190" fontId="17" fillId="20" borderId="19" applyAlignment="1" pivotButton="0" quotePrefix="0" xfId="0">
      <alignment horizontal="center"/>
    </xf>
    <xf numFmtId="190" fontId="11" fillId="0" borderId="0" pivotButton="0" quotePrefix="0" xfId="0"/>
    <xf numFmtId="167" fontId="12" fillId="0" borderId="0" pivotButton="0" quotePrefix="0" xfId="3"/>
    <xf numFmtId="0" fontId="26" fillId="6" borderId="39" applyAlignment="1" pivotButton="0" quotePrefix="0" xfId="0">
      <alignment horizontal="center"/>
    </xf>
    <xf numFmtId="0" fontId="0" fillId="0" borderId="48" pivotButton="0" quotePrefix="0" xfId="0"/>
    <xf numFmtId="166" fontId="12" fillId="0" borderId="22" pivotButton="0" quotePrefix="0" xfId="3"/>
    <xf numFmtId="174" fontId="12" fillId="0" borderId="35" pivotButton="0" quotePrefix="0" xfId="3"/>
    <xf numFmtId="167" fontId="13" fillId="0" borderId="0" pivotButton="0" quotePrefix="0" xfId="3"/>
    <xf numFmtId="169" fontId="11" fillId="0" borderId="35" applyAlignment="1" pivotButton="0" quotePrefix="0" xfId="3">
      <alignment shrinkToFit="1"/>
    </xf>
    <xf numFmtId="169" fontId="11" fillId="0" borderId="23" applyAlignment="1" pivotButton="0" quotePrefix="0" xfId="3">
      <alignment shrinkToFit="1"/>
    </xf>
    <xf numFmtId="170" fontId="13" fillId="0" borderId="0" pivotButton="0" quotePrefix="0" xfId="3"/>
    <xf numFmtId="164" fontId="20" fillId="0" borderId="0" applyAlignment="1" pivotButton="0" quotePrefix="0" xfId="3">
      <alignment shrinkToFit="1"/>
    </xf>
    <xf numFmtId="177" fontId="12" fillId="0" borderId="35" applyAlignment="1" pivotButton="0" quotePrefix="0" xfId="7">
      <alignment horizontal="center" vertical="center"/>
    </xf>
    <xf numFmtId="173" fontId="13" fillId="0" borderId="0" pivotButton="0" quotePrefix="0" xfId="0"/>
    <xf numFmtId="173" fontId="11" fillId="0" borderId="0" pivotButton="0" quotePrefix="0" xfId="0"/>
    <xf numFmtId="173" fontId="17" fillId="0" borderId="32" pivotButton="0" quotePrefix="0" xfId="0"/>
    <xf numFmtId="182" fontId="17" fillId="0" borderId="25" pivotButton="0" quotePrefix="0" xfId="0"/>
    <xf numFmtId="182" fontId="17" fillId="0" borderId="38" pivotButton="0" quotePrefix="0" xfId="0"/>
    <xf numFmtId="173" fontId="13" fillId="0" borderId="23" pivotButton="0" quotePrefix="0" xfId="0"/>
    <xf numFmtId="169" fontId="13" fillId="0" borderId="23" applyAlignment="1" pivotButton="0" quotePrefix="0" xfId="3">
      <alignment shrinkToFit="1"/>
    </xf>
    <xf numFmtId="172" fontId="13" fillId="0" borderId="0" pivotButton="0" quotePrefix="0" xfId="0"/>
    <xf numFmtId="164" fontId="17" fillId="0" borderId="0" applyAlignment="1" pivotButton="0" quotePrefix="0" xfId="3">
      <alignment shrinkToFit="1"/>
    </xf>
    <xf numFmtId="185" fontId="42" fillId="4" borderId="46" applyAlignment="1" pivotButton="0" quotePrefix="0" xfId="7">
      <alignment horizontal="center" vertical="center"/>
    </xf>
    <xf numFmtId="171" fontId="16" fillId="0" borderId="34" pivotButton="0" quotePrefix="0" xfId="3"/>
    <xf numFmtId="166" fontId="12" fillId="0" borderId="16" applyAlignment="1" pivotButton="0" quotePrefix="0" xfId="3">
      <alignment horizontal="center"/>
    </xf>
    <xf numFmtId="164" fontId="13" fillId="0" borderId="11" pivotButton="0" quotePrefix="0" xfId="3"/>
    <xf numFmtId="166" fontId="12" fillId="0" borderId="18" applyAlignment="1" pivotButton="0" quotePrefix="0" xfId="3">
      <alignment horizontal="center"/>
    </xf>
    <xf numFmtId="168" fontId="12" fillId="0" borderId="15" applyAlignment="1" pivotButton="0" quotePrefix="0" xfId="0">
      <alignment horizontal="center"/>
    </xf>
    <xf numFmtId="177" fontId="20" fillId="0" borderId="0" pivotButton="0" quotePrefix="0" xfId="7"/>
    <xf numFmtId="174" fontId="11" fillId="0" borderId="18" applyAlignment="1" pivotButton="0" quotePrefix="0" xfId="3">
      <alignment shrinkToFit="1"/>
    </xf>
    <xf numFmtId="0" fontId="11" fillId="0" borderId="21" applyAlignment="1" pivotButton="0" quotePrefix="0" xfId="0">
      <alignment horizontal="center" vertical="center"/>
    </xf>
    <xf numFmtId="174" fontId="13" fillId="0" borderId="31" pivotButton="0" quotePrefix="0" xfId="3"/>
    <xf numFmtId="174" fontId="13" fillId="0" borderId="0" pivotButton="0" quotePrefix="0" xfId="0"/>
    <xf numFmtId="166" fontId="13" fillId="0" borderId="24" pivotButton="0" quotePrefix="0" xfId="3"/>
    <xf numFmtId="0" fontId="13" fillId="0" borderId="19" applyAlignment="1" pivotButton="0" quotePrefix="0" xfId="0">
      <alignment horizontal="left"/>
    </xf>
    <xf numFmtId="0" fontId="11" fillId="0" borderId="19" applyAlignment="1" pivotButton="0" quotePrefix="0" xfId="0">
      <alignment horizontal="left"/>
    </xf>
    <xf numFmtId="14" fontId="13" fillId="0" borderId="19" applyAlignment="1" pivotButton="0" quotePrefix="0" xfId="0">
      <alignment horizontal="left" indent="1"/>
    </xf>
    <xf numFmtId="164" fontId="11" fillId="0" borderId="16" pivotButton="0" quotePrefix="0" xfId="3"/>
    <xf numFmtId="164" fontId="12" fillId="0" borderId="18" applyAlignment="1" pivotButton="0" quotePrefix="0" xfId="3">
      <alignment horizontal="center"/>
    </xf>
    <xf numFmtId="173" fontId="11" fillId="0" borderId="19" pivotButton="0" quotePrefix="0" xfId="3"/>
    <xf numFmtId="164" fontId="11" fillId="0" borderId="19" pivotButton="0" quotePrefix="0" xfId="3"/>
    <xf numFmtId="164" fontId="11" fillId="0" borderId="18" pivotButton="0" quotePrefix="0" xfId="3"/>
    <xf numFmtId="164" fontId="13" fillId="0" borderId="18" pivotButton="0" quotePrefix="0" xfId="3"/>
    <xf numFmtId="0" fontId="12" fillId="0" borderId="35" applyAlignment="1" pivotButton="0" quotePrefix="0" xfId="0">
      <alignment horizontal="center" vertical="center"/>
    </xf>
    <xf numFmtId="166" fontId="11" fillId="0" borderId="0" pivotButton="0" quotePrefix="0" xfId="3"/>
    <xf numFmtId="167" fontId="11" fillId="0" borderId="0" pivotButton="0" quotePrefix="0" xfId="3"/>
    <xf numFmtId="170" fontId="11" fillId="0" borderId="0" pivotButton="0" quotePrefix="0" xfId="3"/>
    <xf numFmtId="182" fontId="11" fillId="0" borderId="32" pivotButton="0" quotePrefix="0" xfId="0"/>
    <xf numFmtId="173" fontId="11" fillId="0" borderId="35" pivotButton="0" quotePrefix="0" xfId="0"/>
    <xf numFmtId="182" fontId="11" fillId="0" borderId="25" pivotButton="0" quotePrefix="0" xfId="0"/>
    <xf numFmtId="177" fontId="30" fillId="4" borderId="0" applyAlignment="1" pivotButton="0" quotePrefix="0" xfId="7">
      <alignment horizontal="center" vertical="center"/>
    </xf>
    <xf numFmtId="177" fontId="36" fillId="10" borderId="0" applyAlignment="1" pivotButton="0" quotePrefix="0" xfId="7">
      <alignment horizontal="center" vertical="center"/>
    </xf>
    <xf numFmtId="182" fontId="11" fillId="0" borderId="38" pivotButton="0" quotePrefix="0" xfId="0"/>
    <xf numFmtId="182" fontId="11" fillId="0" borderId="23" pivotButton="0" quotePrefix="0" xfId="0"/>
    <xf numFmtId="0" fontId="19" fillId="2" borderId="6" applyAlignment="1" pivotButton="0" quotePrefix="0" xfId="0">
      <alignment horizontal="center" vertical="center"/>
    </xf>
    <xf numFmtId="49" fontId="17" fillId="2" borderId="6" applyAlignment="1" pivotButton="0" quotePrefix="0" xfId="0">
      <alignment horizontal="center" vertical="center"/>
    </xf>
    <xf numFmtId="49" fontId="20" fillId="2" borderId="31" applyAlignment="1" pivotButton="0" quotePrefix="0" xfId="0">
      <alignment horizontal="center" vertical="center" wrapText="1"/>
    </xf>
    <xf numFmtId="0" fontId="0" fillId="0" borderId="3" pivotButton="0" quotePrefix="0" xfId="0"/>
    <xf numFmtId="0" fontId="0" fillId="0" borderId="28" pivotButton="0" quotePrefix="0" xfId="0"/>
    <xf numFmtId="176" fontId="17" fillId="2" borderId="0" applyAlignment="1" pivotButton="0" quotePrefix="0" xfId="7">
      <alignment horizontal="center" vertical="center"/>
    </xf>
    <xf numFmtId="177" fontId="20" fillId="2" borderId="0" applyAlignment="1" pivotButton="0" quotePrefix="0" xfId="7">
      <alignment horizontal="center" vertical="center"/>
    </xf>
    <xf numFmtId="0" fontId="19" fillId="2" borderId="19" applyAlignment="1" pivotButton="0" quotePrefix="0" xfId="0">
      <alignment horizontal="left" vertical="center" wrapText="1"/>
    </xf>
    <xf numFmtId="166" fontId="19" fillId="2" borderId="16" applyAlignment="1" pivotButton="0" quotePrefix="0" xfId="4">
      <alignment horizontal="center" vertical="center"/>
    </xf>
    <xf numFmtId="168" fontId="19" fillId="2" borderId="16" applyAlignment="1" pivotButton="0" quotePrefix="0" xfId="0">
      <alignment horizontal="center" vertical="center"/>
    </xf>
    <xf numFmtId="0" fontId="20" fillId="2" borderId="19" applyAlignment="1" pivotButton="0" quotePrefix="0" xfId="0">
      <alignment horizontal="left" vertical="center" indent="1"/>
    </xf>
    <xf numFmtId="177" fontId="17" fillId="2" borderId="20" applyAlignment="1" pivotButton="0" quotePrefix="0" xfId="7">
      <alignment horizontal="center" vertical="center"/>
    </xf>
    <xf numFmtId="177" fontId="17" fillId="2" borderId="19" applyAlignment="1" pivotButton="0" quotePrefix="0" xfId="7">
      <alignment horizontal="center" vertical="center"/>
    </xf>
    <xf numFmtId="0" fontId="20" fillId="2" borderId="19" applyAlignment="1" pivotButton="0" quotePrefix="0" xfId="0">
      <alignment horizontal="left" vertical="center" wrapText="1" indent="1"/>
    </xf>
    <xf numFmtId="164" fontId="17" fillId="2" borderId="0" pivotButton="0" quotePrefix="0" xfId="0"/>
    <xf numFmtId="164" fontId="17" fillId="2" borderId="19" applyAlignment="1" pivotButton="0" quotePrefix="0" xfId="4">
      <alignment vertical="center"/>
    </xf>
    <xf numFmtId="0" fontId="25" fillId="2" borderId="19" applyAlignment="1" pivotButton="0" quotePrefix="0" xfId="0">
      <alignment horizontal="center" vertical="center" wrapText="1"/>
    </xf>
    <xf numFmtId="177" fontId="0" fillId="0" borderId="0" pivotButton="0" quotePrefix="0" xfId="7"/>
    <xf numFmtId="177" fontId="11" fillId="0" borderId="0" pivotButton="0" quotePrefix="0" xfId="7"/>
    <xf numFmtId="177" fontId="0" fillId="0" borderId="0" pivotButton="0" quotePrefix="0" xfId="0"/>
    <xf numFmtId="183" fontId="11" fillId="0" borderId="0" pivotButton="0" quotePrefix="0" xfId="0"/>
    <xf numFmtId="189" fontId="11" fillId="0" borderId="0" pivotButton="0" quotePrefix="0" xfId="7"/>
    <xf numFmtId="177" fontId="11" fillId="0" borderId="0" applyAlignment="1" pivotButton="0" quotePrefix="0" xfId="7">
      <alignment horizontal="center"/>
    </xf>
    <xf numFmtId="177" fontId="0" fillId="0" borderId="0" applyAlignment="1" pivotButton="0" quotePrefix="0" xfId="7">
      <alignment horizontal="center" vertical="center"/>
    </xf>
    <xf numFmtId="177" fontId="11" fillId="0" borderId="0" applyAlignment="1" pivotButton="0" quotePrefix="0" xfId="7">
      <alignment horizontal="center" vertical="center"/>
    </xf>
    <xf numFmtId="177" fontId="11" fillId="0" borderId="0" applyAlignment="1" pivotButton="0" quotePrefix="0" xfId="0">
      <alignment horizontal="center" vertical="center"/>
    </xf>
    <xf numFmtId="0" fontId="0" fillId="0" borderId="50" pivotButton="0" quotePrefix="0" xfId="0"/>
    <xf numFmtId="178" fontId="29" fillId="0" borderId="49" applyAlignment="1" pivotButton="0" quotePrefix="0" xfId="8">
      <alignment horizontal="right"/>
    </xf>
    <xf numFmtId="176" fontId="10" fillId="0" borderId="0" applyAlignment="1" pivotButton="0" quotePrefix="0" xfId="7">
      <alignment horizontal="center" vertical="center"/>
    </xf>
    <xf numFmtId="177" fontId="10" fillId="0" borderId="0" applyAlignment="1" pivotButton="0" quotePrefix="0" xfId="7">
      <alignment horizontal="center" vertical="center"/>
    </xf>
    <xf numFmtId="176" fontId="8" fillId="0" borderId="0" applyAlignment="1" pivotButton="0" quotePrefix="0" xfId="7">
      <alignment horizontal="center" vertical="center"/>
    </xf>
    <xf numFmtId="177" fontId="8" fillId="0" borderId="0" applyAlignment="1" pivotButton="0" quotePrefix="0" xfId="7">
      <alignment horizontal="center" vertical="center"/>
    </xf>
    <xf numFmtId="177" fontId="10" fillId="0" borderId="39" pivotButton="0" quotePrefix="0" xfId="7"/>
    <xf numFmtId="186" fontId="10" fillId="0" borderId="39" pivotButton="0" quotePrefix="0" xfId="7"/>
    <xf numFmtId="177" fontId="10" fillId="0" borderId="37" pivotButton="0" quotePrefix="0" xfId="7"/>
    <xf numFmtId="186" fontId="10" fillId="0" borderId="37" pivotButton="0" quotePrefix="0" xfId="7"/>
    <xf numFmtId="177" fontId="10" fillId="0" borderId="54" pivotButton="0" quotePrefix="0" xfId="7"/>
    <xf numFmtId="186" fontId="10" fillId="0" borderId="54" pivotButton="0" quotePrefix="0" xfId="7"/>
    <xf numFmtId="187" fontId="10" fillId="0" borderId="25" applyAlignment="1" pivotButton="0" quotePrefix="0" xfId="8">
      <alignment horizontal="center" vertical="center"/>
    </xf>
    <xf numFmtId="177" fontId="1" fillId="0" borderId="37" pivotButton="0" quotePrefix="0" xfId="7"/>
    <xf numFmtId="186" fontId="1" fillId="0" borderId="37" pivotButton="0" quotePrefix="0" xfId="7"/>
    <xf numFmtId="186" fontId="10" fillId="0" borderId="37" pivotButton="0" quotePrefix="0" xfId="8"/>
    <xf numFmtId="177" fontId="1" fillId="0" borderId="54" pivotButton="0" quotePrefix="0" xfId="7"/>
    <xf numFmtId="186" fontId="10" fillId="0" borderId="63" pivotButton="0" quotePrefix="0" xfId="8"/>
    <xf numFmtId="186" fontId="10" fillId="0" borderId="54" pivotButton="0" quotePrefix="0" xfId="8"/>
    <xf numFmtId="177" fontId="10" fillId="0" borderId="19" applyAlignment="1" pivotButton="0" quotePrefix="0" xfId="7">
      <alignment horizontal="center"/>
    </xf>
    <xf numFmtId="186" fontId="10" fillId="0" borderId="25" applyAlignment="1" pivotButton="0" quotePrefix="0" xfId="7">
      <alignment horizontal="center" vertical="center"/>
    </xf>
    <xf numFmtId="177" fontId="10" fillId="0" borderId="17" applyAlignment="1" pivotButton="0" quotePrefix="0" xfId="7">
      <alignment horizontal="center"/>
    </xf>
    <xf numFmtId="0" fontId="0" fillId="0" borderId="72" pivotButton="0" quotePrefix="0" xfId="0"/>
    <xf numFmtId="177" fontId="3" fillId="0" borderId="37" pivotButton="0" quotePrefix="0" xfId="7"/>
    <xf numFmtId="186" fontId="3" fillId="0" borderId="37" pivotButton="0" quotePrefix="0" xfId="7"/>
    <xf numFmtId="177" fontId="60" fillId="0" borderId="0" pivotButton="0" quotePrefix="0" xfId="7"/>
    <xf numFmtId="177" fontId="60" fillId="0" borderId="0" pivotButton="0" quotePrefix="0" xfId="0"/>
    <xf numFmtId="176" fontId="56" fillId="0" borderId="66" applyAlignment="1" pivotButton="0" quotePrefix="0" xfId="0">
      <alignment horizontal="center" vertical="center"/>
    </xf>
    <xf numFmtId="176" fontId="56" fillId="0" borderId="66" applyAlignment="1" pivotButton="0" quotePrefix="0" xfId="11">
      <alignment horizontal="center" vertical="center"/>
    </xf>
    <xf numFmtId="176" fontId="0" fillId="0" borderId="0" applyAlignment="1" pivotButton="0" quotePrefix="0" xfId="0">
      <alignment horizontal="center" vertical="center"/>
    </xf>
    <xf numFmtId="191" fontId="0" fillId="0" borderId="0" applyAlignment="1" pivotButton="0" quotePrefix="0" xfId="0">
      <alignment horizontal="center" vertical="center"/>
    </xf>
    <xf numFmtId="176" fontId="0" fillId="0" borderId="0" applyAlignment="1" pivotButton="0" quotePrefix="0" xfId="7">
      <alignment horizontal="center" vertical="center"/>
    </xf>
    <xf numFmtId="177" fontId="61" fillId="0" borderId="0" applyAlignment="1" pivotButton="0" quotePrefix="0" xfId="7">
      <alignment horizontal="center" vertical="top" shrinkToFit="1"/>
    </xf>
    <xf numFmtId="177" fontId="60" fillId="0" borderId="0" applyAlignment="1" pivotButton="0" quotePrefix="0" xfId="7">
      <alignment horizontal="right"/>
    </xf>
    <xf numFmtId="176" fontId="26" fillId="0" borderId="19" applyAlignment="1" pivotButton="0" quotePrefix="0" xfId="7">
      <alignment horizontal="center" vertical="center"/>
    </xf>
    <xf numFmtId="176" fontId="26" fillId="0" borderId="16" applyAlignment="1" pivotButton="0" quotePrefix="0" xfId="7">
      <alignment horizontal="center" vertical="center"/>
    </xf>
    <xf numFmtId="164" fontId="0" fillId="8" borderId="0" pivotButton="0" quotePrefix="0" xfId="3"/>
    <xf numFmtId="164" fontId="0" fillId="0" borderId="0" pivotButton="0" quotePrefix="0" xfId="0"/>
    <xf numFmtId="0" fontId="12" fillId="19" borderId="19" applyAlignment="1" pivotButton="0" quotePrefix="0" xfId="0">
      <alignment horizontal="left"/>
    </xf>
    <xf numFmtId="176" fontId="0" fillId="0" borderId="0" pivotButton="0" quotePrefix="0" xfId="7"/>
    <xf numFmtId="176" fontId="11" fillId="0" borderId="0" applyAlignment="1" pivotButton="0" quotePrefix="0" xfId="7">
      <alignment horizontal="center" vertical="center"/>
    </xf>
    <xf numFmtId="188" fontId="11" fillId="0" borderId="0" applyAlignment="1" pivotButton="0" quotePrefix="0" xfId="7">
      <alignment horizontal="center" vertical="center"/>
    </xf>
    <xf numFmtId="176" fontId="11" fillId="0" borderId="0" applyAlignment="1" pivotButton="0" quotePrefix="0" xfId="7">
      <alignment horizontal="center" vertical="center" wrapText="1"/>
    </xf>
    <xf numFmtId="188" fontId="32" fillId="0" borderId="0" applyAlignment="1" pivotButton="0" quotePrefix="0" xfId="7">
      <alignment horizontal="center" vertical="center" shrinkToFit="1"/>
    </xf>
    <xf numFmtId="188" fontId="11" fillId="0" borderId="0" applyAlignment="1" pivotButton="0" quotePrefix="0" xfId="7">
      <alignment horizontal="center" vertical="center" wrapText="1"/>
    </xf>
    <xf numFmtId="176" fontId="32" fillId="0" borderId="0" applyAlignment="1" pivotButton="0" quotePrefix="0" xfId="7">
      <alignment horizontal="center" vertical="center" shrinkToFit="1"/>
    </xf>
    <xf numFmtId="188" fontId="0" fillId="0" borderId="0" applyAlignment="1" pivotButton="0" quotePrefix="0" xfId="7">
      <alignment horizontal="center" vertical="center"/>
    </xf>
    <xf numFmtId="0" fontId="49" fillId="15" borderId="35" applyAlignment="1" pivotButton="0" quotePrefix="0" xfId="10">
      <alignment horizontal="center"/>
    </xf>
    <xf numFmtId="0" fontId="48" fillId="0" borderId="35" applyAlignment="1" pivotButton="0" quotePrefix="0" xfId="10">
      <alignment horizontal="center"/>
    </xf>
    <xf numFmtId="0" fontId="50" fillId="14" borderId="35" applyAlignment="1" pivotButton="0" quotePrefix="0" xfId="10">
      <alignment horizontal="center"/>
    </xf>
    <xf numFmtId="0" fontId="0" fillId="0" borderId="62" pivotButton="0" quotePrefix="0" xfId="0"/>
    <xf numFmtId="0" fontId="7" fillId="0" borderId="31" applyAlignment="1" pivotButton="0" quotePrefix="0" xfId="10">
      <alignment horizontal="center"/>
    </xf>
    <xf numFmtId="0" fontId="7" fillId="0" borderId="35" applyAlignment="1" pivotButton="0" quotePrefix="0" xfId="10">
      <alignment horizontal="center"/>
    </xf>
    <xf numFmtId="0" fontId="48" fillId="0" borderId="35" applyAlignment="1" pivotButton="0" quotePrefix="0" xfId="10">
      <alignment horizontal="center" vertical="center"/>
    </xf>
  </cellXfs>
  <cellStyles count="12">
    <cellStyle name="Normale" xfId="0" builtinId="0"/>
    <cellStyle name="Euro" xfId="1"/>
    <cellStyle name="Euro 2" xfId="2"/>
    <cellStyle name="Migliaia" xfId="3" builtinId="3"/>
    <cellStyle name="Migliaia 2" xfId="4"/>
    <cellStyle name="Percentuale" xfId="5" builtinId="5"/>
    <cellStyle name="Percentuale 2" xfId="6"/>
    <cellStyle name="Valuta" xfId="7" builtinId="4"/>
    <cellStyle name="Normale 2" xfId="8"/>
    <cellStyle name="Collegamento ipertestuale" xfId="9" builtinId="8"/>
    <cellStyle name="Normal 2" xfId="10"/>
    <cellStyle name="Normal 3" xfId="11"/>
  </cellStyles>
  <dxfs count="248">
    <dxf>
      <font>
        <name val="Arial"/>
        <family val="2"/>
        <strike val="0"/>
        <outline val="0"/>
        <shadow val="0"/>
        <condense val="0"/>
        <color rgb="FF000000"/>
        <extend val="0"/>
        <sz val="10"/>
        <vertAlign val="baseline"/>
      </font>
      <numFmt numFmtId="187" formatCode="_-&quot;€&quot;\ * #,##0.0000_-;\-&quot;€&quot;\ * #,##0.0000_-;_-&quot;€&quot;\ * &quot;-&quot;??_-;_-@_-"/>
      <fill>
        <patternFill>
          <fgColor indexed="64"/>
          <bgColor auto="1"/>
        </patternFill>
      </fill>
      <alignment horizontal="center" vertical="center" shrinkToFit="1"/>
    </dxf>
    <dxf>
      <font>
        <name val="Arial"/>
        <family val="2"/>
        <strike val="0"/>
        <outline val="0"/>
        <shadow val="0"/>
        <condense val="0"/>
        <color rgb="FF000000"/>
        <extend val="0"/>
        <sz val="10"/>
        <vertAlign val="baseline"/>
      </font>
      <numFmt numFmtId="1" formatCode="0"/>
      <fill>
        <patternFill>
          <fgColor indexed="64"/>
          <bgColor auto="1"/>
        </patternFill>
      </fill>
      <alignment horizontal="center" vertical="center" shrinkToFit="1"/>
    </dxf>
    <dxf>
      <font>
        <name val="Arial"/>
        <family val="2"/>
        <strike val="0"/>
        <outline val="0"/>
        <shadow val="0"/>
        <condense val="0"/>
        <color rgb="FF000000"/>
        <extend val="0"/>
        <sz val="10"/>
        <vertAlign val="baseline"/>
      </font>
      <numFmt numFmtId="180" formatCode="0.0"/>
      <fill>
        <patternFill>
          <fgColor indexed="64"/>
          <bgColor auto="1"/>
        </patternFill>
      </fill>
      <alignment horizontal="left" vertical="center" shrinkToFit="1"/>
    </dxf>
    <dxf>
      <border outline="0">
        <top style="thin">
          <color theme="6" tint="0.3999755851924192"/>
        </top>
      </border>
    </dxf>
    <dxf>
      <fill>
        <patternFill>
          <fgColor indexed="64"/>
          <bgColor auto="1"/>
        </patternFill>
      </fill>
    </dxf>
    <dxf>
      <border outline="0">
        <bottom style="thin">
          <color theme="6" tint="0.3999755851924192"/>
        </bottom>
      </border>
    </dxf>
    <dxf>
      <font>
        <name val="Arial"/>
        <family val="2"/>
        <b val="1"/>
        <strike val="0"/>
        <outline val="0"/>
        <shadow val="0"/>
        <condense val="0"/>
        <color theme="0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rgb="FF000000"/>
        <extend val="0"/>
        <sz val="10"/>
        <vertAlign val="baseline"/>
      </font>
      <numFmt numFmtId="187" formatCode="_-&quot;€&quot;\ * #,##0.0000_-;\-&quot;€&quot;\ * #,##0.0000_-;_-&quot;€&quot;\ * &quot;-&quot;??_-;_-@_-"/>
      <alignment horizontal="center" vertical="center" shrinkToFit="1"/>
    </dxf>
    <dxf>
      <font>
        <name val="Arial"/>
        <family val="2"/>
        <strike val="0"/>
        <outline val="0"/>
        <shadow val="0"/>
        <condense val="0"/>
        <color rgb="FF000000"/>
        <extend val="0"/>
        <sz val="10"/>
        <vertAlign val="baseline"/>
      </font>
      <numFmt numFmtId="3" formatCode="#,##0"/>
      <alignment horizontal="center" vertical="center" shrinkToFit="1"/>
    </dxf>
    <dxf>
      <font>
        <name val="Arial"/>
        <family val="2"/>
        <strike val="0"/>
        <outline val="0"/>
        <shadow val="0"/>
        <condense val="0"/>
        <color rgb="FF000000"/>
        <extend val="0"/>
        <sz val="10"/>
        <vertAlign val="baseline"/>
      </font>
      <numFmt numFmtId="1" formatCode="0"/>
      <alignment horizontal="left" vertical="center" shrinkToFit="1"/>
    </dxf>
    <dxf>
      <border outline="0">
        <top style="thin">
          <color theme="6" tint="0.3999755851924192"/>
        </top>
      </border>
    </dxf>
    <dxf>
      <border outline="0">
        <bottom style="thin">
          <color theme="6" tint="0.3999755851924192"/>
        </bottom>
      </border>
    </dxf>
    <dxf>
      <font>
        <name val="Arial"/>
        <family val="2"/>
        <b val="1"/>
        <strike val="0"/>
        <outline val="0"/>
        <shadow val="0"/>
        <condense val="0"/>
        <color theme="0"/>
        <extend val="0"/>
        <sz val="10"/>
        <vertAlign val="baseline"/>
      </font>
      <fill>
        <patternFill patternType="solid">
          <fgColor theme="6"/>
          <bgColor theme="6"/>
        </patternFill>
      </fill>
      <alignment horizontal="center" vertical="center"/>
    </dxf>
    <dxf>
      <font>
        <name val="Arial MT"/>
        <family val="2"/>
        <strike val="0"/>
        <outline val="0"/>
        <shadow val="0"/>
        <condense val="0"/>
        <color rgb="FF000000"/>
        <extend val="0"/>
        <sz val="10"/>
        <vertAlign val="baseline"/>
      </font>
      <numFmt numFmtId="179" formatCode="0.000"/>
      <alignment horizontal="general" vertical="top" shrinkToFit="1"/>
    </dxf>
    <dxf>
      <font>
        <name val="Arial MT"/>
        <family val="2"/>
        <strike val="0"/>
        <outline val="0"/>
        <shadow val="0"/>
        <condense val="0"/>
        <color rgb="FF000000"/>
        <extend val="0"/>
        <sz val="10"/>
        <vertAlign val="baseline"/>
      </font>
      <numFmt numFmtId="1" formatCode="0"/>
      <alignment horizontal="general" vertical="top" shrinkToFit="1"/>
    </dxf>
    <dxf>
      <font>
        <name val="Arial MT"/>
        <strike val="0"/>
        <outline val="0"/>
        <shadow val="0"/>
        <condense val="0"/>
        <color auto="1"/>
        <extend val="0"/>
        <sz val="10"/>
        <vertAlign val="baseline"/>
      </font>
      <alignment horizontal="left" vertical="top" wrapText="1"/>
    </dxf>
    <dxf>
      <font>
        <name val="Arial MT"/>
        <strike val="0"/>
        <outline val="0"/>
        <shadow val="0"/>
        <condense val="0"/>
        <color auto="1"/>
        <extend val="0"/>
        <sz val="10"/>
        <vertAlign val="baseline"/>
      </font>
      <alignment horizontal="left" vertical="top" wrapText="1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177" formatCode="_-&quot;€&quot;\ * #,##0.000_-;\-&quot;€&quot;\ * #,##0.000_-;_-&quot;€&quot;\ * &quot;-&quot;??_-;_-@_-"/>
      <alignment horizontal="center" vertical="center" wrapText="1"/>
    </dxf>
    <dxf>
      <font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alignment horizontal="center" vertical="center" wrapText="1"/>
    </dxf>
    <dxf>
      <font/>
    </dxf>
    <dxf>
      <font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alignment horizontal="center" vertical="center"/>
    </dxf>
    <dxf>
      <numFmt numFmtId="0" formatCode="General"/>
    </dxf>
    <dxf>
      <numFmt numFmtId="0" formatCode="General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</dxf>
    <dxf>
      <fill>
        <patternFill>
          <bgColor auto="1"/>
        </patternFill>
      </fill>
      <alignment horizontal="center" vertical="center"/>
    </dxf>
    <dxf>
      <fill>
        <patternFill>
          <bgColor auto="1"/>
        </patternFill>
      </fill>
      <alignment horizontal="center" vertical="center"/>
    </dxf>
    <dxf>
      <numFmt numFmtId="177" formatCode="_-&quot;€&quot;\ * #,##0.000_-;\-&quot;€&quot;\ * #,##0.000_-;_-&quot;€&quot;\ * &quot;-&quot;??_-;_-@_-"/>
      <fill>
        <patternFill>
          <fgColor indexed="64"/>
          <bgColor indexed="65"/>
        </patternFill>
      </fill>
      <alignment horizontal="center" vertical="center"/>
    </dxf>
    <dxf>
      <numFmt numFmtId="177" formatCode="_-&quot;€&quot;\ * #,##0.000_-;\-&quot;€&quot;\ * #,##0.000_-;_-&quot;€&quot;\ * &quot;-&quot;??_-;_-@_-"/>
      <fill>
        <patternFill>
          <fgColor indexed="64"/>
          <bgColor indexed="65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indexed="65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bgColor auto="1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bgColor auto="1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name val="Arial"/>
        <family val="2"/>
        <b val="1"/>
        <strike val="0"/>
        <outline val="0"/>
        <shadow val="0"/>
        <condense val="0"/>
        <color rgb="FFFF0000"/>
        <extend val="0"/>
        <sz val="10"/>
        <vertAlign val="baseline"/>
      </font>
      <numFmt numFmtId="177" formatCode="_-&quot;€&quot;\ * #,##0.000_-;\-&quot;€&quot;\ * #,##0.000_-;_-&quot;€&quot;\ * &quot;-&quot;??_-;_-@_-"/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b val="1"/>
        <strike val="0"/>
        <outline val="0"/>
        <shadow val="0"/>
        <condense val="0"/>
        <color rgb="FFFF0000"/>
        <extend val="0"/>
        <sz val="10"/>
        <vertAlign val="baseline"/>
      </font>
      <numFmt numFmtId="177" formatCode="_-&quot;€&quot;\ * #,##0.000_-;\-&quot;€&quot;\ * #,##0.000_-;_-&quot;€&quot;\ * &quot;-&quot;??_-;_-@_-"/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b val="1"/>
        <strike val="0"/>
        <outline val="0"/>
        <shadow val="0"/>
        <condense val="0"/>
        <color rgb="FFFF0000"/>
        <extend val="0"/>
        <sz val="10"/>
        <vertAlign val="baseline"/>
      </font>
      <numFmt numFmtId="177" formatCode="_-&quot;€&quot;\ * #,##0.000_-;\-&quot;€&quot;\ * #,##0.000_-;_-&quot;€&quot;\ * &quot;-&quot;??_-;_-@_-"/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  <alignment horizontal="left" vertical="center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rial"/>
        <family val="2"/>
        <b val="1"/>
        <strike val="0"/>
        <outline val="0"/>
        <shadow val="0"/>
        <condense val="0"/>
        <color rgb="FFFF0000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</dxf>
    <dxf>
      <border outline="0">
        <bottom style="thin">
          <color indexed="64"/>
        </bottom>
      </border>
    </dxf>
    <dxf>
      <font>
        <name val="Arial"/>
        <family val="2"/>
        <b val="1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77" formatCode="_-&quot;€&quot;\ * #,##0.000_-;\-&quot;€&quot;\ * #,##0.000_-;_-&quot;€&quot;\ * &quot;-&quot;??_-;_-@_-"/>
      <alignment horizontal="center" vertical="center"/>
    </dxf>
    <dxf>
      <numFmt numFmtId="34" formatCode="_-* #,##0.00\ &quot;€&quot;_-;\-* #,##0.00\ &quot;€&quot;_-;_-* &quot;-&quot;??\ &quot;€&quot;_-;_-@_-"/>
      <alignment horizontal="center" vertical="center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alignment horizontal="center" vertical="center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alignment horizontal="center" vertical="center"/>
    </dxf>
    <dxf>
      <alignment horizontal="center" vertical="center"/>
    </dxf>
    <dxf>
      <alignment horizontal="center" vertical="center"/>
    </dxf>
    <dxf>
      <numFmt numFmtId="177" formatCode="_-&quot;€&quot;\ * #,##0.000_-;\-&quot;€&quot;\ * #,##0.000_-;_-&quot;€&quot;\ * &quot;-&quot;??_-;_-@_-"/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alignment horizontal="center" vertical="center"/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/>
        <right/>
        <top style="thin">
          <color theme="8" tint="0.3999755851924192"/>
        </top>
        <bottom style="thin">
          <color theme="8" tint="0.3999755851924192"/>
        </bottom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  <border outline="0">
        <left/>
        <right/>
        <top style="thin">
          <color theme="8" tint="0.3999755851924192"/>
        </top>
        <bottom style="thin">
          <color theme="8" tint="0.3999755851924192"/>
        </bottom>
      </border>
    </dxf>
    <dxf>
      <fill>
        <patternFill>
          <fgColor indexed="64"/>
          <bgColor auto="1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numFmt numFmtId="0" formatCode="General"/>
      <fill>
        <patternFill>
          <fgColor indexed="64"/>
          <bgColor auto="1"/>
        </patternFill>
      </fill>
      <alignment horizontal="center" vertical="center"/>
      <border outline="0">
        <left/>
        <right/>
        <top style="thin">
          <color theme="8" tint="0.3999755851924192"/>
        </top>
        <bottom style="thin">
          <color theme="8" tint="0.3999755851924192"/>
        </bottom>
      </border>
    </dxf>
    <dxf>
      <font>
        <name val="Arial"/>
        <family val="2"/>
        <strike val="0"/>
        <outline val="0"/>
        <shadow val="0"/>
        <condense val="0"/>
        <color theme="1"/>
        <extend val="0"/>
        <sz val="10"/>
        <vertAlign val="baseline"/>
      </font>
      <numFmt numFmtId="0" formatCode="General"/>
      <fill>
        <patternFill>
          <fgColor indexed="64"/>
          <bgColor indexed="65"/>
        </patternFill>
      </fill>
      <alignment horizontal="center" vertical="center"/>
      <border outline="0">
        <left/>
        <right/>
        <top style="thin">
          <color theme="8" tint="0.3999755851924192"/>
        </top>
        <bottom style="thin">
          <color theme="8" tint="0.3999755851924192"/>
        </bottom>
      </border>
    </dxf>
    <dxf>
      <border outline="0">
        <top style="thin">
          <color theme="8" tint="0.3999755851924192"/>
        </top>
      </border>
    </dxf>
    <dxf>
      <border outline="0">
        <left style="thin">
          <color theme="8" tint="0.3999755851924192"/>
        </left>
        <top style="thin">
          <color theme="8" tint="0.3999755851924192"/>
        </top>
        <bottom style="thin">
          <color theme="8" tint="0.3999755851924192"/>
        </bottom>
      </border>
    </dxf>
    <dxf>
      <fill>
        <patternFill>
          <fgColor indexed="64"/>
          <bgColor auto="1"/>
        </patternFill>
      </fill>
      <alignment horizontal="center" vertical="center"/>
    </dxf>
    <dxf>
      <border outline="0">
        <bottom style="thin">
          <color theme="8" tint="0.3999755851924192"/>
        </bottom>
      </border>
    </dxf>
    <dxf>
      <font>
        <name val="Arial"/>
        <family val="2"/>
        <b val="1"/>
        <strike val="0"/>
        <outline val="0"/>
        <shadow val="0"/>
        <condense val="0"/>
        <color theme="0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</dxf>
    <dxf>
      <font>
        <name val="Aptos Narrow"/>
        <family val="2"/>
        <strike val="0"/>
        <outline val="0"/>
        <shadow val="0"/>
        <sz val="11"/>
        <vertAlign val="baseline"/>
      </font>
      <numFmt numFmtId="164" formatCode="_-&quot;€&quot;\ * #,##0.00_-;\-&quot;€&quot;\ * #,##0.00_-;_-&quot;€&quot;\ * &quot;-&quot;??_-;_-@_-"/>
    </dxf>
    <dxf>
      <font>
        <name val="Aptos Narrow"/>
        <family val="2"/>
        <strike val="0"/>
        <outline val="0"/>
        <shadow val="0"/>
        <sz val="11"/>
        <vertAlign val="baseline"/>
      </font>
      <numFmt numFmtId="0" formatCode="General"/>
    </dxf>
    <dxf>
      <font>
        <name val="Aptos Narrow"/>
        <family val="2"/>
        <strike val="0"/>
        <outline val="0"/>
        <shadow val="0"/>
        <sz val="11"/>
        <vertAlign val="baseline"/>
      </font>
      <numFmt numFmtId="0" formatCode="General"/>
    </dxf>
    <dxf>
      <font>
        <name val="Aptos Narrow"/>
        <family val="2"/>
        <strike val="0"/>
        <outline val="0"/>
        <shadow val="0"/>
        <sz val="11"/>
        <vertAlign val="baseline"/>
      </font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</font>
      <numFmt numFmtId="0" formatCode="General"/>
    </dxf>
    <dxf>
      <font>
        <name val="Aptos Narrow"/>
        <family val="2"/>
        <strike val="0"/>
        <outline val="0"/>
        <shadow val="0"/>
        <sz val="11"/>
        <vertAlign val="baseline"/>
      </font>
    </dxf>
    <dxf>
      <font>
        <name val="Aptos Narrow"/>
        <family val="2"/>
        <strike val="0"/>
        <outline val="0"/>
        <shadow val="0"/>
        <sz val="11"/>
        <vertAlign val="baseline"/>
      </font>
    </dxf>
    <dxf>
      <font>
        <name val="Aptos Narrow"/>
        <family val="2"/>
        <strike val="0"/>
        <outline val="0"/>
        <shadow val="0"/>
        <sz val="11"/>
        <vertAlign val="baseline"/>
      </font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fill>
        <patternFill>
          <fgColor indexed="64"/>
          <bgColor indexed="65"/>
        </patternFill>
      </fill>
      <alignment horizontal="general" vertical="bottom"/>
      <border outline="0">
        <left/>
        <right/>
        <top/>
        <bottom/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85" formatCode="_-&quot;€&quot;\ * #,##0.00000_-;\-&quot;€&quot;\ * #,##0.00000_-;_-&quot;€&quot;\ * &quot;-&quot;??_-;_-@_-"/>
      <fill>
        <patternFill>
          <fgColor indexed="64"/>
          <bgColor indexed="65"/>
        </patternFill>
      </fill>
      <alignment horizontal="general" vertical="bottom"/>
      <border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  <protection locked="1" hidden="0"/>
    </dxf>
    <dxf>
      <numFmt numFmtId="185" formatCode="_-&quot;€&quot;\ * #,##0.00000_-;\-&quot;€&quot;\ * #,##0.00000_-;_-&quot;€&quot;\ * &quot;-&quot;??_-;_-@_-"/>
      <border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fill>
        <patternFill>
          <fgColor indexed="64"/>
          <bgColor indexed="65"/>
        </patternFill>
      </fill>
      <alignment horizontal="general" vertical="bottom"/>
      <border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  <protection locked="1" hidden="0"/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fill>
        <patternFill>
          <fgColor indexed="64"/>
          <bgColor indexed="65"/>
        </patternFill>
      </fill>
      <alignment horizontal="general" vertical="bottom"/>
      <border outline="0">
        <left style="medium">
          <color indexed="64"/>
        </left>
        <right style="medium">
          <color indexed="64"/>
        </right>
        <top style="thin">
          <color indexed="64"/>
        </top>
        <bottom/>
      </border>
      <protection locked="1" hidden="0"/>
    </dxf>
    <dxf>
      <border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0" formatCode="General"/>
      <fill>
        <patternFill>
          <fgColor indexed="64"/>
          <bgColor indexed="65"/>
        </patternFill>
      </fill>
      <alignment horizontal="general" vertical="bottom"/>
      <border outline="0">
        <left/>
        <right style="medium">
          <color indexed="64"/>
        </right>
        <top style="thin">
          <color indexed="64"/>
        </top>
        <bottom/>
      </border>
      <protection locked="1" hidden="0"/>
    </dxf>
    <dxf>
      <border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medium">
          <color indexed="64"/>
        </left>
        <right style="medium">
          <color indexed="64"/>
        </right>
        <top/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7" formatCode="_-&quot;€&quot;\ * #,##0.000_-;\-&quot;€&quot;\ * #,##0.000_-;_-&quot;€&quot;\ * &quot;-&quot;??_-;_-@_-"/>
      <alignment horizontal="center" vertical="center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indexed="65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indexed="65"/>
        </patternFill>
      </fill>
      <alignment horizontal="center" vertical="center"/>
    </dxf>
    <dxf>
      <fill>
        <patternFill>
          <fgColor indexed="64"/>
          <bgColor auto="1"/>
        </patternFill>
      </fill>
      <alignment horizontal="center" vertical="center"/>
    </dxf>
    <dxf>
      <fill>
        <patternFill>
          <fgColor indexed="64"/>
          <bgColor indexed="65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30" formatCode="@"/>
      <fill>
        <patternFill>
          <fgColor indexed="64"/>
          <bgColor auto="1"/>
        </patternFill>
      </fill>
      <alignment horizontal="left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theme="0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indexed="65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3" formatCode="#,##0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3" formatCode="#,##0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indexed="65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indexed="65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3" formatCode="#,##0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3" formatCode="#,##0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indexed="65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indexed="65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indexed="65"/>
        </patternFill>
      </fill>
      <alignment horizontal="center" vertical="center"/>
    </dxf>
    <dxf>
      <fill>
        <patternFill>
          <fgColor indexed="64"/>
          <bgColor auto="1"/>
        </patternFill>
      </fill>
      <alignment horizontal="center" vertical="center"/>
    </dxf>
    <dxf>
      <fill>
        <patternFill>
          <fgColor indexed="64"/>
          <bgColor indexed="65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30" formatCode="@"/>
      <fill>
        <patternFill>
          <fgColor indexed="64"/>
          <bgColor auto="1"/>
        </patternFill>
      </fill>
      <alignment horizontal="left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theme="0"/>
        <extend val="0"/>
        <sz val="10"/>
        <vertAlign val="baseline"/>
      </font>
      <fill>
        <patternFill>
          <fgColor indexed="64"/>
          <bgColor auto="1"/>
        </patternFill>
      </fill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</dxf>
    <dxf>
      <numFmt numFmtId="164" formatCode="_-&quot;€&quot;\ * #,##0.00_-;\-&quot;€&quot;\ * #,##0.00_-;_-&quot;€&quot;\ * &quot;-&quot;??_-;_-@_-"/>
      <alignment horizontal="center" vertical="center"/>
    </dxf>
    <dxf>
      <numFmt numFmtId="164" formatCode="_-&quot;€&quot;\ * #,##0.00_-;\-&quot;€&quot;\ * #,##0.00_-;_-&quot;€&quot;\ * &quot;-&quot;??_-;_-@_-"/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alignment horizontal="center" vertical="center"/>
    </dxf>
    <dxf>
      <numFmt numFmtId="0" formatCode="General"/>
      <alignment horizontal="center" vertical="center"/>
    </dxf>
    <dxf>
      <alignment horizontal="center" vertical="center"/>
    </dxf>
    <dxf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alignment horizontal="left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alignment horizontal="left" vertical="center"/>
    </dxf>
    <dxf>
      <alignment horizontal="center" vertical="center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alignment horizontal="center" vertical="bottom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indexed="65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indexed="65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3" formatCode="#,##0"/>
      <fill>
        <patternFill>
          <fgColor indexed="64"/>
          <bgColor indexed="65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3" formatCode="#,##0"/>
      <fill>
        <patternFill>
          <fgColor indexed="64"/>
          <bgColor indexed="65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88" formatCode="#,##0.0"/>
      <fill>
        <patternFill>
          <fgColor indexed="64"/>
          <bgColor indexed="65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indexed="65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indexed="65"/>
        </patternFill>
      </fill>
    </dxf>
    <dxf>
      <numFmt numFmtId="2" formatCode="0.0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indexed="65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indexed="65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164" formatCode="_-&quot;€&quot;\ * #,##0.00_-;\-&quot;€&quot;\ * #,##0.00_-;_-&quot;€&quot;\ * &quot;-&quot;??_-;_-@_-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3" formatCode="#,##0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3" formatCode="#,##0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indexed="65"/>
        </patternFill>
      </fill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auto="1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ont>
        <name val="Arial"/>
        <family val="2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indexed="65"/>
        </patternFill>
      </fill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theme="0"/>
      </font>
      <numFmt numFmtId="174" formatCode="#,##0.0000"/>
    </dxf>
    <dxf>
      <font>
        <name val="Arial"/>
        <family val="2"/>
        <strike val="0"/>
        <outline val="0"/>
        <shadow val="0"/>
        <condense val="0"/>
        <color auto="1"/>
        <extend val="0"/>
        <sz val="8"/>
        <vertAlign val="baseline"/>
      </font>
    </dxf>
    <dxf>
      <font>
        <name val="Arial"/>
        <family val="2"/>
        <strike val="0"/>
        <outline val="0"/>
        <shadow val="0"/>
        <condense val="0"/>
        <color auto="1"/>
        <extend val="0"/>
        <sz val="8"/>
        <vertAlign val="baseline"/>
      </font>
    </dxf>
    <dxf>
      <font>
        <name val="Arial"/>
        <family val="2"/>
        <strike val="0"/>
        <outline val="0"/>
        <shadow val="0"/>
        <condense val="0"/>
        <color auto="1"/>
        <extend val="0"/>
        <sz val="8"/>
        <vertAlign val="baseline"/>
      </font>
    </dxf>
    <dxf>
      <font>
        <name val="Arial"/>
        <family val="2"/>
        <strike val="0"/>
        <outline val="0"/>
        <shadow val="0"/>
        <condense val="0"/>
        <color auto="1"/>
        <extend val="0"/>
        <sz val="8"/>
        <vertAlign val="baseline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auto="1"/>
      </font>
      <fill>
        <patternFill>
          <bgColor rgb="FFFFFF00"/>
        </patternFill>
      </fill>
    </dxf>
    <dxf>
      <fill>
        <patternFill>
          <bgColor theme="0" tint="-0.1499679555650502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0" tint="-0.1499679555650502"/>
        </patternFill>
      </fill>
    </dxf>
    <dxf>
      <fill>
        <patternFill>
          <bgColor theme="0" tint="-0.149967955565050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b val="1"/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strike val="0"/>
        <color theme="0"/>
      </font>
      <numFmt numFmtId="174" formatCode="#,##0.0000"/>
    </dxf>
    <dxf>
      <font>
        <strike val="0"/>
        <color theme="0"/>
      </font>
    </dxf>
    <dxf>
      <font>
        <strike val="0"/>
        <color theme="0"/>
      </font>
      <numFmt numFmtId="174" formatCode="#,##0.0000"/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b val="1"/>
        <color rgb="FFFF0000"/>
      </font>
      <fill>
        <patternFill>
          <bgColor rgb="FFFFFF00"/>
        </patternFill>
      </fill>
    </dxf>
  </dxfs>
  <tableStyles count="1" defaultTableStyle="TableStyleMedium9" defaultPivotStyle="PivotStyleLight16">
    <tableStyle name="Invisible" pivot="0" table="0" count="0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styles" Target="styles.xml" Id="rId16"/><Relationship Type="http://schemas.openxmlformats.org/officeDocument/2006/relationships/theme" Target="theme/theme1.xml" Id="rId17"/><Relationship Type="http://schemas.microsoft.com/office/2006/relationships/vbaProject" Target="vbaProject.bin" Id="rId18"/></Relationships>
</file>

<file path=xl/comments/comment1.xml><?xml version="1.0" encoding="utf-8"?>
<comments xmlns="http://schemas.openxmlformats.org/spreadsheetml/2006/main">
  <authors>
    <author>tc={88B0DF9B-CFF3-4A73-905D-F453B4707D62}</author>
    <author>tc={BBD94AC7-CA4E-44E4-AE2B-C80E69A1019C}</author>
    <author>tc={B3D304B9-8704-4DF9-85A1-F5453AE3D62B}</author>
    <author>tc={272E670A-4AE8-43E7-B909-3B2933A41365}</author>
    <author>tc={6CCDACD9-B075-4B53-8E62-29C991241C5E}</author>
    <author>tc={D57BE739-1F8E-42A0-8F73-374DB29361D2}</author>
    <author>tc={705D6826-CB2D-4D21-87AF-999DDAC94DE2}</author>
  </authors>
  <commentList>
    <comment ref="A32" authorId="0" shapeId="0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KbSKSKb/26262/EB non a listino</t>
      </text>
    </comment>
    <comment ref="F32" authorId="1" shapeId="0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Aumentato il prezzo del 15% per sicurezza, in quanto non c’è a listino la composizione richiesta (KbSKSKb/26262/EB)</t>
      </text>
    </comment>
    <comment ref="A69" authorId="2" shapeId="0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Lasciati 5 colori per compensare il 6° colore mancante negli altri componenti</t>
      </text>
    </comment>
    <comment ref="A70" authorId="3" shapeId="0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Lasciati 5 colori per compensare il 6° colore mancante negli altri componenti</t>
      </text>
    </comment>
    <comment ref="A71" authorId="4" shapeId="0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Lasciati 5 colori per compensare il 6° colore mancante negli altri componenti</t>
      </text>
    </comment>
    <comment ref="F141" authorId="5" shapeId="0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Prezzo raddoppiato per B/V</t>
      </text>
    </comment>
    <comment ref="B171" authorId="6" shapeId="0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4 parte A + 4 parte B</t>
      </text>
    </comment>
  </commentList>
</comments>
</file>

<file path=xl/comments/comment2.xml><?xml version="1.0" encoding="utf-8"?>
<comments xmlns="http://schemas.openxmlformats.org/spreadsheetml/2006/main">
  <authors>
    <author>tc={1AB8B375-7AEF-406A-84E3-A6379C5A4EA6}</author>
  </authors>
  <commentList>
    <comment ref="A28" authorId="0" shapeId="0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Costi iniziali = Progettazione + Proposta Creativa + Campione</t>
      </text>
    </comment>
  </commentList>
</comments>
</file>

<file path=xl/comments/comment3.xml><?xml version="1.0" encoding="utf-8"?>
<comments xmlns="http://schemas.openxmlformats.org/spreadsheetml/2006/main">
  <authors>
    <author>tc={AF2A31FA-598D-4EB3-92BB-93287EB849E1}</author>
    <author>tc={CB183DE0-FE9B-424E-9247-15E1EC3070A4}</author>
    <author>tc={CD391F10-7106-4678-8C18-039BC8B41005}</author>
    <author>Roberto Biondi</author>
  </authors>
  <commentList>
    <comment ref="C75" authorId="0" shapeId="0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93 km da Pomezia a Porto di Civitavecchia; considerati altri 10 km dal porto di Cagliari a destinazione</t>
      </text>
    </comment>
    <comment ref="J75" authorId="1" shapeId="0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190 km da Mezzago a Porto di Genova; considerati altri 10 km dal porto di Cagliari a destinazione</t>
      </text>
    </comment>
    <comment ref="Q75" authorId="2" shapeId="0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190 km da Montesilvano a Porto di Civitavecchia; considerati altri 10 km dal porto di Cagliari a destinazione</t>
      </text>
    </comment>
    <comment ref="E94" authorId="3" shapeId="0">
      <text>
        <t>Roberto Biondi:
5 assi - fonte: autostrade.it</t>
      </text>
    </comment>
    <comment ref="L94" authorId="3" shapeId="0">
      <text>
        <t>Roberto Biondi:
5 assi - fonte: autostrade.it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Relationship Type="http://schemas.openxmlformats.org/officeDocument/2006/relationships/image" Target="/xl/media/image2.png" Id="rId2"/></Relationships>
</file>

<file path=xl/drawings/_rels/drawing2.xml.rels><Relationships xmlns="http://schemas.openxmlformats.org/package/2006/relationships"><Relationship Type="http://schemas.openxmlformats.org/officeDocument/2006/relationships/image" Target="/xl/media/image3.png" Id="rId1"/><Relationship Type="http://schemas.openxmlformats.org/officeDocument/2006/relationships/image" Target="/xl/media/image4.png" Id="rId2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4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wsDr xmlns="http://schemas.openxmlformats.org/drawingml/2006/spreadsheetDrawing">
  <twoCellAnchor editAs="oneCell">
    <from>
      <col>1</col>
      <colOff>65691</colOff>
      <row>208</row>
      <rowOff>85397</rowOff>
    </from>
    <to>
      <col>1</col>
      <colOff>558362</colOff>
      <row>211</row>
      <rowOff>85395</rowOff>
    </to>
    <pic macro="[0]!RedBoxInput">
      <nvPicPr>
        <cNvPr id="3" name="Elemento grafico 2" descr="Badge Segno di spunta con riempimento a tinta unita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2220312" y="16796845"/>
          <a:ext cx="492671" cy="492671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 fPrintsWithSheet="0"/>
  </twoCellAnchor>
  <twoCellAnchor editAs="oneCell">
    <from>
      <col>8</col>
      <colOff>275897</colOff>
      <row>0</row>
      <rowOff>105103</rowOff>
    </from>
    <to>
      <col>8</col>
      <colOff>781707</colOff>
      <row>2</row>
      <rowOff>19706</rowOff>
    </to>
    <pic macro="[0]!SalvaConNomeDaN1">
      <nvPicPr>
        <cNvPr id="4" name="Elemento grafico 3" descr="Disco con riempimento a tinta unita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7291552" y="105103"/>
          <a:ext cx="505810" cy="50581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 fPrintsWithSheet="0"/>
  </twoCellAnchor>
</wsDr>
</file>

<file path=xl/drawings/drawing2.xml><?xml version="1.0" encoding="utf-8"?>
<wsDr xmlns="http://schemas.openxmlformats.org/drawingml/2006/spreadsheetDrawing">
  <oneCellAnchor>
    <from>
      <col>0</col>
      <colOff>142875</colOff>
      <row>0</row>
      <rowOff>104775</rowOff>
    </from>
    <ext cx="2162175" cy="600075"/>
    <pic>
      <nvPicPr>
        <cNvPr id="2" name="Immagine 1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r:embed="rId1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42875" y="104775"/>
          <a:ext cx="2162175" cy="60007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/>
  </oneCellAnchor>
  <oneCellAnchor>
    <from>
      <col>0</col>
      <colOff>85725</colOff>
      <row>4</row>
      <rowOff>9525</rowOff>
    </from>
    <ext cx="2609850" cy="447675"/>
    <pic>
      <nvPicPr>
        <cNvPr id="3" name="Immagine 2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r:embed="rId2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85725" y="771525"/>
          <a:ext cx="2609850" cy="44767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/>
  </oneCellAnchor>
</wsDr>
</file>

<file path=xl/tables/table1.xml><?xml version="1.0" encoding="utf-8"?>
<table xmlns="http://schemas.openxmlformats.org/spreadsheetml/2006/main" id="1" name="Tabella23" displayName="Tabella23" ref="ET1:EU14" headerRowCount="1" totalsRowShown="0" headerRowDxfId="188" dataDxfId="187">
  <autoFilter ref="ET1:EU14"/>
  <sortState ref="ET2:EU14">
    <sortCondition ref="ET2:ET14"/>
  </sortState>
  <tableColumns count="2">
    <tableColumn id="1" name="Iniziali prev." dataDxfId="186"/>
    <tableColumn id="2" name="Nome" dataDxfId="185"/>
  </tableColumns>
  <tableStyleInfo name="TableStyleDark6" showFirstColumn="0" showLastColumn="0" showRowStripes="1" showColumnStripes="0"/>
</table>
</file>

<file path=xl/tables/table2.xml><?xml version="1.0" encoding="utf-8"?>
<table xmlns="http://schemas.openxmlformats.org/spreadsheetml/2006/main" id="2" name="FORNITORE" displayName="FORNITORE" ref="B4:D11" headerRowCount="1" totalsRowShown="0" headerRowDxfId="178" dataDxfId="177">
  <autoFilter ref="B4:D11"/>
  <tableColumns count="3">
    <tableColumn id="1" name="QUANTITÀ" dataDxfId="176"/>
    <tableColumn id="2" name="€/CAD." dataDxfId="175"/>
    <tableColumn id="3" name="TRASPORTO" dataDxfId="174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id="3" name="PARTENZA2" displayName="PARTENZA2" ref="A8:J12" headerRowCount="1" totalsRowShown="0" headerRowDxfId="173" dataDxfId="172">
  <autoFilter ref="A8:J12"/>
  <tableColumns count="10">
    <tableColumn id="1" name="BANCALE" dataDxfId="171">
      <calculatedColumnFormula>+calcolo!A195</calculatedColumnFormula>
    </tableColumn>
    <tableColumn id="10" name="PARTENZA" dataDxfId="170">
      <calculatedColumnFormula>part2</calculatedColumnFormula>
    </tableColumn>
    <tableColumn id="2" name="DESTINAZIONI" dataDxfId="169">
      <calculatedColumnFormula>+calcolo!$A$201</calculatedColumnFormula>
    </tableColumn>
    <tableColumn id="4" name="DISTANZA KM" dataDxfId="168">
      <calculatedColumnFormula>+IF(PARTENZA2[[#This Row],[PARTENZA]]="POMEZIA", VLOOKUP(PARTENZA2[[#This Row],[DESTINAZIONI]],PARTENZE_DA_POMEZIA[#All],3, FALSE), +IF(PARTENZA2[[#This Row],[PARTENZA]]="MEZZAGO", VLOOKUP(PARTENZA2[[#This Row],[DESTINAZIONI]], PARTENZE_DA_MEZZAGO[#All], 3, FALSE), VLOOKUP(PARTENZA2[[#This Row],[DESTINAZIONI]], PARTENZE_DA_GRAFCOLOR[#All], 3, FALSE)))</calculatedColumnFormula>
    </tableColumn>
    <tableColumn id="5" name="TEMPOSTIMATO IN ORE" dataDxfId="167">
      <calculatedColumnFormula>+IF(PARTENZA2[[#This Row],[PARTENZA]]="POMEZIA", VLOOKUP(PARTENZA2[[#This Row],[DESTINAZIONI]],PARTENZE_DA_POMEZIA[#All],4, FALSE), +IF(PARTENZA2[[#This Row],[PARTENZA]]="MEZZAGO", VLOOKUP(PARTENZA2[[#This Row],[DESTINAZIONI]], PARTENZE_DA_MEZZAGO[#All], 4, FALSE), VLOOKUP(PARTENZA2[[#This Row],[DESTINAZIONI]], PARTENZE_DA_GRAFCOLOR[#All], 4, FALSE)))</calculatedColumnFormula>
    </tableColumn>
    <tableColumn id="6" name="PEDAGGI" dataDxfId="166">
      <calculatedColumnFormula>++IF(PARTENZA2[[#This Row],[PARTENZA]]="POMEZIA", VLOOKUP(PARTENZA2[[#This Row],[DESTINAZIONI]],PARTENZE_DA_POMEZIA[#All],5, FALSE), +IF(PARTENZA2[[#This Row],[PARTENZA]]="MEZZAGO", VLOOKUP(PARTENZA2[[#This Row],[DESTINAZIONI]], PARTENZE_DA_MEZZAGO[#All], 5, FALSE), VLOOKUP(PARTENZA2[[#This Row],[DESTINAZIONI]], PARTENZE_DA_GRAFCOLOR[#All], 5, FALSE)))</calculatedColumnFormula>
    </tableColumn>
    <tableColumn id="7" name="SUBTOT BILICO" dataDxfId="165">
      <calculatedColumnFormula>CEILING(IF(PARTENZA2[[#This Row],[PARTENZA]]="POMEZIA", VLOOKUP(PARTENZA2[[#This Row],[DESTINAZIONI]],PARTENZE_DA_POMEZIA[#All],7, FALSE), +IF(PARTENZA2[[#This Row],[PARTENZA]]="MEZZAGO", VLOOKUP(PARTENZA2[[#This Row],[DESTINAZIONI]], PARTENZE_DA_MEZZAGO[#All], 7, FALSE), VLOOKUP(PARTENZA2[[#This Row],[DESTINAZIONI]], PARTENZE_DA_GRAFCOLOR[#All], 7, FALSE))),25)</calculatedColumnFormula>
    </tableColumn>
    <tableColumn id="8" name="PREZZO PRIMO BANCALE" dataDxfId="164">
      <calculatedColumnFormula array="1">IF(AND(+B150&lt;VLOOKUP(A9,COSTO_PLT[#All],5,FALSE),PARTENZA2[[#This Row],[DISTANZA KM]]&gt;100),CEILING(MAXA(CEILING((G9/VLOOKUP(PARTENZA2[[#This Row],[BANCALE]],COSTO_PLT[#All],3,FALSE)), 25),60)*(1+(VLOOKUP(_xlfn.IFS(B9="POMEZIA",VLOOKUP(dest1,PARTENZE_DA_POMEZIA[[#All],[LUOGO]:[TARIFFA]],2,FALSE), B9="MEZZAGO", VLOOKUP(dest1,PARTENZE_DA_MEZZAGO[[LUOGO]:[TARIFFA]], 2,FALSE), B9="GRAFCOLOR", VLOOKUP(dest1,PARTENZE_DA_GRAFCOLOR[[LUOGO]:[TARIFFA]], 2,FALSE)), COSTI_GENERALI[],3,FALSE))),25),CEILING(MAXA(CEILING((G9/VLOOKUP(PARTENZA1[[#This Row],[BANCALE]],COSTO_PLT[#All],3,FALSE)), 25),60)*(1+(VLOOKUP(_xlfn.IFS(B9="POMEZIA",VLOOKUP(dest1,PARTENZE_DA_POMEZIA[[#All],[LUOGO]:[TARIFFA]],2,FALSE), B9="MEZZAGO", VLOOKUP(dest1,PARTENZE_DA_MEZZAGO[[LUOGO]:[TARIFFA]], 2,FALSE), B9="GRAFCOLOR", VLOOKUP(dest1,PARTENZE_DA_GRAFCOLOR[[LUOGO]:[TARIFFA]], 2,FALSE)), COSTI_GENERALI[],3,FALSE))),10))</calculatedColumnFormula>
    </tableColumn>
    <tableColumn id="9" name="PREZZO BANCALI SUCCESSIVI" dataDxfId="163">
      <calculatedColumnFormula>IF(AND(calcolo!B195&lt;VLOOKUP(A9,COSTO_PLT[#All],5,FALSE),PARTENZA2[[#This Row],[DISTANZA KM]]&gt;100),CEILING(_xlfn.CEILING.MATH((G9-H9)/(VLOOKUP(PARTENZA2[[#This Row],[BANCALE]],COSTO_PLT[#All],4,FALSE)-1),1),20),CEILING(_xlfn.CEILING.MATH((G9-H9)/(VLOOKUP(PARTENZA2[[#This Row],[BANCALE]],COSTO_PLT[#All],4,FALSE)-1),0.5),2.5))</calculatedColumnFormula>
    </tableColumn>
    <tableColumn id="3" name="COSTO BILICO" dataDxfId="162">
      <calculatedColumnFormula>+PARTENZA2[[#This Row],[PREZZO PRIMO BANCALE]]+(+PARTENZA2[[#This Row],[PREZZO BANCALI SUCCESSIVI]]*(VLOOKUP(PARTENZA2[[#This Row],[BANCALE]],COSTO_PLT[#All],4,FALSE)))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4" name="COSTI_GENERALI" displayName="COSTI_GENERALI" ref="X5:Z13" headerRowCount="1" totalsRowShown="0">
  <autoFilter ref="X5:Z13"/>
  <sortState ref="X6:Z13">
    <sortCondition ref="X6:X13"/>
  </sortState>
  <tableColumns count="3">
    <tableColumn id="1" name="DESCRIZIONE" dataDxfId="161"/>
    <tableColumn id="2" name="COSTO" dataDxfId="160"/>
    <tableColumn id="3" name="INCREMENTO 1° PLT" dataDxfId="15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COSTO_PLT" displayName="COSTO_PLT" ref="AB5:AF21" headerRowCount="1" totalsRowShown="0">
  <autoFilter ref="AB5:AF21"/>
  <tableColumns count="5">
    <tableColumn id="1" name="BANCALE" dataDxfId="158"/>
    <tableColumn id="2" name="COSTO" dataDxfId="157"/>
    <tableColumn id="3" name="INCIDENZA 1° PLT" dataDxfId="156"/>
    <tableColumn id="4" name="PLT PER BILICO" dataDxfId="155"/>
    <tableColumn id="5" name="COLLETTAME FINO A:" dataDxfId="154" dataCellStyle="Valuta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id="6" name="SCATOLE_MAGAZZINO" displayName="SCATOLE_MAGAZZINO" ref="AH5:AI9" headerRowCount="1" totalsRowShown="0">
  <autoFilter ref="AH5:AI9"/>
  <tableColumns count="2">
    <tableColumn id="1" name="SCATOLA MAGAZZINO" dataDxfId="153"/>
    <tableColumn id="2" name="COSTO" dataDxfId="152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id="7" name="PARTENZE_DA_POMEZIA" displayName="PARTENZE_DA_POMEZIA" ref="A24:G326" headerRowCount="1" headerRowDxfId="151" dataDxfId="150">
  <autoFilter ref="A24:G326"/>
  <sortState ref="A25:G325">
    <sortCondition ref="A25:A325"/>
  </sortState>
  <tableColumns count="7">
    <tableColumn id="1" name="LUOGO" totalsRowLabel="Total" dataDxfId="149" totalsRowDxfId="148"/>
    <tableColumn id="9" name="TARIFFA" dataDxfId="147" totalsRowDxfId="146"/>
    <tableColumn id="3" name="DISTANZA" dataDxfId="145" totalsRowDxfId="144"/>
    <tableColumn id="4" name="TEMPO" dataDxfId="143" totalsRowDxfId="142"/>
    <tableColumn id="5" name="PEDAGGI" dataDxfId="141" totalsRowDxfId="140"/>
    <tableColumn id="6" name="ALTRI COSTI" dataDxfId="139" totalsRowDxfId="138"/>
    <tableColumn id="7" name="PREZZO BILICO" totalsRowFunction="sum" dataDxfId="137" totalsRowDxfId="136">
      <calculatedColumnFormula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calculatedColumnFormula>
    </tableColumn>
  </tableColumns>
  <tableStyleInfo name="TableStyleDark10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L2:L6" headerRowCount="1" totalsRowShown="0" headerRowDxfId="135" dataDxfId="134">
  <autoFilter ref="L2:L6"/>
  <tableColumns count="1">
    <tableColumn id="1" name="LUOGHI DI PARTENZA" dataDxfId="133"/>
  </tableColumns>
  <tableStyleInfo name="TableStyleDark7" showFirstColumn="0" showLastColumn="0" showRowStripes="1" showColumnStripes="0"/>
</table>
</file>

<file path=xl/tables/table9.xml><?xml version="1.0" encoding="utf-8"?>
<table xmlns="http://schemas.openxmlformats.org/spreadsheetml/2006/main" id="9" name="PARTENZE_DA_MEZZAGO" displayName="PARTENZE_DA_MEZZAGO" ref="H24:N326" headerRowCount="1" totalsRowShown="0" headerRowDxfId="132" dataDxfId="131">
  <autoFilter ref="H24:N326"/>
  <sortState ref="H25:N325">
    <sortCondition ref="H25:H325"/>
  </sortState>
  <tableColumns count="7">
    <tableColumn id="7" name="LUOGO" dataDxfId="130"/>
    <tableColumn id="1" name="TARIFFA" dataDxfId="129"/>
    <tableColumn id="2" name="DISTANZA" dataDxfId="128"/>
    <tableColumn id="3" name="TEMPO" dataDxfId="127"/>
    <tableColumn id="4" name="PEDAGGI" dataDxfId="126"/>
    <tableColumn id="5" name="ALTRI COSTI" dataDxfId="125"/>
    <tableColumn id="6" name="PREZZO BILICO" dataDxfId="124">
      <calculatedColumnFormula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calculatedColumnFormula>
    </tableColumn>
  </tableColumns>
  <tableStyleInfo name="TableStyleDark11" showFirstColumn="0" showLastColumn="0" showRowStripes="1" showColumnStripes="0"/>
</table>
</file>

<file path=xl/tables/table10.xml><?xml version="1.0" encoding="utf-8"?>
<table xmlns="http://schemas.openxmlformats.org/spreadsheetml/2006/main" id="10" name="PARTENZA3" displayName="PARTENZA3" ref="A14:J18" headerRowCount="1" totalsRowShown="0" headerRowDxfId="123" dataDxfId="122">
  <autoFilter ref="A14:J18"/>
  <tableColumns count="10">
    <tableColumn id="1" name="BANCALE" dataDxfId="121">
      <calculatedColumnFormula>+calcolo!A195</calculatedColumnFormula>
    </tableColumn>
    <tableColumn id="10" name="PARTENZA" dataDxfId="120">
      <calculatedColumnFormula>part3</calculatedColumnFormula>
    </tableColumn>
    <tableColumn id="2" name="DESTINAZIONI" dataDxfId="119">
      <calculatedColumnFormula>+calcolo!$A$202</calculatedColumnFormula>
    </tableColumn>
    <tableColumn id="4" name="DISTANZA KM" dataDxfId="118">
      <calculatedColumnFormula>+IF(PARTENZA3[[#This Row],[PARTENZA]]="POMEZIA", VLOOKUP(PARTENZA3[[#This Row],[DESTINAZIONI]],PARTENZE_DA_POMEZIA[#All],3, FALSE), +IF(PARTENZA3[[#This Row],[PARTENZA]]="MEZZAGO", VLOOKUP(PARTENZA3[[#This Row],[DESTINAZIONI]], PARTENZE_DA_MEZZAGO[#All], 3, FALSE), VLOOKUP(PARTENZA3[[#This Row],[DESTINAZIONI]], PARTENZE_DA_GRAFCOLOR[#All], 3, FALSE)))</calculatedColumnFormula>
    </tableColumn>
    <tableColumn id="5" name="TEMPOSTIMATO IN ORE" dataDxfId="117">
      <calculatedColumnFormula>+IF(PARTENZA3[[#This Row],[PARTENZA]]="POMEZIA", VLOOKUP(PARTENZA3[[#This Row],[DESTINAZIONI]],PARTENZE_DA_POMEZIA[#All],4, FALSE), +IF(PARTENZA3[[#This Row],[PARTENZA]]="MEZZAGO", VLOOKUP(PARTENZA3[[#This Row],[DESTINAZIONI]], PARTENZE_DA_MEZZAGO[#All], 4, FALSE), VLOOKUP(PARTENZA3[[#This Row],[DESTINAZIONI]], PARTENZE_DA_GRAFCOLOR[#All], 4, FALSE)))</calculatedColumnFormula>
    </tableColumn>
    <tableColumn id="6" name="PEDAGGI" dataDxfId="116">
      <calculatedColumnFormula>++IF(PARTENZA3[[#This Row],[PARTENZA]]="POMEZIA", VLOOKUP(PARTENZA3[[#This Row],[DESTINAZIONI]],PARTENZE_DA_POMEZIA[#All],5, FALSE), +IF(PARTENZA3[[#This Row],[PARTENZA]]="MEZZAGO", VLOOKUP(PARTENZA3[[#This Row],[DESTINAZIONI]], PARTENZE_DA_MEZZAGO[#All], 5, FALSE), VLOOKUP(PARTENZA3[[#This Row],[DESTINAZIONI]], PARTENZE_DA_GRAFCOLOR[#All], 5, FALSE)))</calculatedColumnFormula>
    </tableColumn>
    <tableColumn id="7" name="SUBTOT BILICO" dataDxfId="115">
      <calculatedColumnFormula>CEILING(IF(PARTENZA3[[#This Row],[PARTENZA]]="POMEZIA", VLOOKUP(PARTENZA3[[#This Row],[DESTINAZIONI]],PARTENZE_DA_POMEZIA[#All],7, FALSE), +IF(PARTENZA3[[#This Row],[PARTENZA]]="MEZZAGO", VLOOKUP(PARTENZA3[[#This Row],[DESTINAZIONI]], PARTENZE_DA_MEZZAGO[#All], 7, FALSE), VLOOKUP(PARTENZA3[[#This Row],[DESTINAZIONI]], PARTENZE_DA_GRAFCOLOR[#All], 7, FALSE))),25)</calculatedColumnFormula>
    </tableColumn>
    <tableColumn id="8" name="PREZZO PRIMO BANCALE" dataDxfId="114" dataCellStyle="Valuta">
      <calculatedColumnFormula array="1">IF(AND(+B156&lt;VLOOKUP(A15,COSTO_PLT[#All],5,FALSE),PARTENZA2[[#This Row],[DISTANZA KM]]&gt;100),CEILING(MAXA(CEILING((G15/VLOOKUP(PARTENZA2[[#This Row],[BANCALE]],COSTO_PLT[#All],3,FALSE)), 25),60)*(1+(VLOOKUP(_xlfn.IFS(B15="POMEZIA",VLOOKUP(dest1,PARTENZE_DA_POMEZIA[[#All],[LUOGO]:[TARIFFA]],2,FALSE), B15="MEZZAGO", VLOOKUP(dest1,PARTENZE_DA_MEZZAGO[[LUOGO]:[TARIFFA]], 2,FALSE), B15="GRAFCOLOR", VLOOKUP(dest1,PARTENZE_DA_GRAFCOLOR[[LUOGO]:[TARIFFA]], 2,FALSE)), COSTI_GENERALI[],3,FALSE))),25),CEILING(MAXA(CEILING((G15/VLOOKUP(PARTENZA2[[#This Row],[BANCALE]],COSTO_PLT[#All],3,FALSE)), 25),60)*(1+(VLOOKUP(_xlfn.IFS(B15="POMEZIA",VLOOKUP(dest1,PARTENZE_DA_POMEZIA[[#All],[LUOGO]:[TARIFFA]],2,FALSE), B15="MEZZAGO", VLOOKUP(dest1,PARTENZE_DA_MEZZAGO[[LUOGO]:[TARIFFA]], 2,FALSE), B15="GRAFCOLOR", VLOOKUP(dest1,PARTENZE_DA_GRAFCOLOR[[LUOGO]:[TARIFFA]], 2,FALSE)), COSTI_GENERALI[],3,FALSE))),10))</calculatedColumnFormula>
    </tableColumn>
    <tableColumn id="9" name="PREZZO BANCALI SUCCESSIVI" dataDxfId="113">
      <calculatedColumnFormula>IF(AND(calcolo!B201&lt;VLOOKUP(A15,COSTO_PLT[#All],5,FALSE),PARTENZA2[[#This Row],[DISTANZA KM]]&gt;100),CEILING(_xlfn.CEILING.MATH((G15-H15)/(VLOOKUP(PARTENZA2[[#This Row],[BANCALE]],COSTO_PLT[#All],4,FALSE)-1),2.1),15),CEILING(_xlfn.CEILING.MATH((G15-H15)/(VLOOKUP(PARTENZA2[[#This Row],[BANCALE]],COSTO_PLT[#All],4,FALSE)-1),2.1),7.5))</calculatedColumnFormula>
    </tableColumn>
    <tableColumn id="3" name="COSTO BILICO" dataDxfId="112">
      <calculatedColumnFormula>+PARTENZA3[[#This Row],[PREZZO PRIMO BANCALE]]+(+PARTENZA3[[#This Row],[PREZZO BANCALI SUCCESSIVI]]*(VLOOKUP(PARTENZA3[[#This Row],[BANCALE]],COSTO_PLT[#All],4,FALSE)))</calculatedColumnFormula>
    </tableColumn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id="11" name="PARTENZA1" displayName="PARTENZA1" ref="A2:J6" headerRowCount="1" totalsRowShown="0" headerRowDxfId="111" dataDxfId="110">
  <autoFilter ref="A2:J6"/>
  <tableColumns count="10">
    <tableColumn id="1" name="BANCALE" dataDxfId="109">
      <calculatedColumnFormula>+calcolo!A195</calculatedColumnFormula>
    </tableColumn>
    <tableColumn id="10" name="PARTENZA" dataDxfId="108">
      <calculatedColumnFormula>part1</calculatedColumnFormula>
    </tableColumn>
    <tableColumn id="2" name="DESTINAZIONI" dataDxfId="107">
      <calculatedColumnFormula>+calcolo!$A$200</calculatedColumnFormula>
    </tableColumn>
    <tableColumn id="4" name="DISTANZA KM" dataDxfId="106">
      <calculatedColumnFormula>IF(PARTENZA1[[#This Row],[PARTENZA]]="POMEZIA", VLOOKUP(PARTENZA1[[#This Row],[DESTINAZIONI]],PARTENZE_DA_POMEZIA[#All],3, FALSE), +IF(PARTENZA1[[#This Row],[PARTENZA]]="MEZZAGO", VLOOKUP(PARTENZA1[[#This Row],[DESTINAZIONI]], PARTENZE_DA_MEZZAGO[#All], 3, FALSE), VLOOKUP(PARTENZA1[[#This Row],[DESTINAZIONI]], PARTENZE_DA_GRAFCOLOR[#All], 3, FALSE)))</calculatedColumnFormula>
    </tableColumn>
    <tableColumn id="5" name="TEMPOSTIMATO IN ORE" dataDxfId="105">
      <calculatedColumnFormula>++IF(PARTENZA1[[#This Row],[PARTENZA]]="POMEZIA", VLOOKUP(PARTENZA1[[#This Row],[DESTINAZIONI]],PARTENZE_DA_POMEZIA[#All],4, FALSE), +IF(PARTENZA1[[#This Row],[PARTENZA]]="MEZZAGO", VLOOKUP(PARTENZA1[[#This Row],[DESTINAZIONI]], PARTENZE_DA_MEZZAGO[#All], 4, FALSE), VLOOKUP(PARTENZA1[[#This Row],[DESTINAZIONI]], PARTENZE_DA_GRAFCOLOR[#All], 4, FALSE)))</calculatedColumnFormula>
    </tableColumn>
    <tableColumn id="6" name="PEDAGGI" dataDxfId="104">
      <calculatedColumnFormula>CEILING(IF(PARTENZA1[[#This Row],[PARTENZA]]="POMEZIA", VLOOKUP(PARTENZA1[[#This Row],[DESTINAZIONI]],PARTENZE_DA_POMEZIA[#All],5, FALSE), +IF(PARTENZA1[[#This Row],[PARTENZA]]="MEZZAGO", VLOOKUP(PARTENZA1[[#This Row],[DESTINAZIONI]], PARTENZE_DA_MEZZAGO[#All], 5, FALSE), VLOOKUP(PARTENZA1[[#This Row],[DESTINAZIONI]], PARTENZE_DA_GRAFCOLOR[#All], 5, FALSE))),10)</calculatedColumnFormula>
    </tableColumn>
    <tableColumn id="7" name="SUBTOT BILICO" dataDxfId="103">
      <calculatedColumnFormula>CEILING(IF(PARTENZA1[[#This Row],[PARTENZA]]="POMEZIA", VLOOKUP(PARTENZA1[[#This Row],[DESTINAZIONI]],PARTENZE_DA_POMEZIA[#All],7, FALSE), +IF(PARTENZA1[[#This Row],[PARTENZA]]="MEZZAGO", VLOOKUP(PARTENZA1[[#This Row],[DESTINAZIONI]], PARTENZE_DA_MEZZAGO[#All], 7, FALSE), VLOOKUP(PARTENZA1[[#This Row],[DESTINAZIONI]], PARTENZE_DA_GRAFCOLOR[#All], 7, FALSE))),25)</calculatedColumnFormula>
    </tableColumn>
    <tableColumn id="8" name="PREZZO PRIMO BANCALE" dataDxfId="102" dataCellStyle="Valuta">
      <calculatedColumnFormula array="1">IF(AND(+B150&lt;VLOOKUP(A3,COSTO_PLT[#All],5,FALSE),PARTENZA1[[#This Row],[DISTANZA KM]]&gt;100),CEILING(MAXA(CEILING((G3/VLOOKUP(PARTENZA1[[#This Row],[BANCALE]],COSTO_PLT[#All],3,FALSE)), 25),75)*(1+(VLOOKUP(_xlfn.IFS(B3="POMEZIA",VLOOKUP(dest1,PARTENZE_DA_POMEZIA[[#All],[LUOGO]:[TARIFFA]],2,FALSE), B3="MEZZAGO", VLOOKUP(dest1,PARTENZE_DA_MEZZAGO[[LUOGO]:[TARIFFA]], 2,FALSE), B3="GRAFCOLOR", VLOOKUP(dest1,PARTENZE_DA_GRAFCOLOR[[LUOGO]:[TARIFFA]], 2,FALSE)), COSTI_GENERALI[],3,FALSE))),25),CEILING(MAXA(CEILING((G3/VLOOKUP(PARTENZA1[[#This Row],[BANCALE]],COSTO_PLT[#All],3,FALSE)), 25),60)*(1+(VLOOKUP(_xlfn.IFS(B3="POMEZIA",VLOOKUP(dest1,PARTENZE_DA_POMEZIA[[#All],[LUOGO]:[TARIFFA]],2,FALSE), B3="MEZZAGO", VLOOKUP(dest1,PARTENZE_DA_MEZZAGO[[LUOGO]:[TARIFFA]], 2,FALSE), B3="GRAFCOLOR", VLOOKUP(dest1,PARTENZE_DA_GRAFCOLOR[[LUOGO]:[TARIFFA]], 2,FALSE)), COSTI_GENERALI[],3,FALSE))),5))</calculatedColumnFormula>
    </tableColumn>
    <tableColumn id="9" name="PREZZO BANCALI SUCCESSIVI" dataDxfId="101">
      <calculatedColumnFormula>IF(AND(calcolo!B195&lt;VLOOKUP(A3,COSTO_PLT[#All],5,FALSE),PARTENZA1[[#This Row],[DISTANZA KM]]&gt;100),CEILING(_xlfn.CEILING.MATH((G3-H3)/(VLOOKUP(PARTENZA1[[#This Row],[BANCALE]],COSTO_PLT[#All],4,FALSE)-1),1),20),CEILING(_xlfn.CEILING.MATH((G3-H3)/(VLOOKUP(PARTENZA1[[#This Row],[BANCALE]],COSTO_PLT[#All],4,FALSE)-1),0.5),2.5))</calculatedColumnFormula>
    </tableColumn>
    <tableColumn id="3" name="COSTO BILICO" dataDxfId="100">
      <calculatedColumnFormula>+PARTENZA1[[#This Row],[PREZZO PRIMO BANCALE]]+(+PARTENZA1[[#This Row],[PREZZO BANCALI SUCCESSIVI]]*(VLOOKUP(PARTENZA1[[#This Row],[BANCALE]],COSTO_PLT[#All],4,FALSE)))</calculatedColumnFormula>
    </tableColumn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id="12" name="PARTENZE_DA_GRAFCOLOR" displayName="PARTENZE_DA_GRAFCOLOR" ref="O24:U326" headerRowCount="1" totalsRowShown="0" headerRowDxfId="99" dataDxfId="98">
  <autoFilter ref="O24:U326">
    <filterColumn colId="0" hiddenButton="0" showButton="1">
      <filters>
        <filter val="BARCELLONA (E)"/>
        <filter val="EXEL DC MATARO FHC - ENT (E)"/>
        <filter val="MADRID (E)"/>
        <filter val="MANIPULADOS POLO-CAMPO-PGIO (E)"/>
        <filter val="P&amp;G MATARO-JIJONA DC (E)"/>
        <filter val="SANT FELIU LLOBREGAT (E)"/>
      </filters>
    </filterColumn>
    <filterColumn colId="2" hiddenButton="0" showButton="1">
      <filters blank="1"/>
    </filterColumn>
  </autoFilter>
  <sortState ref="O25:U325">
    <sortCondition ref="O25:O325"/>
  </sortState>
  <tableColumns count="7">
    <tableColumn id="7" name="LUOGO" dataDxfId="97"/>
    <tableColumn id="1" name="TARIFFA" dataDxfId="96"/>
    <tableColumn id="2" name="DISTANZA" dataDxfId="95"/>
    <tableColumn id="3" name="TEMPO" dataDxfId="94"/>
    <tableColumn id="4" name="PEDAGGI" dataDxfId="93"/>
    <tableColumn id="5" name="ALTRI COSTI" dataDxfId="92"/>
    <tableColumn id="6" name="PREZZO BILICO" dataDxfId="91">
      <calculatedColumnFormula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calculatedColumnFormula>
    </tableColumn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3" name="VIDOPLAST" displayName="VIDOPLAST" ref="P27:S41" headerRowCount="1" totalsRowShown="0" headerRowDxfId="90" dataDxfId="89" headerRowCellStyle="Normale 2">
  <autoFilter ref="P27:S41"/>
  <tableColumns count="4">
    <tableColumn id="1" name="LISTINO VIDOPLAST" dataDxfId="88" dataCellStyle="Normale 2"/>
    <tableColumn id="2" name="€/MQ" dataDxfId="87"/>
    <tableColumn id="3" name="MINIMALE" dataDxfId="86"/>
    <tableColumn id="4" name="TELAIO" dataDxfId="8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able14" displayName="Table14" ref="I41:M102" headerRowCount="1" totalsRowShown="0" headerRowDxfId="84" headerRowBorderDxfId="83" tableBorderDxfId="82" headerRowCellStyle="Normale 2">
  <autoFilter ref="I41:M102"/>
  <tableColumns count="5">
    <tableColumn id="1" name="FORMATO E col." dataDxfId="81" totalsRowDxfId="80" dataCellStyle="Normale 2"/>
    <tableColumn id="2" name="MINIMALI FG" dataDxfId="79" totalsRowDxfId="78" dataCellStyle="Normale 2"/>
    <tableColumn id="3" name="AVVIAMENTO" dataDxfId="77" totalsRowDxfId="76"/>
    <tableColumn id="4" name="€/PASSAGGIO" dataDxfId="75" totalsRowDxfId="74"/>
    <tableColumn id="5" name="FOGLI AVVIAMENTO" totalsRowDxfId="73" dataCellStyle="Normale 2"/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id="15" name="Tabella118" displayName="Tabella118" ref="A1:F1027" headerRowCount="1" totalsRowShown="0" headerRowDxfId="72" dataDxfId="71">
  <autoFilter ref="A1:F1027"/>
  <sortState ref="A2:F1027">
    <sortCondition ref="A2:A1027"/>
    <sortCondition descending="1" ref="C2:C1027"/>
    <sortCondition ref="D2:D1027"/>
  </sortState>
  <tableColumns count="6">
    <tableColumn id="1" name="Composizione" dataDxfId="70"/>
    <tableColumn id="6" name="composizione concatenata" dataDxfId="69">
      <calculatedColumnFormula>+_xlfn.CONCAT(Tabella118[[#This Row],[Composizione]], " - ", Tabella118[[#This Row],[Fornitore]])</calculatedColumnFormula>
    </tableColumn>
    <tableColumn id="2" name="Euro/Mq" dataDxfId="68" dataCellStyle="Valuta"/>
    <tableColumn id="3" name="Fornitore" dataDxfId="67"/>
    <tableColumn id="4" name="Composizione alternativa per digitale" dataDxfId="66">
      <calculatedColumnFormula>IFERROR(IF(H2="BC",Tabella118[[#This Row],[composizione concatenata]],IF(H2="C",Tabella118[[#This Row],[composizione concatenata]],VLOOKUP(I2,$K$2:$O$7,5,FALSE))),+Tabella118[[#This Row],[composizione concatenata]])</calculatedColumnFormula>
    </tableColumn>
    <tableColumn id="5" name="€/mq" dataDxfId="65">
      <calculatedColumnFormula>+_xlfn.IFNA(VLOOKUP(Tabella118[[#This Row],[Composizione alternativa per digitale]],Tabella118[[composizione concatenata]:[Euro/Mq]],2,FALSE),VLOOKUP(H2,digitale[[ONDA]:[Fornitore]],3,FALSE))</calculatedColumnFormula>
    </tableColumn>
  </tableColumns>
  <tableStyleInfo name="TableStyleMedium6" showFirstColumn="0" showLastColumn="0" showRowStripes="1" showColumnStripes="0"/>
</table>
</file>

<file path=xl/tables/table16.xml><?xml version="1.0" encoding="utf-8"?>
<table xmlns="http://schemas.openxmlformats.org/spreadsheetml/2006/main" id="16" name="digitale" displayName="digitale" ref="K1:O7" headerRowCount="1" totalsRowShown="0" headerRowDxfId="64" dataDxfId="62" headerRowBorderDxfId="63" tableBorderDxfId="61" totalsRowBorderDxfId="60">
  <autoFilter ref="K1:O7"/>
  <tableColumns count="5">
    <tableColumn id="6" name="ONDA" dataDxfId="59" dataCellStyle="Normal 3">
      <calculatedColumnFormula>+TRIM(MID(L2, FIND("/", L2, FIND("/", L2) + 1) + 1, 2))</calculatedColumnFormula>
    </tableColumn>
    <tableColumn id="1" name="Composizione" dataDxfId="58" dataCellStyle="Normal 3"/>
    <tableColumn id="2" name="Euro/Mq" dataDxfId="57"/>
    <tableColumn id="3" name="Fornitore" dataDxfId="56"/>
    <tableColumn id="4" name="composizione concatenata" dataDxfId="55"/>
  </tableColumns>
  <tableStyleInfo name="TableStyleMedium17" showFirstColumn="0" showLastColumn="0" showRowStripes="1" showColumnStripes="0"/>
</table>
</file>

<file path=xl/tables/table17.xml><?xml version="1.0" encoding="utf-8"?>
<table xmlns="http://schemas.openxmlformats.org/spreadsheetml/2006/main" id="17" name="Table21" displayName="Table21" ref="Q2:Z22" headerRowCount="1" totalsRowShown="0" headerRowDxfId="54">
  <autoFilter ref="Q2:Z22"/>
  <tableColumns count="10">
    <tableColumn id="1" name="f.to 1" dataDxfId="53"/>
    <tableColumn id="2" name="f.to 2" dataDxfId="52"/>
    <tableColumn id="3" name="mq" dataDxfId="51">
      <calculatedColumnFormula>+(Q3/1000)*(R3/1000)</calculatedColumnFormula>
    </tableColumn>
    <tableColumn id="4" name="€/mq" dataDxfId="50">
      <calculatedColumnFormula>+#REF!</calculatedColumnFormula>
    </tableColumn>
    <tableColumn id="5" name="pz/plt" dataDxfId="49"/>
    <tableColumn id="6" name="mq/bancale " dataDxfId="48">
      <calculatedColumnFormula>+U3*S3</calculatedColumnFormula>
    </tableColumn>
    <tableColumn id="7" name="€/bancale" dataDxfId="47">
      <calculatedColumnFormula>+V3*T3</calculatedColumnFormula>
    </tableColumn>
    <tableColumn id="8" name="€/trasp/bancale" dataDxfId="46"/>
    <tableColumn id="9" name="€/tot bancale comprensivo di trasporto" dataDxfId="45">
      <calculatedColumnFormula>+W3+X3</calculatedColumnFormula>
    </tableColumn>
    <tableColumn id="10" name="€/mq comprensivo di trasporto" dataDxfId="44">
      <calculatedColumnFormula>+_xlfn.CEILING.MATH(Y3/V3,0.001)</calculatedColumnFormula>
    </tableColumn>
  </tableColumns>
  <tableStyleInfo name="TableStyleMedium18" showFirstColumn="0" showLastColumn="0" showRowStripes="1" showColumnStripes="0"/>
</table>
</file>

<file path=xl/tables/table18.xml><?xml version="1.0" encoding="utf-8"?>
<table xmlns="http://schemas.openxmlformats.org/spreadsheetml/2006/main" id="18" name="CARTONCINI" displayName="CARTONCINI" ref="A1:E31" headerRowCount="1" totalsRowShown="0" headerRowDxfId="43" dataDxfId="41" headerRowBorderDxfId="42" tableBorderDxfId="40" totalsRowBorderDxfId="39">
  <autoFilter ref="A1:E31"/>
  <tableColumns count="5">
    <tableColumn id="1" name="TIPOLOGIA" dataDxfId="38"/>
    <tableColumn id="2" name="&gt;5000" dataDxfId="37"/>
    <tableColumn id="3" name="&gt;2501&lt;4999" dataDxfId="36"/>
    <tableColumn id="4" name="&gt;500&lt;2500" dataDxfId="35"/>
    <tableColumn id="5" name="MIN. KG PER TAGLIO A F.TO" dataDxfId="34"/>
  </tableColumns>
  <tableStyleInfo name="TableStyleMedium16" showFirstColumn="0" showLastColumn="0" showRowStripes="1" showColumnStripes="0"/>
</table>
</file>

<file path=xl/tables/table19.xml><?xml version="1.0" encoding="utf-8"?>
<table xmlns="http://schemas.openxmlformats.org/spreadsheetml/2006/main" id="19" name="FUSTELLATURA" displayName="FUSTELLATURA" ref="K1:P7" headerRowCount="1" totalsRowShown="0" headerRowDxfId="33">
  <autoFilter ref="K1:P7"/>
  <tableColumns count="6">
    <tableColumn id="1" name="LAVORAZIONI" dataDxfId="32"/>
    <tableColumn id="4" name="AVVIAMENTI" dataDxfId="31" dataCellStyle="Valuta"/>
    <tableColumn id="2" name="7999" dataDxfId="30" dataCellStyle="Valuta"/>
    <tableColumn id="3" name="7998" dataDxfId="29" dataCellStyle="Valuta"/>
    <tableColumn id="5" name="MAGGIORE" dataDxfId="28"/>
    <tableColumn id="6" name="MINORE" dataDxfId="27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0" name="Cartoncino_Magazzino" displayName="Cartoncino_Magazzino" ref="E51:G62" headerRowCount="1" totalsRowShown="0" headerRowDxfId="26">
  <autoFilter ref="E51:G62"/>
  <sortState ref="E52:F62">
    <sortCondition ref="E52:E62"/>
    <sortCondition ref="F52:F62"/>
  </sortState>
  <tableColumns count="3">
    <tableColumn id="1" name="CF"/>
    <tableColumn id="2" name="SF"/>
    <tableColumn id="3" name="AREA" dataDxfId="25">
      <calculatedColumnFormula>+Cartoncino_Magazzino[[#This Row],[CF]]*Cartoncino_Magazzino[[#This Row],[SF]]</calculatedColumnFormula>
    </tableColumn>
  </tableColumns>
  <tableStyleInfo name="TableStyleDark7" showFirstColumn="0" showLastColumn="0" showRowStripes="1" showColumnStripes="0"/>
</table>
</file>

<file path=xl/tables/table21.xml><?xml version="1.0" encoding="utf-8"?>
<table xmlns="http://schemas.openxmlformats.org/spreadsheetml/2006/main" id="21" name="Ondulati_Magazzino" displayName="Ondulati_Magazzino" ref="A51:C87" headerRowCount="1" totalsRowShown="0">
  <autoFilter ref="A51:C87"/>
  <sortState ref="A52:C87">
    <sortCondition ref="A52:A87"/>
    <sortCondition ref="B52:B87"/>
  </sortState>
  <tableColumns count="3">
    <tableColumn id="1" name="HC"/>
    <tableColumn id="2" name="CC"/>
    <tableColumn id="3" name="AREA" dataDxfId="24">
      <calculatedColumnFormula>+Ondulati_Magazzino[[#This Row],[HC]]*Ondulati_Magazzino[[#This Row],[CC]]</calculatedColumnFormula>
    </tableColumn>
  </tableColumns>
  <tableStyleInfo name="TableStyleDark2" showFirstColumn="0" showLastColumn="0" showRowStripes="1" showColumnStripes="0"/>
</table>
</file>

<file path=xl/tables/table22.xml><?xml version="1.0" encoding="utf-8"?>
<table xmlns="http://schemas.openxmlformats.org/spreadsheetml/2006/main" id="22" name="SITOUR" displayName="SITOUR" ref="A2:D1088" headerRowCount="1" totalsRowShown="0" headerRowDxfId="23" dataDxfId="22">
  <autoFilter ref="A2:D1088"/>
  <tableColumns count="4">
    <tableColumn id="1" name="CODICE" dataDxfId="21"/>
    <tableColumn id="2" name="DESCRIZIONE" dataDxfId="20"/>
    <tableColumn id="3" name="Q.TÀ PER IMBALLO" dataDxfId="19"/>
    <tableColumn id="4" name="€/CAD." dataDxfId="18"/>
  </tableColumns>
  <tableStyleInfo name="TableStyleMedium4" showFirstColumn="0" showLastColumn="0" showRowStripes="1" showColumnStripes="0"/>
</table>
</file>

<file path=xl/tables/table23.xml><?xml version="1.0" encoding="utf-8"?>
<table xmlns="http://schemas.openxmlformats.org/spreadsheetml/2006/main" id="23" name="DESIGNERCLUB" displayName="DESIGNERCLUB" ref="F2:I2617" headerRowCount="1" totalsRowShown="0" headerRowDxfId="17">
  <autoFilter ref="F2:I2617"/>
  <tableColumns count="4">
    <tableColumn id="1" name="CODICE" dataDxfId="16"/>
    <tableColumn id="2" name="DESCRIZIONE" dataDxfId="15"/>
    <tableColumn id="3" name="Q.TÀ PER IMBALLO" dataDxfId="14"/>
    <tableColumn id="4" name="€/CAD." dataDxfId="13"/>
  </tableColumns>
  <tableStyleInfo name="TableStyleMedium5" showFirstColumn="0" showLastColumn="0" showRowStripes="1" showColumnStripes="0"/>
</table>
</file>

<file path=xl/tables/table24.xml><?xml version="1.0" encoding="utf-8"?>
<table xmlns="http://schemas.openxmlformats.org/spreadsheetml/2006/main" id="24" name="DSGROUP" displayName="DSGROUP" ref="K2:M58" headerRowCount="1" totalsRowShown="0" headerRowDxfId="12" headerRowBorderDxfId="11" tableBorderDxfId="10">
  <autoFilter ref="K2:M58"/>
  <tableColumns count="3">
    <tableColumn id="1" name="CODICE" dataDxfId="9"/>
    <tableColumn id="2" name="QTA" dataDxfId="8"/>
    <tableColumn id="3" name="€/CAD." dataDxfId="7"/>
  </tableColumns>
  <tableStyleInfo name="TableStyleDark9" showFirstColumn="0" showLastColumn="0" showRowStripes="1" showColumnStripes="0"/>
</table>
</file>

<file path=xl/tables/table25.xml><?xml version="1.0" encoding="utf-8"?>
<table xmlns="http://schemas.openxmlformats.org/spreadsheetml/2006/main" id="25" name="EASTSUN" displayName="EASTSUN" ref="O2:Q3" headerRowCount="1" totalsRowShown="0" headerRowDxfId="6" dataDxfId="4" headerRowBorderDxfId="5" tableBorderDxfId="3">
  <autoFilter ref="O2:Q3"/>
  <tableColumns count="3">
    <tableColumn id="1" name="CODICE" dataDxfId="2"/>
    <tableColumn id="2" name="QTA" dataDxfId="1"/>
    <tableColumn id="3" name="€/CAD." dataDxfId="0" dataCellStyle="Valuta"/>
  </tableColumns>
  <tableStyleInfo name="TableStyleDark6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6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_rels/sheet7.xml.rels><Relationships xmlns="http://schemas.openxmlformats.org/package/2006/relationships"><Relationship Type="http://schemas.openxmlformats.org/officeDocument/2006/relationships/hyperlink" Target="https://app.asana.com/1/1205363895904119/project/1207654628292935/task/1214613792712721?focus=true" TargetMode="External" Id="rId1"/></Relationships>
</file>

<file path=xl/worksheets/_rels/sheet8.xml.rels><Relationships xmlns="http://schemas.openxmlformats.org/package/2006/relationships"><Relationship Type="http://schemas.openxmlformats.org/officeDocument/2006/relationships/table" Target="/xl/tables/table3.xml" Id="rId1"/><Relationship Type="http://schemas.openxmlformats.org/officeDocument/2006/relationships/table" Target="/xl/tables/table4.xml" Id="rId2"/><Relationship Type="http://schemas.openxmlformats.org/officeDocument/2006/relationships/table" Target="/xl/tables/table5.xml" Id="rId3"/><Relationship Type="http://schemas.openxmlformats.org/officeDocument/2006/relationships/table" Target="/xl/tables/table6.xml" Id="rId4"/><Relationship Type="http://schemas.openxmlformats.org/officeDocument/2006/relationships/table" Target="/xl/tables/table7.xml" Id="rId5"/><Relationship Type="http://schemas.openxmlformats.org/officeDocument/2006/relationships/table" Target="/xl/tables/table8.xml" Id="rId6"/><Relationship Type="http://schemas.openxmlformats.org/officeDocument/2006/relationships/table" Target="/xl/tables/table9.xml" Id="rId7"/><Relationship Type="http://schemas.openxmlformats.org/officeDocument/2006/relationships/table" Target="/xl/tables/table10.xml" Id="rId8"/><Relationship Type="http://schemas.openxmlformats.org/officeDocument/2006/relationships/table" Target="/xl/tables/table11.xml" Id="rId9"/><Relationship Type="http://schemas.openxmlformats.org/officeDocument/2006/relationships/table" Target="/xl/tables/table12.xml" Id="rId10"/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4.vml" Id="anysvml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3.xml" Id="rId2"/><Relationship Type="http://schemas.openxmlformats.org/officeDocument/2006/relationships/table" Target="/xl/tables/table14.xml" Id="rId3"/><Relationship Type="http://schemas.openxmlformats.org/officeDocument/2006/relationships/vmlDrawing" Target="/xl/drawings/vmlDrawing5.vml" Id="anysvml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5.xml" Id="rId1"/><Relationship Type="http://schemas.openxmlformats.org/officeDocument/2006/relationships/table" Target="/xl/tables/table16.xml" Id="rId2"/><Relationship Type="http://schemas.openxmlformats.org/officeDocument/2006/relationships/table" Target="/xl/tables/table17.xml" Id="rId3"/><Relationship Type="http://schemas.openxmlformats.org/officeDocument/2006/relationships/vmlDrawing" Target="/xl/drawings/vmlDrawing6.vml" Id="anysvml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8.xml" Id="rId1"/><Relationship Type="http://schemas.openxmlformats.org/officeDocument/2006/relationships/vmlDrawing" Target="/xl/drawings/vmlDrawing7.vml" Id="anysvml"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9.xml" Id="rId1"/><Relationship Type="http://schemas.openxmlformats.org/officeDocument/2006/relationships/table" Target="/xl/tables/table20.xml" Id="rId2"/><Relationship Type="http://schemas.openxmlformats.org/officeDocument/2006/relationships/table" Target="/xl/tables/table21.xml" Id="rId3"/></Relationships>
</file>

<file path=xl/worksheets/_rels/sheet13.xml.rels><Relationships xmlns="http://schemas.openxmlformats.org/package/2006/relationships"><Relationship Type="http://schemas.openxmlformats.org/officeDocument/2006/relationships/vmlDrawing" Target="/xl/drawings/vmlDrawing8.vml" Id="anysvml"/></Relationships>
</file>

<file path=xl/worksheets/_rels/sheet14.xml.rels><Relationships xmlns="http://schemas.openxmlformats.org/package/2006/relationships"><Relationship Type="http://schemas.openxmlformats.org/officeDocument/2006/relationships/table" Target="/xl/tables/table22.xml" Id="rId1"/><Relationship Type="http://schemas.openxmlformats.org/officeDocument/2006/relationships/table" Target="/xl/tables/table23.xml" Id="rId2"/><Relationship Type="http://schemas.openxmlformats.org/officeDocument/2006/relationships/table" Target="/xl/tables/table24.xml" Id="rId3"/><Relationship Type="http://schemas.openxmlformats.org/officeDocument/2006/relationships/table" Target="/xl/tables/table25.xml" Id="rId4"/></Relationships>
</file>

<file path=xl/worksheets/sheet1.xml><?xml version="1.0" encoding="utf-8"?>
<worksheet xmlns="http://schemas.openxmlformats.org/spreadsheetml/2006/main">
  <sheetPr codeName="Foglio2">
    <outlinePr summaryBelow="1" summaryRight="1"/>
    <pageSetUpPr/>
  </sheetPr>
  <dimension ref="A1:L10"/>
  <sheetViews>
    <sheetView workbookViewId="0">
      <selection activeCell="D35" sqref="D35"/>
    </sheetView>
  </sheetViews>
  <sheetFormatPr baseColWidth="8" defaultRowHeight="12.75"/>
  <cols>
    <col width="13.28515625" bestFit="1" customWidth="1" min="1" max="1"/>
    <col width="24.140625" bestFit="1" customWidth="1" min="4" max="4"/>
    <col width="10.140625" bestFit="1" customWidth="1" min="12" max="12"/>
  </cols>
  <sheetData>
    <row r="1">
      <c r="A1" t="inlineStr">
        <is>
          <t>Célula calculada</t>
        </is>
      </c>
      <c r="B1" s="481" t="inlineStr">
        <is>
          <t>D219</t>
        </is>
      </c>
      <c r="D1" t="inlineStr">
        <is>
          <t>Parâmetro convém digital</t>
        </is>
      </c>
      <c r="E1" s="481" t="inlineStr">
        <is>
          <t>A211</t>
        </is>
      </c>
      <c r="J1" t="inlineStr">
        <is>
          <t>Nome do orçamentista</t>
        </is>
      </c>
      <c r="L1" s="482" t="inlineStr">
        <is>
          <t>Roberto</t>
        </is>
      </c>
    </row>
    <row r="2">
      <c r="J2" t="inlineStr">
        <is>
          <t>Data do orçamento</t>
        </is>
      </c>
      <c r="L2" s="583" t="n">
        <v>46150</v>
      </c>
    </row>
    <row r="3">
      <c r="A3" t="inlineStr">
        <is>
          <t>Células objetivo</t>
        </is>
      </c>
      <c r="B3" t="inlineStr">
        <is>
          <t>Offset</t>
        </is>
      </c>
    </row>
    <row r="4">
      <c r="A4" s="481" t="inlineStr">
        <is>
          <t>E214</t>
        </is>
      </c>
      <c r="B4" s="482" t="n">
        <v>5</v>
      </c>
    </row>
    <row r="5">
      <c r="A5" s="481" t="inlineStr">
        <is>
          <t>F214</t>
        </is>
      </c>
      <c r="B5" s="482" t="n">
        <v>5</v>
      </c>
    </row>
    <row r="6">
      <c r="A6" s="481" t="inlineStr">
        <is>
          <t>G214</t>
        </is>
      </c>
      <c r="B6" s="482" t="n">
        <v>5</v>
      </c>
    </row>
    <row r="7">
      <c r="A7" s="481" t="inlineStr">
        <is>
          <t>H214</t>
        </is>
      </c>
      <c r="B7" s="482" t="n">
        <v>5</v>
      </c>
    </row>
    <row r="8">
      <c r="A8" s="481" t="inlineStr">
        <is>
          <t>C205</t>
        </is>
      </c>
      <c r="B8" s="482" t="n">
        <v>3</v>
      </c>
    </row>
    <row r="9">
      <c r="A9" s="481" t="inlineStr">
        <is>
          <t>D205</t>
        </is>
      </c>
      <c r="B9" s="482" t="n">
        <v>3</v>
      </c>
    </row>
    <row r="10">
      <c r="A10" s="481" t="inlineStr">
        <is>
          <t>E205</t>
        </is>
      </c>
      <c r="B10" s="482" t="n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1">
    <outlinePr summaryBelow="1" summaryRight="1"/>
    <pageSetUpPr fitToPage="1"/>
  </sheetPr>
  <dimension ref="A1:EU239"/>
  <sheetViews>
    <sheetView tabSelected="1" zoomScale="145" zoomScaleNormal="145" zoomScaleSheetLayoutView="90" workbookViewId="0">
      <pane ySplit="7" topLeftCell="A8" activePane="bottomLeft" state="frozen"/>
      <selection pane="bottomLeft" activeCell="B240" sqref="B240"/>
    </sheetView>
  </sheetViews>
  <sheetFormatPr baseColWidth="8" defaultColWidth="9.140625" defaultRowHeight="12.75" outlineLevelRow="2"/>
  <cols>
    <col width="32.28515625" customWidth="1" style="6" min="1" max="1"/>
    <col width="8.7109375" customWidth="1" style="6" min="2" max="2"/>
    <col width="10" customWidth="1" style="6" min="3" max="5"/>
    <col width="10.85546875" customWidth="1" style="762" min="6" max="6"/>
    <col width="11.140625" customWidth="1" style="6" min="7" max="7"/>
    <col width="12.140625" customWidth="1" style="6" min="8" max="8"/>
    <col width="14.85546875" customWidth="1" style="89" min="9" max="9"/>
    <col width="5.7109375" customWidth="1" style="89" min="10" max="10"/>
    <col width="4.85546875" bestFit="1" customWidth="1" style="89" min="11" max="11"/>
    <col width="5.5703125" customWidth="1" style="6" min="12" max="13"/>
    <col width="10.7109375" customWidth="1" style="6" min="14" max="14"/>
    <col width="11.140625" customWidth="1" style="6" min="15" max="15"/>
    <col width="5.5703125" customWidth="1" style="6" min="16" max="17"/>
    <col width="2.85546875" customWidth="1" style="6" min="18" max="18"/>
    <col width="5.5703125" customWidth="1" style="6" min="19" max="20"/>
    <col width="9.140625" customWidth="1" style="6" min="21" max="21"/>
    <col width="9.140625" customWidth="1" style="6" min="22" max="23"/>
    <col width="9.140625" customWidth="1" style="6" min="24" max="16384"/>
  </cols>
  <sheetData>
    <row r="1" ht="23.25" customHeight="1">
      <c r="A1" s="2" t="n"/>
      <c r="B1" s="22" t="n"/>
      <c r="C1" s="763" t="inlineStr">
        <is>
          <t>MÓDULO DE ORÇAMENTO</t>
        </is>
      </c>
      <c r="D1" s="764" t="n"/>
      <c r="E1" s="764" t="n"/>
      <c r="F1" s="764" t="n"/>
      <c r="G1" s="765" t="n"/>
      <c r="H1" s="20" t="inlineStr">
        <is>
          <t>DATA</t>
        </is>
      </c>
      <c r="J1" s="296" t="inlineStr">
        <is>
          <t>Nome do arquivo sugerido:</t>
        </is>
      </c>
      <c r="N1" s="297">
        <f>CONCATENATE(A6," rif. ",B6," (",B2,")")</f>
        <v/>
      </c>
      <c r="ET1" s="452" t="inlineStr">
        <is>
          <t>Iniziali prev.</t>
        </is>
      </c>
      <c r="EU1" s="452" t="inlineStr">
        <is>
          <t>Nome</t>
        </is>
      </c>
    </row>
    <row r="2" ht="23.25" customHeight="1">
      <c r="A2" s="9" t="inlineStr">
        <is>
          <t>Creative Srl</t>
        </is>
      </c>
      <c r="B2" s="449" t="inlineStr">
        <is>
          <t>RB</t>
        </is>
      </c>
      <c r="C2" s="766" t="n"/>
      <c r="G2" s="767" t="n"/>
      <c r="H2" s="21">
        <f>TODAY()</f>
        <v/>
      </c>
      <c r="ET2" s="452" t="inlineStr">
        <is>
          <t>AA</t>
        </is>
      </c>
      <c r="EU2" s="452" t="inlineStr">
        <is>
          <t>Andrea</t>
        </is>
      </c>
    </row>
    <row r="3" ht="13.5" customFormat="1" customHeight="1" s="1" thickBot="1">
      <c r="A3" s="70" t="inlineStr">
        <is>
          <t xml:space="preserve"> </t>
        </is>
      </c>
      <c r="B3" s="71" t="n"/>
      <c r="C3" s="768" t="n"/>
      <c r="D3" s="769" t="n"/>
      <c r="E3" s="769" t="n"/>
      <c r="F3" s="769" t="n"/>
      <c r="G3" s="770" t="n"/>
      <c r="H3" s="72" t="n"/>
      <c r="I3" s="90" t="n"/>
      <c r="J3" s="90" t="n"/>
      <c r="K3" s="90" t="n"/>
      <c r="ET3" s="452" t="inlineStr">
        <is>
          <t>AB</t>
        </is>
      </c>
      <c r="EU3" s="452" t="inlineStr">
        <is>
          <t>Alexandra</t>
        </is>
      </c>
    </row>
    <row r="4">
      <c r="A4" s="623" t="inlineStr">
        <is>
          <t>CLIENTE:</t>
        </is>
      </c>
      <c r="B4" s="673" t="inlineStr">
        <is>
          <t>Ref./Cód. do Artigo</t>
        </is>
      </c>
      <c r="C4" s="764" t="n"/>
      <c r="D4" s="764" t="n"/>
      <c r="E4" s="764" t="n"/>
      <c r="F4" s="771" t="n"/>
      <c r="G4" s="678" t="inlineStr">
        <is>
          <t>Quantidade</t>
        </is>
      </c>
      <c r="H4" s="673" t="inlineStr">
        <is>
          <t>Rendimento</t>
        </is>
      </c>
      <c r="I4" s="675" t="inlineStr">
        <is>
          <t>Artes</t>
        </is>
      </c>
      <c r="J4" s="675" t="inlineStr">
        <is>
          <t>Produções</t>
        </is>
      </c>
      <c r="K4" s="772" t="n"/>
      <c r="ET4" s="452" t="inlineStr">
        <is>
          <t>AF</t>
        </is>
      </c>
      <c r="EU4" s="452" t="inlineStr">
        <is>
          <t>Alessandra</t>
        </is>
      </c>
    </row>
    <row r="5">
      <c r="A5" s="773" t="n"/>
      <c r="B5" s="766" t="n"/>
      <c r="F5" s="774" t="n"/>
      <c r="G5" s="773" t="n"/>
      <c r="H5" s="773" t="n"/>
      <c r="I5" s="773" t="n"/>
      <c r="J5" s="766" t="n"/>
      <c r="K5" s="774" t="n"/>
      <c r="ET5" s="452" t="inlineStr">
        <is>
          <t>AT</t>
        </is>
      </c>
      <c r="EU5" s="452" t="inlineStr">
        <is>
          <t>Aurora</t>
        </is>
      </c>
    </row>
    <row r="6">
      <c r="A6" s="184" t="inlineStr">
        <is>
          <t>CHIQUITA BRANDS INTERNATIONAL Sàrl</t>
        </is>
      </c>
      <c r="B6" s="775" t="inlineStr">
        <is>
          <t>012008ST FLASH Display_1-4 PLT_CHEP V2</t>
        </is>
      </c>
      <c r="C6" s="776" t="n"/>
      <c r="D6" s="776" t="n"/>
      <c r="E6" s="776" t="n"/>
      <c r="F6" s="777" t="n"/>
      <c r="G6" s="778">
        <f>+F214</f>
        <v/>
      </c>
      <c r="H6" s="462" t="n">
        <v>1</v>
      </c>
      <c r="I6" s="35" t="n">
        <v>1</v>
      </c>
      <c r="J6" s="779" t="n">
        <v>1</v>
      </c>
      <c r="K6" s="777" t="n"/>
      <c r="ET6" s="452" t="inlineStr">
        <is>
          <t>BM</t>
        </is>
      </c>
      <c r="EU6" s="452" t="inlineStr">
        <is>
          <t>Dino</t>
        </is>
      </c>
    </row>
    <row r="7">
      <c r="A7" s="33" t="inlineStr">
        <is>
          <t>AGENTE</t>
        </is>
      </c>
      <c r="ET7" s="452" t="inlineStr">
        <is>
          <t>CS</t>
        </is>
      </c>
      <c r="EU7" s="452" t="inlineStr">
        <is>
          <t>Cristian</t>
        </is>
      </c>
    </row>
    <row r="8">
      <c r="A8" s="41" t="n"/>
      <c r="ET8" s="452" t="inlineStr">
        <is>
          <t>DM</t>
        </is>
      </c>
      <c r="EU8" s="452" t="inlineStr">
        <is>
          <t>Diego</t>
        </is>
      </c>
    </row>
    <row r="9">
      <c r="A9" s="24" t="inlineStr">
        <is>
          <t>DESCRIÇÃO DO ARTIGO</t>
        </is>
      </c>
      <c r="B9" s="25" t="n"/>
      <c r="C9" s="25" t="n"/>
      <c r="D9" s="25" t="n"/>
      <c r="E9" s="25" t="n"/>
      <c r="F9" s="780" t="n"/>
      <c r="G9" s="25" t="n"/>
      <c r="H9" s="27" t="n"/>
      <c r="ET9" s="452" t="inlineStr">
        <is>
          <t>FS</t>
        </is>
      </c>
      <c r="EU9" s="452" t="inlineStr">
        <is>
          <t>Francesca</t>
        </is>
      </c>
    </row>
    <row r="10">
      <c r="A10" s="781">
        <f>B6</f>
        <v/>
      </c>
      <c r="F10" s="762" t="n"/>
      <c r="H10" s="23" t="n"/>
      <c r="ET10" s="452" t="inlineStr">
        <is>
          <t>MS</t>
        </is>
      </c>
      <c r="EU10" s="452" t="inlineStr">
        <is>
          <t>Martina</t>
        </is>
      </c>
    </row>
    <row r="11">
      <c r="A11" s="782" t="inlineStr">
        <is>
          <t>Composto da: crowner (realizzato in onda E, acc.to in bianca a B/K stampato offset quadricromia + 2 pantoni + plast.ne lucida, fustellatura, incollaggio) + corpo (realizzato in onda EB bianco/avana, acc.to in bianca a B/K stampato offset quadricromia + 2 pantoni + plast.ne lucida, fustellatura, stampa 1 colore pantone flexo in volta, incollaggio) + vassoi (realizati in onda E bianco/avana, acc.to in bianca a B/K stampato offset 2 colori pantone + plast.ne lucida, stampa flexo in volta, fustellatura, incollaggio) + struttura fronte (realizzata in onda EB, acc.to in bianca a B/K stampato offset 2 colori pantone in bianca, stampa flexo 1 colore in volta, fustellatura, incollaggio) + struttura retro (realizzata in onda EB bianco/bianco, stampa flexo 1 colore pantone in bianca e in volta, fustellatura, incollaggio) + pannello wave (realizzato in onda EB bianco/avana, acc.to in bianca a B/K stampato offset 1 colore pantone + plast.ne lucida in bianca, fustellatura). Reso steso, preassemblato, in master singola (f.to 966x781x70 mm, realizzata in onda EB, stampa flexo 1 colore, slotter), su plt a perdere (23 PZ/PLT, h MAX PALLET 2 MT)</t>
        </is>
      </c>
      <c r="H11" s="774" t="n"/>
      <c r="ET11" s="452" t="inlineStr">
        <is>
          <t>PC</t>
        </is>
      </c>
      <c r="EU11" s="452" t="inlineStr">
        <is>
          <t>Paola</t>
        </is>
      </c>
    </row>
    <row r="12">
      <c r="A12" s="766" t="n"/>
      <c r="H12" s="774" t="n"/>
      <c r="ET12" s="452" t="inlineStr">
        <is>
          <t>RB</t>
        </is>
      </c>
      <c r="EU12" s="452" t="inlineStr">
        <is>
          <t>Roberto</t>
        </is>
      </c>
    </row>
    <row r="13">
      <c r="A13" s="766" t="n"/>
      <c r="H13" s="774" t="n"/>
      <c r="ET13" s="452" t="inlineStr">
        <is>
          <t>SD</t>
        </is>
      </c>
      <c r="EU13" s="452" t="inlineStr">
        <is>
          <t>Simone</t>
        </is>
      </c>
    </row>
    <row r="14">
      <c r="A14" s="766" t="n"/>
      <c r="H14" s="774" t="n"/>
      <c r="M14" s="783" t="n"/>
      <c r="ET14" s="452" t="inlineStr">
        <is>
          <t>SF</t>
        </is>
      </c>
      <c r="EU14" s="452" t="inlineStr">
        <is>
          <t>Sabrina</t>
        </is>
      </c>
    </row>
    <row r="15">
      <c r="A15" s="784" t="n"/>
      <c r="B15" s="776" t="n"/>
      <c r="C15" s="776" t="n"/>
      <c r="D15" s="776" t="n"/>
      <c r="E15" s="776" t="n"/>
      <c r="F15" s="776" t="n"/>
      <c r="G15" s="776" t="n"/>
      <c r="H15" s="777" t="n"/>
      <c r="M15" s="783" t="n"/>
    </row>
    <row r="16">
      <c r="A16" s="1" t="n"/>
      <c r="B16" s="16" t="n"/>
      <c r="C16" s="16" t="n"/>
      <c r="D16" s="16" t="n"/>
      <c r="E16" s="16" t="n"/>
      <c r="F16" s="785" t="n"/>
      <c r="H16" s="16" t="n"/>
      <c r="M16" s="783" t="n"/>
    </row>
    <row r="17">
      <c r="A17" s="24" t="n"/>
      <c r="B17" s="609" t="inlineStr">
        <is>
          <t>Quantidade</t>
        </is>
      </c>
      <c r="C17" s="24" t="n"/>
      <c r="D17" s="27" t="n"/>
      <c r="E17" s="33" t="n"/>
      <c r="F17" s="786" t="inlineStr">
        <is>
          <t>Preço Unitário</t>
        </is>
      </c>
      <c r="G17" s="33" t="n"/>
      <c r="H17" s="787" t="inlineStr">
        <is>
          <t>Valor</t>
        </is>
      </c>
      <c r="M17" s="783" t="n"/>
    </row>
    <row r="18">
      <c r="A18" s="29" t="n"/>
      <c r="B18" s="788" t="n"/>
      <c r="C18" s="29" t="n"/>
      <c r="D18" s="32" t="n"/>
      <c r="E18" s="35" t="n"/>
      <c r="F18" s="788" t="n"/>
      <c r="G18" s="35" t="n"/>
      <c r="H18" s="788" t="n"/>
    </row>
    <row r="19" ht="15" customHeight="1">
      <c r="A19" s="39" t="inlineStr">
        <is>
          <t>PROJETO/ENGENHARIA</t>
        </is>
      </c>
      <c r="B19" s="110" t="n">
        <v>1</v>
      </c>
      <c r="C19" s="39" t="n"/>
      <c r="D19" s="40" t="n"/>
      <c r="E19" s="38" t="n"/>
      <c r="F19" s="789" t="n">
        <v>100</v>
      </c>
      <c r="G19" s="38" t="n"/>
      <c r="H19" s="112">
        <f>F19*B19</f>
        <v/>
      </c>
    </row>
    <row r="20" ht="15" customHeight="1">
      <c r="A20" s="575" t="inlineStr">
        <is>
          <t>AMOSTRAS</t>
        </is>
      </c>
      <c r="B20" s="576" t="n">
        <v>1</v>
      </c>
      <c r="C20" s="575" t="n"/>
      <c r="D20" s="577" t="n"/>
      <c r="E20" s="578" t="n"/>
      <c r="F20" s="790" t="n">
        <v>200</v>
      </c>
      <c r="G20" s="578" t="n"/>
      <c r="H20" s="580">
        <f>F20*B20</f>
        <v/>
      </c>
      <c r="I20" s="581" t="inlineStr">
        <is>
          <t>Graficato</t>
        </is>
      </c>
    </row>
    <row r="21" ht="15" customHeight="1">
      <c r="A21" s="29" t="inlineStr">
        <is>
          <t>PROPOSTA CRIATIVA</t>
        </is>
      </c>
      <c r="B21" s="113" t="n"/>
      <c r="C21" s="29" t="n"/>
      <c r="D21" s="32" t="n"/>
      <c r="E21" s="35" t="n"/>
      <c r="F21" s="791" t="n">
        <v>60</v>
      </c>
      <c r="G21" s="35" t="n"/>
      <c r="H21" s="112">
        <f>F21*B21</f>
        <v/>
      </c>
    </row>
    <row r="22" ht="15" customHeight="1" thickBot="1">
      <c r="A22" s="29" t="inlineStr">
        <is>
          <t>CROMALIN</t>
        </is>
      </c>
      <c r="B22" s="113" t="n">
        <v>1</v>
      </c>
      <c r="C22" s="29" t="n"/>
      <c r="D22" s="32" t="n"/>
      <c r="E22" s="35" t="n"/>
      <c r="F22" s="791" t="n">
        <v>200</v>
      </c>
      <c r="G22" s="35" t="n"/>
      <c r="H22" s="112">
        <f>F22*B22</f>
        <v/>
      </c>
    </row>
    <row r="23" ht="11.25" customHeight="1" thickBot="1">
      <c r="H23" s="115">
        <f>H22+H20+H21+H19</f>
        <v/>
      </c>
      <c r="I23" s="89">
        <f>H23*1.25</f>
        <v/>
      </c>
    </row>
    <row r="24" ht="15" customHeight="1">
      <c r="A24" s="609" t="inlineStr">
        <is>
          <t>MATERIAIS</t>
        </is>
      </c>
      <c r="B24" s="609" t="inlineStr">
        <is>
          <t>Quantidade</t>
        </is>
      </c>
      <c r="C24" s="609" t="inlineStr">
        <is>
          <t>Formato</t>
        </is>
      </c>
      <c r="D24" s="772" t="n"/>
      <c r="E24" s="792" t="inlineStr">
        <is>
          <t xml:space="preserve">Gr </t>
        </is>
      </c>
      <c r="F24" s="786" t="inlineStr">
        <is>
          <t>Preço Unitário</t>
        </is>
      </c>
      <c r="G24" s="793" t="inlineStr">
        <is>
          <t>Peso - m²</t>
        </is>
      </c>
      <c r="H24" s="794" t="inlineStr">
        <is>
          <t>Valor</t>
        </is>
      </c>
      <c r="I24" s="614" t="inlineStr">
        <is>
          <t>DESCRIÇÃO</t>
        </is>
      </c>
      <c r="J24" s="614" t="inlineStr">
        <is>
          <t>RENDIMENTO</t>
        </is>
      </c>
      <c r="K24" s="614" t="inlineStr">
        <is>
          <t>OCOR.</t>
        </is>
      </c>
      <c r="L24" s="610" t="inlineStr">
        <is>
          <t>Formato
lordo</t>
        </is>
      </c>
      <c r="M24" s="772" t="n"/>
      <c r="N24" s="795" t="inlineStr">
        <is>
          <t>Peso - m²</t>
        </is>
      </c>
      <c r="O24" s="611" t="inlineStr">
        <is>
          <t>Guilhotina</t>
        </is>
      </c>
      <c r="P24" s="610" t="inlineStr">
        <is>
          <t>Formato
magazzino</t>
        </is>
      </c>
      <c r="Q24" s="772" t="n"/>
      <c r="S24" s="610" t="inlineStr">
        <is>
          <t>Tolerância de corte</t>
        </is>
      </c>
      <c r="T24" s="772" t="n"/>
    </row>
    <row r="25" ht="15" customHeight="1">
      <c r="A25" s="788" t="n"/>
      <c r="B25" s="788" t="n"/>
      <c r="C25" s="784" t="n"/>
      <c r="D25" s="777" t="n"/>
      <c r="E25" s="788" t="n"/>
      <c r="F25" s="788" t="n"/>
      <c r="G25" s="788" t="n"/>
      <c r="H25" s="788" t="n"/>
      <c r="I25" s="788" t="n"/>
      <c r="J25" s="788" t="n"/>
      <c r="K25" s="788" t="n"/>
      <c r="L25" s="784" t="n"/>
      <c r="M25" s="777" t="n"/>
      <c r="N25" s="788" t="n"/>
      <c r="O25" s="788" t="n"/>
      <c r="P25" s="784" t="n"/>
      <c r="Q25" s="777" t="n"/>
      <c r="S25" s="784" t="n"/>
      <c r="T25" s="777" t="n"/>
    </row>
    <row r="26" ht="15" customHeight="1">
      <c r="A26" s="153" t="inlineStr">
        <is>
          <t>TMT/242/E - Giusti</t>
        </is>
      </c>
      <c r="B26" s="513">
        <f>_xlfn.CEILING.MATH(IF(J26="", 0, IF((((($G$6/J26)*K26)*1.03)-((($G$6/J26)*K26)))&gt;99, ((($G$6/J26)*K26)*1.03), (($G$6/J26)*K26)+100)))</f>
        <v/>
      </c>
      <c r="C26" s="39">
        <f>IF(+B26&gt;0,IF(+N26&gt;250,+L26,+P26),0)</f>
        <v/>
      </c>
      <c r="D26" s="39">
        <f>IF(+B26&gt;0,MAX(IF(+B26&gt;0,IF(+N26&gt;250,+M26,+Q26),0),600),0)</f>
        <v/>
      </c>
      <c r="E26" s="138" t="n"/>
      <c r="F26" s="796">
        <f>VLOOKUP(A26,Tabella118[[#All],[composizione concatenata]:[Euro/Mq]],2,FALSE)</f>
        <v/>
      </c>
      <c r="G26" s="797">
        <f>((C26/1000)*(D26/1000))*B26</f>
        <v/>
      </c>
      <c r="H26" s="517">
        <f>IF(A26="", 0, B26*C26/1000*D26/1000*F26)</f>
        <v/>
      </c>
      <c r="I26" s="194" t="inlineStr">
        <is>
          <t>Crowner</t>
        </is>
      </c>
      <c r="J26" s="185" t="n">
        <v>2</v>
      </c>
      <c r="K26" s="185" t="n">
        <v>1</v>
      </c>
      <c r="L26" s="181">
        <f>704+23</f>
        <v/>
      </c>
      <c r="M26" s="181">
        <f>1160+23</f>
        <v/>
      </c>
      <c r="N26" s="798">
        <f>((L26/1000)*(M26/1000))*B26</f>
        <v/>
      </c>
      <c r="O26" s="182">
        <f>IF(AND(C26=L26,D26=M26),0,1)</f>
        <v/>
      </c>
      <c r="P26" s="181">
        <f t="array" ref="P26">IF(L26=0,"",IFERROR(INDEX(INDEX(Ondulati_Magazzino[],,1),MATCH(MIN(IF((L26&lt;=INDEX(Ondulati_Magazzino[],,1)+R26)*(M26&lt;=INDEX(Ondulati_Magazzino[],,2)+S26),INDEX(Ondulati_Magazzino[],,3))),IF((L26&lt;=INDEX(Ondulati_Magazzino[],,1)+R26)*(M26&lt;=INDEX(Ondulati_Magazzino[],,2)+S26),INDEX(Ondulati_Magazzino[],,3)),0)),"FUORI"))</f>
        <v/>
      </c>
      <c r="Q26" s="181">
        <f t="array" ref="Q26">IF(M26=0,"",IFERROR(INDEX(INDEX(Ondulati_Magazzino[],,2),MATCH(MIN(IF((L26&lt;=INDEX(Ondulati_Magazzino[],,1)+R26)*(M26&lt;=INDEX(Ondulati_Magazzino[],,2)+S26),INDEX(Ondulati_Magazzino[],,3))),IF((L26&lt;=INDEX(Ondulati_Magazzino[],,1)+R26)*(M26&lt;=INDEX(Ondulati_Magazzino[],,2)+S26),INDEX(Ondulati_Magazzino[],,3)),0)),"FUORI"))</f>
        <v/>
      </c>
      <c r="S26" s="181" t="n">
        <v>2</v>
      </c>
      <c r="T26" s="181" t="n">
        <v>2</v>
      </c>
    </row>
    <row r="27" ht="15" customHeight="1">
      <c r="A27" s="153" t="inlineStr">
        <is>
          <t>KbSFST/26262/EB - Giusti</t>
        </is>
      </c>
      <c r="B27" s="513">
        <f>_xlfn.CEILING.MATH(IF(J27="", 0, IF((((($G$6/J27)*K27)*1.03)-((($G$6/J27)*K27)))&gt;99, ((($G$6/J27)*K27)*1.03), (($G$6/J27)*K27)+100)))</f>
        <v/>
      </c>
      <c r="C27" s="39">
        <f>IF(+B27&gt;0,IF(+N27&gt;250,+L27,+P27),0)</f>
        <v/>
      </c>
      <c r="D27" s="39">
        <f>IF(+B27&gt;0,MAX(IF(+B27&gt;0,IF(+N27&gt;250,+M27,+Q27),0),600),0)</f>
        <v/>
      </c>
      <c r="E27" s="138" t="n"/>
      <c r="F27" s="796">
        <f>VLOOKUP(A27,Tabella118[[#All],[composizione concatenata]:[Euro/Mq]],2,FALSE)</f>
        <v/>
      </c>
      <c r="G27" s="797">
        <f>((C27/1000)*(D27/1000))*B27</f>
        <v/>
      </c>
      <c r="H27" s="517">
        <f>IF(A27="", 0, B27*C27/1000*D27/1000*F27)</f>
        <v/>
      </c>
      <c r="I27" s="194" t="inlineStr">
        <is>
          <t>Retro + Lat. Dx</t>
        </is>
      </c>
      <c r="J27" s="185" t="n">
        <v>1</v>
      </c>
      <c r="K27" s="185" t="n">
        <v>1</v>
      </c>
      <c r="L27" s="181">
        <f>1415+23</f>
        <v/>
      </c>
      <c r="M27" s="181">
        <f>1029+23</f>
        <v/>
      </c>
      <c r="N27" s="798">
        <f>((L27/1000)*(M27/1000))*B27</f>
        <v/>
      </c>
      <c r="O27" s="182">
        <f>IF(AND(C27=L27,D27=M27),0,1)</f>
        <v/>
      </c>
      <c r="P27" s="181">
        <f t="array" ref="P27">IF(L27=0,"",IFERROR(INDEX(INDEX(Ondulati_Magazzino[],,1),MATCH(MIN(IF((L27&lt;=INDEX(Ondulati_Magazzino[],,1)+R27)*(M27&lt;=INDEX(Ondulati_Magazzino[],,2)+S27),INDEX(Ondulati_Magazzino[],,3))),IF((L27&lt;=INDEX(Ondulati_Magazzino[],,1)+R27)*(M27&lt;=INDEX(Ondulati_Magazzino[],,2)+S27),INDEX(Ondulati_Magazzino[],,3)),0)),"FUORI"))</f>
        <v/>
      </c>
      <c r="Q27" s="181">
        <f t="array" ref="Q27">IF(M27=0,"",IFERROR(INDEX(INDEX(Ondulati_Magazzino[],,2),MATCH(MIN(IF((L27&lt;=INDEX(Ondulati_Magazzino[],,1)+R27)*(M27&lt;=INDEX(Ondulati_Magazzino[],,2)+S27),INDEX(Ondulati_Magazzino[],,3))),IF((L27&lt;=INDEX(Ondulati_Magazzino[],,1)+R27)*(M27&lt;=INDEX(Ondulati_Magazzino[],,2)+S27),INDEX(Ondulati_Magazzino[],,3)),0)),"FUORI"))</f>
        <v/>
      </c>
      <c r="S27" s="181" t="n">
        <v>2</v>
      </c>
      <c r="T27" s="181" t="n">
        <v>2</v>
      </c>
    </row>
    <row r="28" ht="15" customHeight="1">
      <c r="A28" s="153" t="inlineStr">
        <is>
          <t>KbSFST/26262/EB - Giusti</t>
        </is>
      </c>
      <c r="B28" s="513">
        <f>_xlfn.CEILING.MATH(IF(J28="", 0, IF((((($G$6/J28)*K28)*1.03)-((($G$6/J28)*K28)))&gt;99, ((($G$6/J28)*K28)*1.03), (($G$6/J28)*K28)+100)))</f>
        <v/>
      </c>
      <c r="C28" s="39">
        <f>IF(+B28&gt;0,IF(+N28&gt;250,+L28,+P28),0)</f>
        <v/>
      </c>
      <c r="D28" s="39">
        <f>IF(+B28&gt;0,MAX(IF(+B28&gt;0,IF(+N28&gt;250,+M28,+Q28),0),600),0)</f>
        <v/>
      </c>
      <c r="E28" s="138" t="n"/>
      <c r="F28" s="796">
        <f>VLOOKUP(A28,Tabella118[[#All],[composizione concatenata]:[Euro/Mq]],2,FALSE)</f>
        <v/>
      </c>
      <c r="G28" s="797">
        <f>((C28/1000)*(D28/1000))*B28</f>
        <v/>
      </c>
      <c r="H28" s="517">
        <f>IF(A28="", 0, B28*C28/1000*D28/1000*F28)</f>
        <v/>
      </c>
      <c r="I28" s="194" t="inlineStr">
        <is>
          <t>Laterale SX</t>
        </is>
      </c>
      <c r="J28" s="185" t="n">
        <v>2</v>
      </c>
      <c r="K28" s="185" t="n">
        <v>1</v>
      </c>
      <c r="L28" s="181">
        <f>1415+23</f>
        <v/>
      </c>
      <c r="M28" s="181">
        <f>1133+23</f>
        <v/>
      </c>
      <c r="N28" s="798">
        <f>((L28/1000)*(M28/1000))*B28</f>
        <v/>
      </c>
      <c r="O28" s="182">
        <f>IF(AND(C28=L28,D28=M28),0,1)</f>
        <v/>
      </c>
      <c r="P28" s="181">
        <f t="array" ref="P28">IF(L28=0,"",IFERROR(INDEX(INDEX(Ondulati_Magazzino[],,1),MATCH(MIN(IF((L28&lt;=INDEX(Ondulati_Magazzino[],,1)+R28)*(M28&lt;=INDEX(Ondulati_Magazzino[],,2)+S28),INDEX(Ondulati_Magazzino[],,3))),IF((L28&lt;=INDEX(Ondulati_Magazzino[],,1)+R28)*(M28&lt;=INDEX(Ondulati_Magazzino[],,2)+S28),INDEX(Ondulati_Magazzino[],,3)),0)),"FUORI"))</f>
        <v/>
      </c>
      <c r="Q28" s="181">
        <f t="array" ref="Q28">IF(M28=0,"",IFERROR(INDEX(INDEX(Ondulati_Magazzino[],,2),MATCH(MIN(IF((L28&lt;=INDEX(Ondulati_Magazzino[],,1)+R28)*(M28&lt;=INDEX(Ondulati_Magazzino[],,2)+S28),INDEX(Ondulati_Magazzino[],,3))),IF((L28&lt;=INDEX(Ondulati_Magazzino[],,1)+R28)*(M28&lt;=INDEX(Ondulati_Magazzino[],,2)+S28),INDEX(Ondulati_Magazzino[],,3)),0)),"FUORI"))</f>
        <v/>
      </c>
      <c r="S28" s="181" t="n">
        <v>2</v>
      </c>
      <c r="T28" s="181" t="n">
        <v>2</v>
      </c>
    </row>
    <row r="29" ht="15" customHeight="1">
      <c r="A29" s="153" t="inlineStr">
        <is>
          <t>KbSFST/26262/EB - Giusti</t>
        </is>
      </c>
      <c r="B29" s="513">
        <f>_xlfn.CEILING.MATH(IF(J29="", 0, IF((((($G$6/J29)*K29)*1.03)-((($G$6/J29)*K29)))&gt;99, ((($G$6/J29)*K29)*1.03), (($G$6/J29)*K29)+100)))</f>
        <v/>
      </c>
      <c r="C29" s="39">
        <f>IF(+B29&gt;0,IF(+N29&gt;250,+L29,+P29),0)</f>
        <v/>
      </c>
      <c r="D29" s="39">
        <f>IF(+B29&gt;0,MAX(IF(+B29&gt;0,IF(+N29&gt;250,+M29,+Q29),0),600),0)</f>
        <v/>
      </c>
      <c r="E29" s="138" t="n"/>
      <c r="F29" s="796">
        <f>VLOOKUP(A29,Tabella118[[#All],[composizione concatenata]:[Euro/Mq]],2,FALSE)</f>
        <v/>
      </c>
      <c r="G29" s="797">
        <f>((C29/1000)*(D29/1000))*B29</f>
        <v/>
      </c>
      <c r="H29" s="517">
        <f>IF(A29="", 0, B29*C29/1000*D29/1000*F29)</f>
        <v/>
      </c>
      <c r="I29" s="194" t="inlineStr">
        <is>
          <t>Pannello wave</t>
        </is>
      </c>
      <c r="J29" s="185" t="n">
        <v>4</v>
      </c>
      <c r="K29" s="185" t="n">
        <v>4</v>
      </c>
      <c r="L29" s="181">
        <f>1032+23</f>
        <v/>
      </c>
      <c r="M29" s="181">
        <f>1128+23</f>
        <v/>
      </c>
      <c r="N29" s="798">
        <f>((L29/1000)*(M29/1000))*B29</f>
        <v/>
      </c>
      <c r="O29" s="182">
        <f>IF(AND(C29=L29,D29=M29),0,1)</f>
        <v/>
      </c>
      <c r="P29" s="181">
        <f t="array" ref="P29">IF(L29=0,"",IFERROR(INDEX(INDEX(Ondulati_Magazzino[],,1),MATCH(MIN(IF((L29&lt;=INDEX(Ondulati_Magazzino[],,1)+R29)*(M29&lt;=INDEX(Ondulati_Magazzino[],,2)+S29),INDEX(Ondulati_Magazzino[],,3))),IF((L29&lt;=INDEX(Ondulati_Magazzino[],,1)+R29)*(M29&lt;=INDEX(Ondulati_Magazzino[],,2)+S29),INDEX(Ondulati_Magazzino[],,3)),0)),"FUORI"))</f>
        <v/>
      </c>
      <c r="Q29" s="181">
        <f t="array" ref="Q29">IF(M29=0,"",IFERROR(INDEX(INDEX(Ondulati_Magazzino[],,2),MATCH(MIN(IF((L29&lt;=INDEX(Ondulati_Magazzino[],,1)+R29)*(M29&lt;=INDEX(Ondulati_Magazzino[],,2)+S29),INDEX(Ondulati_Magazzino[],,3))),IF((L29&lt;=INDEX(Ondulati_Magazzino[],,1)+R29)*(M29&lt;=INDEX(Ondulati_Magazzino[],,2)+S29),INDEX(Ondulati_Magazzino[],,3)),0)),"FUORI"))</f>
        <v/>
      </c>
      <c r="S29" s="181" t="n">
        <v>2</v>
      </c>
      <c r="T29" s="181" t="n">
        <v>2</v>
      </c>
    </row>
    <row r="30" outlineLevel="1" ht="15" customHeight="1">
      <c r="A30" s="153" t="inlineStr">
        <is>
          <t>KbSFST/26262/EB - Giusti</t>
        </is>
      </c>
      <c r="B30" s="513">
        <f>_xlfn.CEILING.MATH(IF(J30="", 0, IF((((($G$6/J30)*K30)*1.03)-((($G$6/J30)*K30)))&gt;99, ((($G$6/J30)*K30)*1.03), (($G$6/J30)*K30)+100)))</f>
        <v/>
      </c>
      <c r="C30" s="39">
        <f>IF(+B30&gt;0,IF(+N30&gt;250,+L30,+P30),0)</f>
        <v/>
      </c>
      <c r="D30" s="39">
        <f>IF(+B30&gt;0,MAX(IF(+B30&gt;0,IF(+N30&gt;250,+M30,+Q30),0),600),0)</f>
        <v/>
      </c>
      <c r="E30" s="138" t="n"/>
      <c r="F30" s="796">
        <f>VLOOKUP(A30,Tabella118[[#All],[composizione concatenata]:[Euro/Mq]],2,FALSE)</f>
        <v/>
      </c>
      <c r="G30" s="797">
        <f>((C30/1000)*(D30/1000))*B30</f>
        <v/>
      </c>
      <c r="H30" s="517">
        <f>IF(A30="", 0, B30*C30/1000*D30/1000*F30)</f>
        <v/>
      </c>
      <c r="I30" s="194" t="inlineStr">
        <is>
          <t>Struttura fronte</t>
        </is>
      </c>
      <c r="J30" s="185" t="n">
        <v>1</v>
      </c>
      <c r="K30" s="185" t="n">
        <v>1</v>
      </c>
      <c r="L30" s="181">
        <f>1167+23</f>
        <v/>
      </c>
      <c r="M30" s="181">
        <f>1290+23</f>
        <v/>
      </c>
      <c r="N30" s="798">
        <f>((L30/1000)*(M30/1000))*B30</f>
        <v/>
      </c>
      <c r="O30" s="182">
        <f>IF(AND(C30=L30,D30=M30),0,1)</f>
        <v/>
      </c>
      <c r="P30" s="181">
        <f t="array" ref="P30">IF(L30=0,"",IFERROR(INDEX(INDEX(Ondulati_Magazzino[],,1),MATCH(MIN(IF((L30&lt;=INDEX(Ondulati_Magazzino[],,1)+R30)*(M30&lt;=INDEX(Ondulati_Magazzino[],,2)+S30),INDEX(Ondulati_Magazzino[],,3))),IF((L30&lt;=INDEX(Ondulati_Magazzino[],,1)+R30)*(M30&lt;=INDEX(Ondulati_Magazzino[],,2)+S30),INDEX(Ondulati_Magazzino[],,3)),0)),"FUORI"))</f>
        <v/>
      </c>
      <c r="Q30" s="181">
        <f t="array" ref="Q30">IF(M30=0,"",IFERROR(INDEX(INDEX(Ondulati_Magazzino[],,2),MATCH(MIN(IF((L30&lt;=INDEX(Ondulati_Magazzino[],,1)+R30)*(M30&lt;=INDEX(Ondulati_Magazzino[],,2)+S30),INDEX(Ondulati_Magazzino[],,3))),IF((L30&lt;=INDEX(Ondulati_Magazzino[],,1)+R30)*(M30&lt;=INDEX(Ondulati_Magazzino[],,2)+S30),INDEX(Ondulati_Magazzino[],,3)),0)),"FUORI"))</f>
        <v/>
      </c>
      <c r="S30" s="181" t="n">
        <v>2</v>
      </c>
      <c r="T30" s="181" t="n">
        <v>2</v>
      </c>
    </row>
    <row r="31" outlineLevel="1" ht="15" customHeight="1">
      <c r="A31" s="153" t="inlineStr">
        <is>
          <t>KbST/262/E - Giusti</t>
        </is>
      </c>
      <c r="B31" s="513">
        <f>_xlfn.CEILING.MATH(IF(J31="", 0, IF((((($G$6/J31)*K31)*1.03)-((($G$6/J31)*K31)))&gt;99, ((($G$6/J31)*K31)*1.03), (($G$6/J31)*K31)+100)))</f>
        <v/>
      </c>
      <c r="C31" s="39">
        <f>IF(+B31&gt;0,IF(+N31&gt;250,+L31,+P31),0)</f>
        <v/>
      </c>
      <c r="D31" s="39">
        <f>IF(+B31&gt;0,MAX(IF(+B31&gt;0,IF(+N31&gt;250,+M31,+Q31),0),600),0)</f>
        <v/>
      </c>
      <c r="E31" s="138" t="n"/>
      <c r="F31" s="796">
        <f>VLOOKUP(A31,Tabella118[[#All],[composizione concatenata]:[Euro/Mq]],2,FALSE)</f>
        <v/>
      </c>
      <c r="G31" s="797">
        <f>((C31/1000)*(D31/1000))*B31</f>
        <v/>
      </c>
      <c r="H31" s="517">
        <f>IF(A31="", 0, B31*C31/1000*D31/1000*F31)</f>
        <v/>
      </c>
      <c r="I31" s="194" t="inlineStr">
        <is>
          <t>Vassoio Parte A + B</t>
        </is>
      </c>
      <c r="J31" s="185" t="n">
        <v>2</v>
      </c>
      <c r="K31" s="185" t="n">
        <v>4</v>
      </c>
      <c r="L31" s="181">
        <f>1488+23</f>
        <v/>
      </c>
      <c r="M31" s="181">
        <f>962+23</f>
        <v/>
      </c>
      <c r="N31" s="798">
        <f>((L31/1000)*(M31/1000))*B31</f>
        <v/>
      </c>
      <c r="O31" s="182">
        <f>IF(AND(C31=L31,D31=M31),0,1)</f>
        <v/>
      </c>
      <c r="P31" s="181">
        <f t="array" ref="P31">IF(L31=0,"",IFERROR(INDEX(INDEX(Ondulati_Magazzino[],,1),MATCH(MIN(IF((L31&lt;=INDEX(Ondulati_Magazzino[],,1)+R31)*(M31&lt;=INDEX(Ondulati_Magazzino[],,2)+S31),INDEX(Ondulati_Magazzino[],,3))),IF((L31&lt;=INDEX(Ondulati_Magazzino[],,1)+R31)*(M31&lt;=INDEX(Ondulati_Magazzino[],,2)+S31),INDEX(Ondulati_Magazzino[],,3)),0)),"FUORI"))</f>
        <v/>
      </c>
      <c r="Q31" s="181">
        <f t="array" ref="Q31">IF(M31=0,"",IFERROR(INDEX(INDEX(Ondulati_Magazzino[],,2),MATCH(MIN(IF((L31&lt;=INDEX(Ondulati_Magazzino[],,1)+R31)*(M31&lt;=INDEX(Ondulati_Magazzino[],,2)+S31),INDEX(Ondulati_Magazzino[],,3))),IF((L31&lt;=INDEX(Ondulati_Magazzino[],,1)+R31)*(M31&lt;=INDEX(Ondulati_Magazzino[],,2)+S31),INDEX(Ondulati_Magazzino[],,3)),0)),"FUORI"))</f>
        <v/>
      </c>
      <c r="S31" s="181" t="n">
        <v>2</v>
      </c>
      <c r="T31" s="181" t="n">
        <v>2</v>
      </c>
    </row>
    <row r="32" outlineLevel="1" ht="15" customHeight="1">
      <c r="A32" s="153" t="inlineStr">
        <is>
          <t>KbSFSKb/34262/EB - Giusti</t>
        </is>
      </c>
      <c r="B32" s="513">
        <f>_xlfn.CEILING.MATH(IF(J32="", 0, IF((((($G$6/J32)*K32)*1.03)-((($G$6/J32)*K32)))&gt;99, ((($G$6/J32)*K32)*1.03), (($G$6/J32)*K32)+100)))</f>
        <v/>
      </c>
      <c r="C32" s="39">
        <f>IF(+B32&gt;0,IF(+N32&gt;250,+L32,+P32),0)</f>
        <v/>
      </c>
      <c r="D32" s="39">
        <f>IF(+B32&gt;0,MAX(IF(+B32&gt;0,IF(+N32&gt;250,+M32,+Q32),0),600),0)</f>
        <v/>
      </c>
      <c r="E32" s="138" t="n"/>
      <c r="F32" s="796">
        <f>VLOOKUP(A32,Tabella118[[#All],[composizione concatenata]:[Euro/Mq]],2,FALSE)*1.15</f>
        <v/>
      </c>
      <c r="G32" s="797">
        <f>((C32/1000)*(D32/1000))*B32</f>
        <v/>
      </c>
      <c r="H32" s="517">
        <f>IF(A32="", 0, B32*C32/1000*D32/1000*F32)</f>
        <v/>
      </c>
      <c r="I32" s="194" t="inlineStr">
        <is>
          <t>Struttura retro</t>
        </is>
      </c>
      <c r="J32" s="185" t="n">
        <v>1</v>
      </c>
      <c r="K32" s="185" t="n">
        <v>1</v>
      </c>
      <c r="L32" s="181">
        <f>1167+30</f>
        <v/>
      </c>
      <c r="M32" s="181">
        <f>1187+30</f>
        <v/>
      </c>
      <c r="N32" s="798">
        <f>((L32/1000)*(M32/1000))*B32</f>
        <v/>
      </c>
      <c r="O32" s="182">
        <f>IF(AND(C32=L32,D32=M32),0,1)</f>
        <v/>
      </c>
      <c r="P32" s="181">
        <f t="array" ref="P32">IF(L32=0,"",IFERROR(INDEX(INDEX(Ondulati_Magazzino[],,1),MATCH(MIN(IF((L32&lt;=INDEX(Ondulati_Magazzino[],,1)+R32)*(M32&lt;=INDEX(Ondulati_Magazzino[],,2)+S32),INDEX(Ondulati_Magazzino[],,3))),IF((L32&lt;=INDEX(Ondulati_Magazzino[],,1)+R32)*(M32&lt;=INDEX(Ondulati_Magazzino[],,2)+S32),INDEX(Ondulati_Magazzino[],,3)),0)),"FUORI"))</f>
        <v/>
      </c>
      <c r="Q32" s="181">
        <f t="array" ref="Q32">IF(M32=0,"",IFERROR(INDEX(INDEX(Ondulati_Magazzino[],,2),MATCH(MIN(IF((L32&lt;=INDEX(Ondulati_Magazzino[],,1)+R32)*(M32&lt;=INDEX(Ondulati_Magazzino[],,2)+S32),INDEX(Ondulati_Magazzino[],,3))),IF((L32&lt;=INDEX(Ondulati_Magazzino[],,1)+R32)*(M32&lt;=INDEX(Ondulati_Magazzino[],,2)+S32),INDEX(Ondulati_Magazzino[],,3)),0)),"FUORI"))</f>
        <v/>
      </c>
      <c r="S32" s="181" t="n">
        <v>2</v>
      </c>
      <c r="T32" s="181" t="n">
        <v>2</v>
      </c>
    </row>
    <row r="33" hidden="1" outlineLevel="1" ht="15" customHeight="1">
      <c r="A33" s="153" t="n"/>
      <c r="B33" s="513">
        <f>_xlfn.CEILING.MATH(IF(J33="", 0, IF((((($G$6/J33)*K33)*1.03)-((($G$6/J33)*K33)))&gt;99, ((($G$6/J33)*K33)*1.03), (($G$6/J33)*K33)+100)))</f>
        <v/>
      </c>
      <c r="C33" s="39">
        <f>IF(+B33&gt;0,IF(+N33&gt;250,+L33,+P33),0)</f>
        <v/>
      </c>
      <c r="D33" s="39">
        <f>IF(+B33&gt;0,MAX(IF(+B33&gt;0,IF(+N33&gt;250,+M33,+Q33),0),600),0)</f>
        <v/>
      </c>
      <c r="E33" s="138" t="n"/>
      <c r="F33" s="796">
        <f>VLOOKUP(A33,Tabella118[[#All],[composizione concatenata]:[Euro/Mq]],2,FALSE)</f>
        <v/>
      </c>
      <c r="G33" s="797">
        <f>((C33/1000)*(D33/1000))*B33</f>
        <v/>
      </c>
      <c r="H33" s="517">
        <f>IF(A33="", 0, B33*C33/1000*D33/1000*F33)</f>
        <v/>
      </c>
      <c r="I33" s="194" t="n"/>
      <c r="J33" s="185" t="n"/>
      <c r="K33" s="185" t="n"/>
      <c r="L33" s="181" t="n"/>
      <c r="M33" s="181" t="n"/>
      <c r="N33" s="798">
        <f>((L33/1000)*(M33/1000))*B33</f>
        <v/>
      </c>
      <c r="O33" s="182">
        <f>IF(AND(C33=L33,D33=M33),0,1)</f>
        <v/>
      </c>
      <c r="P33" s="181">
        <f t="array" ref="P33">IF(L33=0,"",IFERROR(INDEX(INDEX(Ondulati_Magazzino[],,1),MATCH(MIN(IF((L33&lt;=INDEX(Ondulati_Magazzino[],,1)+R33)*(M33&lt;=INDEX(Ondulati_Magazzino[],,2)+S33),INDEX(Ondulati_Magazzino[],,3))),IF((L33&lt;=INDEX(Ondulati_Magazzino[],,1)+R33)*(M33&lt;=INDEX(Ondulati_Magazzino[],,2)+S33),INDEX(Ondulati_Magazzino[],,3)),0)),"FUORI"))</f>
        <v/>
      </c>
      <c r="Q33" s="181">
        <f t="array" ref="Q33">IF(M33=0,"",IFERROR(INDEX(INDEX(Ondulati_Magazzino[],,2),MATCH(MIN(IF((L33&lt;=INDEX(Ondulati_Magazzino[],,1)+R33)*(M33&lt;=INDEX(Ondulati_Magazzino[],,2)+S33),INDEX(Ondulati_Magazzino[],,3))),IF((L33&lt;=INDEX(Ondulati_Magazzino[],,1)+R33)*(M33&lt;=INDEX(Ondulati_Magazzino[],,2)+S33),INDEX(Ondulati_Magazzino[],,3)),0)),"FUORI"))</f>
        <v/>
      </c>
      <c r="S33" s="181" t="n">
        <v>2</v>
      </c>
      <c r="T33" s="181" t="n">
        <v>2</v>
      </c>
    </row>
    <row r="34" hidden="1" outlineLevel="1" ht="15" customHeight="1">
      <c r="A34" s="153" t="n"/>
      <c r="B34" s="513">
        <f>_xlfn.CEILING.MATH(IF(J34="", 0, IF((((($G$6/J34)*K34)*1.03)-((($G$6/J34)*K34)))&gt;99, ((($G$6/J34)*K34)*1.03), (($G$6/J34)*K34)+100)))</f>
        <v/>
      </c>
      <c r="C34" s="39">
        <f>IF(+B34&gt;0,IF(+N34&gt;250,+L34,+P34),0)</f>
        <v/>
      </c>
      <c r="D34" s="39">
        <f>IF(+B34&gt;0,MAX(IF(+B34&gt;0,IF(+N34&gt;250,+M34,+Q34),0),600),0)</f>
        <v/>
      </c>
      <c r="E34" s="138" t="n"/>
      <c r="F34" s="796">
        <f>VLOOKUP(A34,Tabella118[[#All],[composizione concatenata]:[Euro/Mq]],2,FALSE)</f>
        <v/>
      </c>
      <c r="G34" s="797">
        <f>((C34/1000)*(D34/1000))*B34</f>
        <v/>
      </c>
      <c r="H34" s="517">
        <f>IF(A34="", 0, B34*C34/1000*D34/1000*F34)</f>
        <v/>
      </c>
      <c r="I34" s="194" t="n"/>
      <c r="J34" s="185" t="n"/>
      <c r="K34" s="185" t="n"/>
      <c r="L34" s="181" t="n"/>
      <c r="M34" s="181" t="n"/>
      <c r="N34" s="798">
        <f>((L34/1000)*(M34/1000))*B34</f>
        <v/>
      </c>
      <c r="O34" s="182">
        <f>IF(AND(C34=L34,D34=M34),0,1)</f>
        <v/>
      </c>
      <c r="P34" s="181">
        <f t="array" ref="P34">IF(L34=0,"",IFERROR(INDEX(INDEX(Ondulati_Magazzino[],,1),MATCH(MIN(IF((L34&lt;=INDEX(Ondulati_Magazzino[],,1)+R34)*(M34&lt;=INDEX(Ondulati_Magazzino[],,2)+S34),INDEX(Ondulati_Magazzino[],,3))),IF((L34&lt;=INDEX(Ondulati_Magazzino[],,1)+R34)*(M34&lt;=INDEX(Ondulati_Magazzino[],,2)+S34),INDEX(Ondulati_Magazzino[],,3)),0)),"FUORI"))</f>
        <v/>
      </c>
      <c r="Q34" s="181">
        <f t="array" ref="Q34">IF(M34=0,"",IFERROR(INDEX(INDEX(Ondulati_Magazzino[],,2),MATCH(MIN(IF((L34&lt;=INDEX(Ondulati_Magazzino[],,1)+R34)*(M34&lt;=INDEX(Ondulati_Magazzino[],,2)+S34),INDEX(Ondulati_Magazzino[],,3))),IF((L34&lt;=INDEX(Ondulati_Magazzino[],,1)+R34)*(M34&lt;=INDEX(Ondulati_Magazzino[],,2)+S34),INDEX(Ondulati_Magazzino[],,3)),0)),"FUORI"))</f>
        <v/>
      </c>
      <c r="S34" s="181" t="n">
        <v>2</v>
      </c>
      <c r="T34" s="181" t="n">
        <v>2</v>
      </c>
    </row>
    <row r="35" hidden="1" outlineLevel="1" ht="15" customHeight="1">
      <c r="A35" s="153" t="n"/>
      <c r="B35" s="513">
        <f>_xlfn.CEILING.MATH(IF(J35="", 0, IF((((($G$6/J35)*K35)*1.03)-((($G$6/J35)*K35)))&gt;99, ((($G$6/J35)*K35)*1.03), (($G$6/J35)*K35)+100)))</f>
        <v/>
      </c>
      <c r="C35" s="39">
        <f>IF(+B35&gt;0,IF(+N35&gt;250,+L35,+P35),0)</f>
        <v/>
      </c>
      <c r="D35" s="39">
        <f>IF(+B35&gt;0,MAX(IF(+B35&gt;0,IF(+N35&gt;250,+M35,+Q35),0),600),0)</f>
        <v/>
      </c>
      <c r="E35" s="138" t="n"/>
      <c r="F35" s="796">
        <f>VLOOKUP(A35,Tabella118[[#All],[composizione concatenata]:[Euro/Mq]],2,FALSE)</f>
        <v/>
      </c>
      <c r="G35" s="797">
        <f>((C35/1000)*(D35/1000))*B35</f>
        <v/>
      </c>
      <c r="H35" s="517">
        <f>IF(A35="", 0, B35*C35/1000*D35/1000*F35)</f>
        <v/>
      </c>
      <c r="I35" s="194" t="n"/>
      <c r="J35" s="185" t="n"/>
      <c r="K35" s="185" t="n"/>
      <c r="L35" s="181" t="n"/>
      <c r="M35" s="181" t="n"/>
      <c r="N35" s="798">
        <f>((L35/1000)*(M35/1000))*B35</f>
        <v/>
      </c>
      <c r="O35" s="182">
        <f>IF(AND(C35=L35,D35=M35),0,1)</f>
        <v/>
      </c>
      <c r="P35" s="181">
        <f t="array" ref="P35">IF(L35=0,"",IFERROR(INDEX(INDEX(Ondulati_Magazzino[],,1),MATCH(MIN(IF((L35&lt;=INDEX(Ondulati_Magazzino[],,1)+R35)*(M35&lt;=INDEX(Ondulati_Magazzino[],,2)+S35),INDEX(Ondulati_Magazzino[],,3))),IF((L35&lt;=INDEX(Ondulati_Magazzino[],,1)+R35)*(M35&lt;=INDEX(Ondulati_Magazzino[],,2)+S35),INDEX(Ondulati_Magazzino[],,3)),0)),"FUORI"))</f>
        <v/>
      </c>
      <c r="Q35" s="181">
        <f t="array" ref="Q35">IF(M35=0,"",IFERROR(INDEX(INDEX(Ondulati_Magazzino[],,2),MATCH(MIN(IF((L35&lt;=INDEX(Ondulati_Magazzino[],,1)+R35)*(M35&lt;=INDEX(Ondulati_Magazzino[],,2)+S35),INDEX(Ondulati_Magazzino[],,3))),IF((L35&lt;=INDEX(Ondulati_Magazzino[],,1)+R35)*(M35&lt;=INDEX(Ondulati_Magazzino[],,2)+S35),INDEX(Ondulati_Magazzino[],,3)),0)),"FUORI"))</f>
        <v/>
      </c>
      <c r="S35" s="181" t="n">
        <v>2</v>
      </c>
      <c r="T35" s="181" t="n">
        <v>2</v>
      </c>
    </row>
    <row r="36" hidden="1" outlineLevel="1" ht="15" customHeight="1">
      <c r="A36" s="153" t="n"/>
      <c r="B36" s="513">
        <f>_xlfn.CEILING.MATH(IF(J36="", 0, IF((((($G$6/J36)*K36)*1.03)-((($G$6/J36)*K36)))&gt;99, ((($G$6/J36)*K36)*1.03), (($G$6/J36)*K36)+100)))</f>
        <v/>
      </c>
      <c r="C36" s="39">
        <f>IF(+B36&gt;0,IF(+N36&gt;250,+L36,+P36),0)</f>
        <v/>
      </c>
      <c r="D36" s="39">
        <f>IF(+B36&gt;0,MAX(IF(+B36&gt;0,IF(+N36&gt;250,+M36,+Q36),0),600),0)</f>
        <v/>
      </c>
      <c r="E36" s="138" t="n"/>
      <c r="F36" s="796">
        <f>VLOOKUP(A36,Tabella118[[#All],[composizione concatenata]:[Euro/Mq]],2,FALSE)</f>
        <v/>
      </c>
      <c r="G36" s="797">
        <f>((C36/1000)*(D36/1000))*B36</f>
        <v/>
      </c>
      <c r="H36" s="517">
        <f>IF(A36="", 0, B36*C36/1000*D36/1000*F36)</f>
        <v/>
      </c>
      <c r="I36" s="194" t="n"/>
      <c r="J36" s="185" t="n"/>
      <c r="K36" s="185" t="n"/>
      <c r="L36" s="181" t="n"/>
      <c r="M36" s="181" t="n"/>
      <c r="N36" s="798">
        <f>((L36/1000)*(M36/1000))*B36</f>
        <v/>
      </c>
      <c r="O36" s="182">
        <f>IF(AND(C36=L36,D36=M36),0,1)</f>
        <v/>
      </c>
      <c r="P36" s="181">
        <f t="array" ref="P36">IF(L36=0,"",IFERROR(INDEX(INDEX(Ondulati_Magazzino[],,1),MATCH(MIN(IF((L36&lt;=INDEX(Ondulati_Magazzino[],,1)+R36)*(M36&lt;=INDEX(Ondulati_Magazzino[],,2)+S36),INDEX(Ondulati_Magazzino[],,3))),IF((L36&lt;=INDEX(Ondulati_Magazzino[],,1)+R36)*(M36&lt;=INDEX(Ondulati_Magazzino[],,2)+S36),INDEX(Ondulati_Magazzino[],,3)),0)),"FUORI"))</f>
        <v/>
      </c>
      <c r="Q36" s="181">
        <f t="array" ref="Q36">IF(M36=0,"",IFERROR(INDEX(INDEX(Ondulati_Magazzino[],,2),MATCH(MIN(IF((L36&lt;=INDEX(Ondulati_Magazzino[],,1)+R36)*(M36&lt;=INDEX(Ondulati_Magazzino[],,2)+S36),INDEX(Ondulati_Magazzino[],,3))),IF((L36&lt;=INDEX(Ondulati_Magazzino[],,1)+R36)*(M36&lt;=INDEX(Ondulati_Magazzino[],,2)+S36),INDEX(Ondulati_Magazzino[],,3)),0)),"FUORI"))</f>
        <v/>
      </c>
      <c r="S36" s="181" t="n">
        <v>2</v>
      </c>
      <c r="T36" s="181" t="n">
        <v>2</v>
      </c>
    </row>
    <row r="37" hidden="1" outlineLevel="1" ht="15" customHeight="1">
      <c r="A37" s="153" t="n"/>
      <c r="B37" s="513">
        <f>_xlfn.CEILING.MATH(IF(J37="", 0, IF((((($G$6/J37)*K37)*1.03)-((($G$6/J37)*K37)))&gt;99, ((($G$6/J37)*K37)*1.03), (($G$6/J37)*K37)+100)))</f>
        <v/>
      </c>
      <c r="C37" s="39">
        <f>IF(+B37&gt;0,IF(+N37&gt;250,+L37,+P37),0)</f>
        <v/>
      </c>
      <c r="D37" s="39">
        <f>IF(+B37&gt;0,MAX(IF(+B37&gt;0,IF(+N37&gt;250,+M37,+Q37),0),600),0)</f>
        <v/>
      </c>
      <c r="E37" s="138" t="n"/>
      <c r="F37" s="796">
        <f>VLOOKUP(A37,Tabella118[[#All],[composizione concatenata]:[Euro/Mq]],2,FALSE)</f>
        <v/>
      </c>
      <c r="G37" s="797">
        <f>((C37/1000)*(D37/1000))*B37</f>
        <v/>
      </c>
      <c r="H37" s="517">
        <f>IF(A37="", 0, B37*C37/1000*D37/1000*F37)</f>
        <v/>
      </c>
      <c r="I37" s="194" t="n"/>
      <c r="J37" s="185" t="n"/>
      <c r="K37" s="185" t="n"/>
      <c r="L37" s="181" t="n"/>
      <c r="M37" s="181" t="n"/>
      <c r="N37" s="798">
        <f>((L37/1000)*(M37/1000))*B37</f>
        <v/>
      </c>
      <c r="O37" s="182">
        <f>IF(AND(C37=L37,D37=M37),0,1)</f>
        <v/>
      </c>
      <c r="P37" s="181">
        <f t="array" ref="P37">IF(L37=0,"",IFERROR(INDEX(INDEX(Ondulati_Magazzino[],,1),MATCH(MIN(IF((L37&lt;=INDEX(Ondulati_Magazzino[],,1)+R37)*(M37&lt;=INDEX(Ondulati_Magazzino[],,2)+S37),INDEX(Ondulati_Magazzino[],,3))),IF((L37&lt;=INDEX(Ondulati_Magazzino[],,1)+R37)*(M37&lt;=INDEX(Ondulati_Magazzino[],,2)+S37),INDEX(Ondulati_Magazzino[],,3)),0)),"FUORI"))</f>
        <v/>
      </c>
      <c r="Q37" s="181">
        <f t="array" ref="Q37">IF(M37=0,"",IFERROR(INDEX(INDEX(Ondulati_Magazzino[],,2),MATCH(MIN(IF((L37&lt;=INDEX(Ondulati_Magazzino[],,1)+R37)*(M37&lt;=INDEX(Ondulati_Magazzino[],,2)+S37),INDEX(Ondulati_Magazzino[],,3))),IF((L37&lt;=INDEX(Ondulati_Magazzino[],,1)+R37)*(M37&lt;=INDEX(Ondulati_Magazzino[],,2)+S37),INDEX(Ondulati_Magazzino[],,3)),0)),"FUORI"))</f>
        <v/>
      </c>
      <c r="S37" s="181" t="n">
        <v>2</v>
      </c>
      <c r="T37" s="181" t="n">
        <v>2</v>
      </c>
    </row>
    <row r="38" ht="15" customHeight="1">
      <c r="A38" s="153" t="inlineStr">
        <is>
          <t>B/Kraft FSC 190 g</t>
        </is>
      </c>
      <c r="B38" s="513">
        <f>_xlfn.CEILING.MATH(IF(J38=0, 0,(IF((((($G$6/J38)*K38)*1.03)-((($G$6/J38)*K38)))&gt;99, ((($G$6/J38)*K38)*1.03), (($G$6/J38)*K38)+100))+IFERROR(((VLOOKUP($A66,Table14[#All],5,FALSE)+100)*E66),0)))</f>
        <v/>
      </c>
      <c r="C38" s="290">
        <f>IF(+B38&gt;0,IF(+N38&gt;VLOOKUP(A38,'LISTINO CARTONCINI'!$A$1:$E$31,5,FALSE),+L38,+P38),0)</f>
        <v/>
      </c>
      <c r="D38" s="290">
        <f>IF(+B38&gt;0,IF(+N38&gt;VLOOKUP(A38,'LISTINO CARTONCINI'!$A$1:$E$31,5,FALSE),+M38,+Q38),0)</f>
        <v/>
      </c>
      <c r="E38" s="38" t="n">
        <v>190</v>
      </c>
      <c r="F38" s="799">
        <f>IF(A38="",0,VLOOKUP(A38,'LISTINO CARTONCINI'!$A$1:$E$31,IF(+G38&lt;2500,4,IF(AND(+G38&gt;=2500,+G38&lt;5000),3,2)),FALSE))</f>
        <v/>
      </c>
      <c r="G38" s="800">
        <f>B38*C38/1000*D38/1000*E38/1000</f>
        <v/>
      </c>
      <c r="H38" s="517">
        <f>B38*C38/1000*D38/1000*E38/1000*F38</f>
        <v/>
      </c>
      <c r="I38" s="194">
        <f>IF(+A38="","",+I26)</f>
        <v/>
      </c>
      <c r="J38" s="185">
        <f>IF(+A38="",0,+J26)</f>
        <v/>
      </c>
      <c r="K38" s="185">
        <f>IF(+A38="",0,+K26)</f>
        <v/>
      </c>
      <c r="L38" s="181">
        <f>IF(+A38="",0,+L26+7)</f>
        <v/>
      </c>
      <c r="M38" s="181">
        <f>IF(+A38="",0,+M26+7)</f>
        <v/>
      </c>
      <c r="N38" s="798">
        <f>((L38/1000)*(M38/1000))*(E38/1000)*B38</f>
        <v/>
      </c>
      <c r="O38" s="182">
        <f>IF(AND(C38=L38,D38=M38),0,1)</f>
        <v/>
      </c>
      <c r="P38" s="181">
        <f t="array" ref="P38">IF(OR(L38=0,M38=0),"",IFERROR(INDEX(INDEX(Cartoncino_Magazzino[#Data],,1),MATCH(MIN(IF((L38&lt;=INDEX(Cartoncino_Magazzino[#Data],,1)+R38)*(M38&lt;=INDEX(Cartoncino_Magazzino[#Data],,2)+S38),INDEX(Cartoncino_Magazzino[#Data],,3))),IF((L38&lt;=INDEX(Cartoncino_Magazzino[#Data],,1)+R38)*(M38&lt;=INDEX(Cartoncino_Magazzino[#Data],,2)+S38),INDEX(Cartoncino_Magazzino[#Data],,3)),0)),"FUORI"))</f>
        <v/>
      </c>
      <c r="Q38" s="181">
        <f t="array" ref="Q38">IF(OR(L38=0,M38=0),"",IFERROR(INDEX(INDEX(Cartoncino_Magazzino[#Data],,2),MATCH(MIN(IF((L38&lt;=INDEX(Cartoncino_Magazzino[#Data],,1)+R38)*(M38&lt;=INDEX(Cartoncino_Magazzino[#Data],,2)+S38),INDEX(Cartoncino_Magazzino[#Data],,3))),IF((L38&lt;=INDEX(Cartoncino_Magazzino[#Data],,1)+R38)*(M38&lt;=INDEX(Cartoncino_Magazzino[#Data],,2)+S38),INDEX(Cartoncino_Magazzino[#Data],,3)),0)),"FUORI"))</f>
        <v/>
      </c>
      <c r="S38" s="181" t="n">
        <v>2</v>
      </c>
      <c r="T38" s="181" t="n">
        <v>2</v>
      </c>
    </row>
    <row r="39" ht="15" customHeight="1">
      <c r="A39" s="153" t="inlineStr">
        <is>
          <t>B/Kraft FSC 190 g</t>
        </is>
      </c>
      <c r="B39" s="513">
        <f>_xlfn.CEILING.MATH(IF(J39=0, 0,(IF((((($G$6/J39)*K39)*1.03)-((($G$6/J39)*K39)))&gt;99, ((($G$6/J39)*K39)*1.03), (($G$6/J39)*K39)+100))+IFERROR(((VLOOKUP($A67,Table14[#All],5,FALSE)+100)*E67),0)))</f>
        <v/>
      </c>
      <c r="C39" s="290">
        <f>IF(+B39&gt;0,IF(+N39&gt;VLOOKUP(A39,'LISTINO CARTONCINI'!$A$1:$E$31,5,FALSE),+L39,+P39),0)</f>
        <v/>
      </c>
      <c r="D39" s="290">
        <f>IF(+B39&gt;0,IF(+N39&gt;VLOOKUP(A39,'LISTINO CARTONCINI'!$A$1:$E$31,5,FALSE),+M39,+Q39),0)</f>
        <v/>
      </c>
      <c r="E39" s="38" t="n">
        <v>190</v>
      </c>
      <c r="F39" s="799">
        <f>IF(A39="",0,VLOOKUP(A39,'LISTINO CARTONCINI'!$A$1:$E$31,IF(+G39&lt;2500,4,IF(AND(+G39&gt;=2500,+G39&lt;5000),3,2)),FALSE))</f>
        <v/>
      </c>
      <c r="G39" s="800">
        <f>B39*C39/1000*D39/1000*E39/1000</f>
        <v/>
      </c>
      <c r="H39" s="517">
        <f>B39*C39/1000*D39/1000*E39/1000*F39</f>
        <v/>
      </c>
      <c r="I39" s="194">
        <f>IF(+A39="","",+I27)</f>
        <v/>
      </c>
      <c r="J39" s="185">
        <f>IF(+A39="",0,+J27)</f>
        <v/>
      </c>
      <c r="K39" s="185">
        <f>IF(+A39="",0,+K27)</f>
        <v/>
      </c>
      <c r="L39" s="181">
        <f>IF(+A39="",0,+L27+7)</f>
        <v/>
      </c>
      <c r="M39" s="181">
        <f>IF(+A39="",0,+M27+7)</f>
        <v/>
      </c>
      <c r="N39" s="798">
        <f>((L39/1000)*(M39/1000))*(E39/1000)*B39</f>
        <v/>
      </c>
      <c r="O39" s="182">
        <f>IF(AND(C39=L39,D39=M39),0,1)</f>
        <v/>
      </c>
      <c r="P39" s="181">
        <f t="array" ref="P39">IF(OR(L39=0,M39=0),"",IFERROR(INDEX(INDEX(Cartoncino_Magazzino[#Data],,1),MATCH(MIN(IF((L39&lt;=INDEX(Cartoncino_Magazzino[#Data],,1)+R39)*(M39&lt;=INDEX(Cartoncino_Magazzino[#Data],,2)+S39),INDEX(Cartoncino_Magazzino[#Data],,3))),IF((L39&lt;=INDEX(Cartoncino_Magazzino[#Data],,1)+R39)*(M39&lt;=INDEX(Cartoncino_Magazzino[#Data],,2)+S39),INDEX(Cartoncino_Magazzino[#Data],,3)),0)),"FUORI"))</f>
        <v/>
      </c>
      <c r="Q39" s="181">
        <f t="array" ref="Q39">IF(OR(L39=0,M39=0),"",IFERROR(INDEX(INDEX(Cartoncino_Magazzino[#Data],,2),MATCH(MIN(IF((L39&lt;=INDEX(Cartoncino_Magazzino[#Data],,1)+R39)*(M39&lt;=INDEX(Cartoncino_Magazzino[#Data],,2)+S39),INDEX(Cartoncino_Magazzino[#Data],,3))),IF((L39&lt;=INDEX(Cartoncino_Magazzino[#Data],,1)+R39)*(M39&lt;=INDEX(Cartoncino_Magazzino[#Data],,2)+S39),INDEX(Cartoncino_Magazzino[#Data],,3)),0)),"FUORI"))</f>
        <v/>
      </c>
      <c r="S39" s="181" t="n">
        <v>2</v>
      </c>
      <c r="T39" s="181" t="n">
        <v>2</v>
      </c>
    </row>
    <row r="40" ht="15" customHeight="1">
      <c r="A40" s="153" t="inlineStr">
        <is>
          <t>B/Kraft FSC 190 g</t>
        </is>
      </c>
      <c r="B40" s="513">
        <f>_xlfn.CEILING.MATH(IF(J40=0, 0,(IF((((($G$6/J40)*K40)*1.03)-((($G$6/J40)*K40)))&gt;99, ((($G$6/J40)*K40)*1.03), (($G$6/J40)*K40)+100))+IFERROR(((VLOOKUP($A68,Table14[#All],5,FALSE)+100)*E68),0)))</f>
        <v/>
      </c>
      <c r="C40" s="290">
        <f>IF(+B40&gt;0,IF(+N40&gt;VLOOKUP(A40,'LISTINO CARTONCINI'!$A$1:$E$31,5,FALSE),+L40,+P40),0)</f>
        <v/>
      </c>
      <c r="D40" s="290">
        <f>IF(+B40&gt;0,IF(+N40&gt;VLOOKUP(A40,'LISTINO CARTONCINI'!$A$1:$E$31,5,FALSE),+M40,+Q40),0)</f>
        <v/>
      </c>
      <c r="E40" s="38" t="n">
        <v>190</v>
      </c>
      <c r="F40" s="799">
        <f>IF(A40="",0,VLOOKUP(A40,'LISTINO CARTONCINI'!$A$1:$E$31,IF(+G40&lt;2500,4,IF(AND(+G40&gt;=2500,+G40&lt;5000),3,2)),FALSE))</f>
        <v/>
      </c>
      <c r="G40" s="800">
        <f>B40*C40/1000*D40/1000*E40/1000</f>
        <v/>
      </c>
      <c r="H40" s="517">
        <f>B40*C40/1000*D40/1000*E40/1000*F40</f>
        <v/>
      </c>
      <c r="I40" s="194">
        <f>IF(+A40="","",+I28)</f>
        <v/>
      </c>
      <c r="J40" s="185">
        <f>IF(+A40="",0,+J28)</f>
        <v/>
      </c>
      <c r="K40" s="185">
        <f>IF(+A40="",0,+K28)</f>
        <v/>
      </c>
      <c r="L40" s="181">
        <f>IF(+A40="",0,+L28+7)</f>
        <v/>
      </c>
      <c r="M40" s="181">
        <f>IF(+A40="",0,+M28+7)</f>
        <v/>
      </c>
      <c r="N40" s="798">
        <f>((L40/1000)*(M40/1000))*(E40/1000)*B40</f>
        <v/>
      </c>
      <c r="O40" s="182">
        <f>IF(AND(C40=L40,D40=M40),0,1)</f>
        <v/>
      </c>
      <c r="P40" s="181">
        <f t="array" ref="P40">IF(OR(L40=0,M40=0),"",IFERROR(INDEX(INDEX(Cartoncino_Magazzino[#Data],,1),MATCH(MIN(IF((L40&lt;=INDEX(Cartoncino_Magazzino[#Data],,1)+R40)*(M40&lt;=INDEX(Cartoncino_Magazzino[#Data],,2)+S40),INDEX(Cartoncino_Magazzino[#Data],,3))),IF((L40&lt;=INDEX(Cartoncino_Magazzino[#Data],,1)+R40)*(M40&lt;=INDEX(Cartoncino_Magazzino[#Data],,2)+S40),INDEX(Cartoncino_Magazzino[#Data],,3)),0)),"FUORI"))</f>
        <v/>
      </c>
      <c r="Q40" s="181">
        <f t="array" ref="Q40">IF(OR(L40=0,M40=0),"",IFERROR(INDEX(INDEX(Cartoncino_Magazzino[#Data],,2),MATCH(MIN(IF((L40&lt;=INDEX(Cartoncino_Magazzino[#Data],,1)+R40)*(M40&lt;=INDEX(Cartoncino_Magazzino[#Data],,2)+S40),INDEX(Cartoncino_Magazzino[#Data],,3))),IF((L40&lt;=INDEX(Cartoncino_Magazzino[#Data],,1)+R40)*(M40&lt;=INDEX(Cartoncino_Magazzino[#Data],,2)+S40),INDEX(Cartoncino_Magazzino[#Data],,3)),0)),"FUORI"))</f>
        <v/>
      </c>
      <c r="S40" s="181" t="n">
        <v>2</v>
      </c>
      <c r="T40" s="181" t="n">
        <v>2</v>
      </c>
    </row>
    <row r="41" ht="15" customHeight="1">
      <c r="A41" s="153" t="inlineStr">
        <is>
          <t>B/Kraft FSC 190 g</t>
        </is>
      </c>
      <c r="B41" s="513">
        <f>_xlfn.CEILING.MATH(IF(J41=0, 0,(IF((((($G$6/J41)*K41)*1.03)-((($G$6/J41)*K41)))&gt;99, ((($G$6/J41)*K41)*1.03), (($G$6/J41)*K41)+100))+IFERROR(((VLOOKUP($A69,Table14[#All],5,FALSE)+100)*E69),0)))</f>
        <v/>
      </c>
      <c r="C41" s="290">
        <f>IF(+B41&gt;0,IF(+N41&gt;VLOOKUP(A41,'LISTINO CARTONCINI'!$A$1:$E$31,5,FALSE),+L41,+P41),0)</f>
        <v/>
      </c>
      <c r="D41" s="290">
        <f>IF(+B41&gt;0,IF(+N41&gt;VLOOKUP(A41,'LISTINO CARTONCINI'!$A$1:$E$31,5,FALSE),+M41,+Q41),0)</f>
        <v/>
      </c>
      <c r="E41" s="38" t="n">
        <v>190</v>
      </c>
      <c r="F41" s="799">
        <f>IF(A41="",0,VLOOKUP(A41,'LISTINO CARTONCINI'!$A$1:$E$31,IF(+G41&lt;2500,4,IF(AND(+G41&gt;=2500,+G41&lt;5000),3,2)),FALSE))</f>
        <v/>
      </c>
      <c r="G41" s="800">
        <f>B41*C41/1000*D41/1000*E41/1000</f>
        <v/>
      </c>
      <c r="H41" s="517">
        <f>B41*C41/1000*D41/1000*E41/1000*F41</f>
        <v/>
      </c>
      <c r="I41" s="194">
        <f>IF(+A41="","",+I29)</f>
        <v/>
      </c>
      <c r="J41" s="185">
        <f>IF(+A41="",0,+J29)</f>
        <v/>
      </c>
      <c r="K41" s="185">
        <f>IF(+A41="",0,+K29)</f>
        <v/>
      </c>
      <c r="L41" s="181">
        <f>IF(+A41="",0,+L29+7)</f>
        <v/>
      </c>
      <c r="M41" s="181">
        <f>IF(+A41="",0,+M29+7)</f>
        <v/>
      </c>
      <c r="N41" s="798">
        <f>((L41/1000)*(M41/1000))*(E41/1000)*B41</f>
        <v/>
      </c>
      <c r="O41" s="182">
        <f>IF(AND(C41=L41,D41=M41),0,1)</f>
        <v/>
      </c>
      <c r="P41" s="181">
        <f t="array" ref="P41">IF(OR(L41=0,M41=0),"",IFERROR(INDEX(INDEX(Cartoncino_Magazzino[#Data],,1),MATCH(MIN(IF((L41&lt;=INDEX(Cartoncino_Magazzino[#Data],,1)+R41)*(M41&lt;=INDEX(Cartoncino_Magazzino[#Data],,2)+S41),INDEX(Cartoncino_Magazzino[#Data],,3))),IF((L41&lt;=INDEX(Cartoncino_Magazzino[#Data],,1)+R41)*(M41&lt;=INDEX(Cartoncino_Magazzino[#Data],,2)+S41),INDEX(Cartoncino_Magazzino[#Data],,3)),0)),"FUORI"))</f>
        <v/>
      </c>
      <c r="Q41" s="181">
        <f t="array" ref="Q41">IF(OR(L41=0,M41=0),"",IFERROR(INDEX(INDEX(Cartoncino_Magazzino[#Data],,2),MATCH(MIN(IF((L41&lt;=INDEX(Cartoncino_Magazzino[#Data],,1)+R41)*(M41&lt;=INDEX(Cartoncino_Magazzino[#Data],,2)+S41),INDEX(Cartoncino_Magazzino[#Data],,3))),IF((L41&lt;=INDEX(Cartoncino_Magazzino[#Data],,1)+R41)*(M41&lt;=INDEX(Cartoncino_Magazzino[#Data],,2)+S41),INDEX(Cartoncino_Magazzino[#Data],,3)),0)),"FUORI"))</f>
        <v/>
      </c>
      <c r="S41" s="181" t="n">
        <v>2</v>
      </c>
      <c r="T41" s="181" t="n">
        <v>2</v>
      </c>
    </row>
    <row r="42" outlineLevel="1" ht="15" customHeight="1">
      <c r="A42" s="153" t="inlineStr">
        <is>
          <t>B/Kraft FSC 190 g</t>
        </is>
      </c>
      <c r="B42" s="513">
        <f>_xlfn.CEILING.MATH(IF(J42=0, 0,(IF((((($G$6/J42)*K42)*1.03)-((($G$6/J42)*K42)))&gt;99, ((($G$6/J42)*K42)*1.03), (($G$6/J42)*K42)+100))+IFERROR(((VLOOKUP($A70,Table14[#All],5,FALSE)+100)*E70),0)))</f>
        <v/>
      </c>
      <c r="C42" s="290">
        <f>IF(+B42&gt;0,IF(+N42&gt;VLOOKUP(A42,'LISTINO CARTONCINI'!$A$1:$E$31,5,FALSE),+L42,+P42),0)</f>
        <v/>
      </c>
      <c r="D42" s="290">
        <f>IF(+B42&gt;0,IF(+N42&gt;VLOOKUP(A42,'LISTINO CARTONCINI'!$A$1:$E$31,5,FALSE),+M42,+Q42),0)</f>
        <v/>
      </c>
      <c r="E42" s="38" t="n">
        <v>190</v>
      </c>
      <c r="F42" s="799">
        <f>IF(A42="",0,VLOOKUP(A42,'LISTINO CARTONCINI'!$A$1:$E$31,IF(+G42&lt;2500,4,IF(AND(+G42&gt;=2500,+G42&lt;5000),3,2)),FALSE))</f>
        <v/>
      </c>
      <c r="G42" s="800">
        <f>B42*C42/1000*D42/1000*E42/1000</f>
        <v/>
      </c>
      <c r="H42" s="517">
        <f>B42*C42/1000*D42/1000*E42/1000*F42</f>
        <v/>
      </c>
      <c r="I42" s="194">
        <f>IF(+A42="","",+I30)</f>
        <v/>
      </c>
      <c r="J42" s="185">
        <f>IF(+A42="",0,+J30)</f>
        <v/>
      </c>
      <c r="K42" s="185">
        <f>IF(+A42="",0,+K30)</f>
        <v/>
      </c>
      <c r="L42" s="181">
        <f>IF(+A42="",0,+L30+7)</f>
        <v/>
      </c>
      <c r="M42" s="181">
        <f>IF(+A42="",0,+M30+7)</f>
        <v/>
      </c>
      <c r="N42" s="798">
        <f>((L42/1000)*(M42/1000))*(E42/1000)*B42</f>
        <v/>
      </c>
      <c r="O42" s="182">
        <f>IF(AND(C42=L42,D42=M42),0,1)</f>
        <v/>
      </c>
      <c r="P42" s="181">
        <f t="array" ref="P42">IF(OR(L42=0,M42=0),"",IFERROR(INDEX(INDEX(Cartoncino_Magazzino[#Data],,1),MATCH(MIN(IF((L42&lt;=INDEX(Cartoncino_Magazzino[#Data],,1)+R42)*(M42&lt;=INDEX(Cartoncino_Magazzino[#Data],,2)+S42),INDEX(Cartoncino_Magazzino[#Data],,3))),IF((L42&lt;=INDEX(Cartoncino_Magazzino[#Data],,1)+R42)*(M42&lt;=INDEX(Cartoncino_Magazzino[#Data],,2)+S42),INDEX(Cartoncino_Magazzino[#Data],,3)),0)),"FUORI"))</f>
        <v/>
      </c>
      <c r="Q42" s="181">
        <f t="array" ref="Q42">IF(OR(L42=0,M42=0),"",IFERROR(INDEX(INDEX(Cartoncino_Magazzino[#Data],,2),MATCH(MIN(IF((L42&lt;=INDEX(Cartoncino_Magazzino[#Data],,1)+R42)*(M42&lt;=INDEX(Cartoncino_Magazzino[#Data],,2)+S42),INDEX(Cartoncino_Magazzino[#Data],,3))),IF((L42&lt;=INDEX(Cartoncino_Magazzino[#Data],,1)+R42)*(M42&lt;=INDEX(Cartoncino_Magazzino[#Data],,2)+S42),INDEX(Cartoncino_Magazzino[#Data],,3)),0)),"FUORI"))</f>
        <v/>
      </c>
      <c r="S42" s="181" t="n">
        <v>2</v>
      </c>
      <c r="T42" s="181" t="n">
        <v>2</v>
      </c>
    </row>
    <row r="43" outlineLevel="1" ht="15" customHeight="1">
      <c r="A43" s="153" t="inlineStr">
        <is>
          <t>B/Kraft FSC 190 g</t>
        </is>
      </c>
      <c r="B43" s="513">
        <f>_xlfn.CEILING.MATH(IF(J43=0, 0,(IF((((($G$6/J43)*K43)*1.03)-((($G$6/J43)*K43)))&gt;99, ((($G$6/J43)*K43)*1.03), (($G$6/J43)*K43)+100))+IFERROR(((VLOOKUP($A71,Table14[#All],5,FALSE)+100)*E71),0)))</f>
        <v/>
      </c>
      <c r="C43" s="290">
        <f>IF(+B43&gt;0,IF(+N43&gt;VLOOKUP(A43,'LISTINO CARTONCINI'!$A$1:$E$31,5,FALSE),+L43,+P43),0)</f>
        <v/>
      </c>
      <c r="D43" s="290">
        <f>IF(+B43&gt;0,IF(+N43&gt;VLOOKUP(A43,'LISTINO CARTONCINI'!$A$1:$E$31,5,FALSE),+M43,+Q43),0)</f>
        <v/>
      </c>
      <c r="E43" s="38" t="n">
        <v>190</v>
      </c>
      <c r="F43" s="799">
        <f>IF(A43="",0,VLOOKUP(A43,'LISTINO CARTONCINI'!$A$1:$E$31,IF(+G43&lt;2500,4,IF(AND(+G43&gt;=2500,+G43&lt;5000),3,2)),FALSE))</f>
        <v/>
      </c>
      <c r="G43" s="800">
        <f>B43*C43/1000*D43/1000*E43/1000</f>
        <v/>
      </c>
      <c r="H43" s="517">
        <f>B43*C43/1000*D43/1000*E43/1000*F43</f>
        <v/>
      </c>
      <c r="I43" s="194">
        <f>IF(+A43="","",+I31)</f>
        <v/>
      </c>
      <c r="J43" s="185">
        <f>IF(+A43="",0,+J31)</f>
        <v/>
      </c>
      <c r="K43" s="185">
        <f>IF(+A43="",0,+K31)</f>
        <v/>
      </c>
      <c r="L43" s="181">
        <f>IF(+A43="",0,+L31+7)</f>
        <v/>
      </c>
      <c r="M43" s="181">
        <f>IF(+A43="",0,+M31+7)</f>
        <v/>
      </c>
      <c r="N43" s="798">
        <f>((L43/1000)*(M43/1000))*(E43/1000)*B43</f>
        <v/>
      </c>
      <c r="O43" s="182">
        <f>IF(AND(C43=L43,D43=M43),0,1)</f>
        <v/>
      </c>
      <c r="P43" s="181">
        <f t="array" ref="P43">IF(OR(L43=0,M43=0),"",IFERROR(INDEX(INDEX(Cartoncino_Magazzino[#Data],,1),MATCH(MIN(IF((L43&lt;=INDEX(Cartoncino_Magazzino[#Data],,1)+R43)*(M43&lt;=INDEX(Cartoncino_Magazzino[#Data],,2)+S43),INDEX(Cartoncino_Magazzino[#Data],,3))),IF((L43&lt;=INDEX(Cartoncino_Magazzino[#Data],,1)+R43)*(M43&lt;=INDEX(Cartoncino_Magazzino[#Data],,2)+S43),INDEX(Cartoncino_Magazzino[#Data],,3)),0)),"FUORI"))</f>
        <v/>
      </c>
      <c r="Q43" s="181">
        <f t="array" ref="Q43">IF(OR(L43=0,M43=0),"",IFERROR(INDEX(INDEX(Cartoncino_Magazzino[#Data],,2),MATCH(MIN(IF((L43&lt;=INDEX(Cartoncino_Magazzino[#Data],,1)+R43)*(M43&lt;=INDEX(Cartoncino_Magazzino[#Data],,2)+S43),INDEX(Cartoncino_Magazzino[#Data],,3))),IF((L43&lt;=INDEX(Cartoncino_Magazzino[#Data],,1)+R43)*(M43&lt;=INDEX(Cartoncino_Magazzino[#Data],,2)+S43),INDEX(Cartoncino_Magazzino[#Data],,3)),0)),"FUORI"))</f>
        <v/>
      </c>
      <c r="S43" s="181" t="n">
        <v>2</v>
      </c>
      <c r="T43" s="181" t="n">
        <v>2</v>
      </c>
    </row>
    <row r="44" hidden="1" outlineLevel="1" ht="15" customHeight="1">
      <c r="A44" s="153" t="n"/>
      <c r="B44" s="513">
        <f>_xlfn.CEILING.MATH(IF(J44=0, 0,(IF((((($G$6/J44)*K44)*1.03)-((($G$6/J44)*K44)))&gt;99, ((($G$6/J44)*K44)*1.03), (($G$6/J44)*K44)+100))+IFERROR(((VLOOKUP($A72,Table14[#All],5,FALSE)+100)*E72),0)))</f>
        <v/>
      </c>
      <c r="C44" s="290">
        <f>IF(+B44&gt;0,IF(+N44&gt;VLOOKUP(A44,'LISTINO CARTONCINI'!$A$1:$E$31,5,FALSE),+L44,+P44),0)</f>
        <v/>
      </c>
      <c r="D44" s="290">
        <f>IF(+B44&gt;0,IF(+N44&gt;VLOOKUP(A44,'LISTINO CARTONCINI'!$A$1:$E$31,5,FALSE),+M44,+Q44),0)</f>
        <v/>
      </c>
      <c r="E44" s="38" t="n"/>
      <c r="F44" s="799">
        <f>IF(A44="",0,VLOOKUP(A44,'LISTINO CARTONCINI'!$A$1:$E$31,IF(+G44&lt;2500,4,IF(AND(+G44&gt;=2500,+G44&lt;5000),3,2)),FALSE))</f>
        <v/>
      </c>
      <c r="G44" s="800">
        <f>B44*C44/1000*D44/1000*E44/1000</f>
        <v/>
      </c>
      <c r="H44" s="517">
        <f>B44*C44/1000*D44/1000*E44/1000*F44</f>
        <v/>
      </c>
      <c r="I44" s="194">
        <f>IF(+A44="","",+I32)</f>
        <v/>
      </c>
      <c r="J44" s="185">
        <f>IF(+A44="",0,+J32)</f>
        <v/>
      </c>
      <c r="K44" s="185">
        <f>IF(+A44="",0,+K32)</f>
        <v/>
      </c>
      <c r="L44" s="181">
        <f>IF(+A44="",0,+L32+7)</f>
        <v/>
      </c>
      <c r="M44" s="181">
        <f>IF(+A44="",0,+M32+7)</f>
        <v/>
      </c>
      <c r="N44" s="798">
        <f>((L44/1000)*(M44/1000))*(E44/1000)*B44</f>
        <v/>
      </c>
      <c r="O44" s="182">
        <f>IF(AND(C44=L44,D44=M44),0,1)</f>
        <v/>
      </c>
      <c r="P44" s="181">
        <f t="array" ref="P44">IF(OR(L44=0,M44=0),"",IFERROR(INDEX(INDEX(Cartoncino_Magazzino[#Data],,1),MATCH(MIN(IF((L44&lt;=INDEX(Cartoncino_Magazzino[#Data],,1)+R44)*(M44&lt;=INDEX(Cartoncino_Magazzino[#Data],,2)+S44),INDEX(Cartoncino_Magazzino[#Data],,3))),IF((L44&lt;=INDEX(Cartoncino_Magazzino[#Data],,1)+R44)*(M44&lt;=INDEX(Cartoncino_Magazzino[#Data],,2)+S44),INDEX(Cartoncino_Magazzino[#Data],,3)),0)),"FUORI"))</f>
        <v/>
      </c>
      <c r="Q44" s="181">
        <f t="array" ref="Q44">IF(OR(L44=0,M44=0),"",IFERROR(INDEX(INDEX(Cartoncino_Magazzino[#Data],,2),MATCH(MIN(IF((L44&lt;=INDEX(Cartoncino_Magazzino[#Data],,1)+R44)*(M44&lt;=INDEX(Cartoncino_Magazzino[#Data],,2)+S44),INDEX(Cartoncino_Magazzino[#Data],,3))),IF((L44&lt;=INDEX(Cartoncino_Magazzino[#Data],,1)+R44)*(M44&lt;=INDEX(Cartoncino_Magazzino[#Data],,2)+S44),INDEX(Cartoncino_Magazzino[#Data],,3)),0)),"FUORI"))</f>
        <v/>
      </c>
      <c r="S44" s="181" t="n">
        <v>2</v>
      </c>
      <c r="T44" s="181" t="n">
        <v>2</v>
      </c>
    </row>
    <row r="45" hidden="1" outlineLevel="1" ht="15" customHeight="1">
      <c r="A45" s="153" t="n"/>
      <c r="B45" s="513">
        <f>_xlfn.CEILING.MATH(IF(J45=0, 0,(IF((((($G$6/J45)*K45)*1.03)-((($G$6/J45)*K45)))&gt;99, ((($G$6/J45)*K45)*1.03), (($G$6/J45)*K45)+100))+IFERROR(((VLOOKUP($A73,Table14[#All],5,FALSE)+100)*E73),0)))</f>
        <v/>
      </c>
      <c r="C45" s="290">
        <f>IF(+B45&gt;0,IF(+N45&gt;VLOOKUP(A45,'LISTINO CARTONCINI'!$A$1:$E$31,5,FALSE),+L45,+P45),0)</f>
        <v/>
      </c>
      <c r="D45" s="290">
        <f>IF(+B45&gt;0,IF(+N45&gt;VLOOKUP(A45,'LISTINO CARTONCINI'!$A$1:$E$31,5,FALSE),+M45,+Q45),0)</f>
        <v/>
      </c>
      <c r="E45" s="38" t="n"/>
      <c r="F45" s="799">
        <f>IF(A45="",0,VLOOKUP(A45,'LISTINO CARTONCINI'!$A$1:$E$31,IF(+G45&lt;2500,4,IF(AND(+G45&gt;=2500,+G45&lt;5000),3,2)),FALSE))</f>
        <v/>
      </c>
      <c r="G45" s="800">
        <f>B45*C45/1000*D45/1000*E45/1000</f>
        <v/>
      </c>
      <c r="H45" s="517">
        <f>B45*C45/1000*D45/1000*E45/1000*F45</f>
        <v/>
      </c>
      <c r="I45" s="194">
        <f>IF(+A45="","",+I33)</f>
        <v/>
      </c>
      <c r="J45" s="185">
        <f>IF(+A45="",0,+J33)</f>
        <v/>
      </c>
      <c r="K45" s="185">
        <f>IF(+A45="",0,+K33)</f>
        <v/>
      </c>
      <c r="L45" s="181">
        <f>IF(+A45="",0,+L33+7)</f>
        <v/>
      </c>
      <c r="M45" s="181">
        <f>IF(+A45="",0,+M33+7)</f>
        <v/>
      </c>
      <c r="N45" s="798">
        <f>((L45/1000)*(M45/1000))*(E45/1000)*B45</f>
        <v/>
      </c>
      <c r="O45" s="182">
        <f>IF(AND(C45=L45,D45=M45),0,1)</f>
        <v/>
      </c>
      <c r="P45" s="181">
        <f t="array" ref="P45">IF(OR(L45=0,M45=0),"",IFERROR(INDEX(INDEX(Cartoncino_Magazzino[#Data],,1),MATCH(MIN(IF((L45&lt;=INDEX(Cartoncino_Magazzino[#Data],,1)+R45)*(M45&lt;=INDEX(Cartoncino_Magazzino[#Data],,2)+S45),INDEX(Cartoncino_Magazzino[#Data],,3))),IF((L45&lt;=INDEX(Cartoncino_Magazzino[#Data],,1)+R45)*(M45&lt;=INDEX(Cartoncino_Magazzino[#Data],,2)+S45),INDEX(Cartoncino_Magazzino[#Data],,3)),0)),"FUORI"))</f>
        <v/>
      </c>
      <c r="Q45" s="181">
        <f t="array" ref="Q45">IF(OR(L45=0,M45=0),"",IFERROR(INDEX(INDEX(Cartoncino_Magazzino[#Data],,2),MATCH(MIN(IF((L45&lt;=INDEX(Cartoncino_Magazzino[#Data],,1)+R45)*(M45&lt;=INDEX(Cartoncino_Magazzino[#Data],,2)+S45),INDEX(Cartoncino_Magazzino[#Data],,3))),IF((L45&lt;=INDEX(Cartoncino_Magazzino[#Data],,1)+R45)*(M45&lt;=INDEX(Cartoncino_Magazzino[#Data],,2)+S45),INDEX(Cartoncino_Magazzino[#Data],,3)),0)),"FUORI"))</f>
        <v/>
      </c>
      <c r="S45" s="181" t="n">
        <v>2</v>
      </c>
      <c r="T45" s="181" t="n">
        <v>2</v>
      </c>
    </row>
    <row r="46" hidden="1" outlineLevel="1" ht="15" customHeight="1">
      <c r="A46" s="153" t="n"/>
      <c r="B46" s="513">
        <f>_xlfn.CEILING.MATH(IF(J46=0, 0,(IF((((($G$6/J46)*K46)*1.03)-((($G$6/J46)*K46)))&gt;99, ((($G$6/J46)*K46)*1.03), (($G$6/J46)*K46)+100))+IFERROR(((VLOOKUP($A74,Table14[#All],5,FALSE)+100)*E74),0)))</f>
        <v/>
      </c>
      <c r="C46" s="290">
        <f>IF(+B46&gt;0,IF(+N46&gt;VLOOKUP(A46,'LISTINO CARTONCINI'!$A$1:$E$31,5,FALSE),+L46,+P46),0)</f>
        <v/>
      </c>
      <c r="D46" s="290">
        <f>IF(+B46&gt;0,IF(+N46&gt;VLOOKUP(A46,'LISTINO CARTONCINI'!$A$1:$E$31,5,FALSE),+M46,+Q46),0)</f>
        <v/>
      </c>
      <c r="E46" s="38" t="n"/>
      <c r="F46" s="799">
        <f>IF(A46="",0,VLOOKUP(A46,'LISTINO CARTONCINI'!$A$1:$E$31,IF(+G46&lt;2500,4,IF(AND(+G46&gt;=2500,+G46&lt;5000),3,2)),FALSE))</f>
        <v/>
      </c>
      <c r="G46" s="800">
        <f>B46*C46/1000*D46/1000*E46/1000</f>
        <v/>
      </c>
      <c r="H46" s="517">
        <f>B46*C46/1000*D46/1000*E46/1000*F46</f>
        <v/>
      </c>
      <c r="I46" s="194">
        <f>IF(+A46="","",+I34)</f>
        <v/>
      </c>
      <c r="J46" s="185">
        <f>IF(+A46="",0,+J34)</f>
        <v/>
      </c>
      <c r="K46" s="185">
        <f>IF(+A46="",0,+K34)</f>
        <v/>
      </c>
      <c r="L46" s="181">
        <f>IF(+A46="",0,+L34+7)</f>
        <v/>
      </c>
      <c r="M46" s="181">
        <f>IF(+A46="",0,+M34+7)</f>
        <v/>
      </c>
      <c r="N46" s="798">
        <f>((L46/1000)*(M46/1000))*(E46/1000)*B46</f>
        <v/>
      </c>
      <c r="O46" s="182">
        <f>IF(AND(C46=L46,D46=M46),0,1)</f>
        <v/>
      </c>
      <c r="P46" s="181">
        <f t="array" ref="P46">IF(OR(L46=0,M46=0),"",IFERROR(INDEX(INDEX(Cartoncino_Magazzino[#Data],,1),MATCH(MIN(IF((L46&lt;=INDEX(Cartoncino_Magazzino[#Data],,1)+R46)*(M46&lt;=INDEX(Cartoncino_Magazzino[#Data],,2)+S46),INDEX(Cartoncino_Magazzino[#Data],,3))),IF((L46&lt;=INDEX(Cartoncino_Magazzino[#Data],,1)+R46)*(M46&lt;=INDEX(Cartoncino_Magazzino[#Data],,2)+S46),INDEX(Cartoncino_Magazzino[#Data],,3)),0)),"FUORI"))</f>
        <v/>
      </c>
      <c r="Q46" s="181">
        <f t="array" ref="Q46">IF(OR(L46=0,M46=0),"",IFERROR(INDEX(INDEX(Cartoncino_Magazzino[#Data],,2),MATCH(MIN(IF((L46&lt;=INDEX(Cartoncino_Magazzino[#Data],,1)+R46)*(M46&lt;=INDEX(Cartoncino_Magazzino[#Data],,2)+S46),INDEX(Cartoncino_Magazzino[#Data],,3))),IF((L46&lt;=INDEX(Cartoncino_Magazzino[#Data],,1)+R46)*(M46&lt;=INDEX(Cartoncino_Magazzino[#Data],,2)+S46),INDEX(Cartoncino_Magazzino[#Data],,3)),0)),"FUORI"))</f>
        <v/>
      </c>
      <c r="S46" s="181" t="n">
        <v>2</v>
      </c>
      <c r="T46" s="181" t="n">
        <v>2</v>
      </c>
    </row>
    <row r="47" hidden="1" outlineLevel="1" ht="15" customHeight="1">
      <c r="A47" s="153" t="n"/>
      <c r="B47" s="513">
        <f>_xlfn.CEILING.MATH(IF(J47=0, 0,(IF((((($G$6/J47)*K47)*1.03)-((($G$6/J47)*K47)))&gt;99, ((($G$6/J47)*K47)*1.03), (($G$6/J47)*K47)+100))+IFERROR(((VLOOKUP($A75,Table14[#All],5,FALSE)+100)*E75),0)))</f>
        <v/>
      </c>
      <c r="C47" s="290">
        <f>IF(+B47&gt;0,IF(+N47&gt;VLOOKUP(A47,'LISTINO CARTONCINI'!$A$1:$E$31,5,FALSE),+L47,+P47),0)</f>
        <v/>
      </c>
      <c r="D47" s="290">
        <f>IF(+B47&gt;0,IF(+N47&gt;VLOOKUP(A47,'LISTINO CARTONCINI'!$A$1:$E$31,5,FALSE),+M47,+Q47),0)</f>
        <v/>
      </c>
      <c r="E47" s="38" t="n"/>
      <c r="F47" s="799">
        <f>IF(A47="",0,VLOOKUP(A47,'LISTINO CARTONCINI'!$A$1:$E$31,IF(+G47&lt;2500,4,IF(AND(+G47&gt;=2500,+G47&lt;5000),3,2)),FALSE))</f>
        <v/>
      </c>
      <c r="G47" s="800">
        <f>B47*C47/1000*D47/1000*E47/1000</f>
        <v/>
      </c>
      <c r="H47" s="517">
        <f>B47*C47/1000*D47/1000*E47/1000*F47</f>
        <v/>
      </c>
      <c r="I47" s="194">
        <f>IF(+A47="","",+I35)</f>
        <v/>
      </c>
      <c r="J47" s="185">
        <f>IF(+A47="",0,+J35)</f>
        <v/>
      </c>
      <c r="K47" s="185">
        <f>IF(+A47="",0,+K35)</f>
        <v/>
      </c>
      <c r="L47" s="181">
        <f>IF(+A47="",0,+L35+7)</f>
        <v/>
      </c>
      <c r="M47" s="181">
        <f>IF(+A47="",0,+M35+7)</f>
        <v/>
      </c>
      <c r="N47" s="798">
        <f>((L47/1000)*(M47/1000))*(E47/1000)*B47</f>
        <v/>
      </c>
      <c r="O47" s="182">
        <f>IF(AND(C47=L47,D47=M47),0,1)</f>
        <v/>
      </c>
      <c r="P47" s="181">
        <f t="array" ref="P47">IF(OR(L47=0,M47=0),"",IFERROR(INDEX(INDEX(Cartoncino_Magazzino[#Data],,1),MATCH(MIN(IF((L47&lt;=INDEX(Cartoncino_Magazzino[#Data],,1)+R47)*(M47&lt;=INDEX(Cartoncino_Magazzino[#Data],,2)+S47),INDEX(Cartoncino_Magazzino[#Data],,3))),IF((L47&lt;=INDEX(Cartoncino_Magazzino[#Data],,1)+R47)*(M47&lt;=INDEX(Cartoncino_Magazzino[#Data],,2)+S47),INDEX(Cartoncino_Magazzino[#Data],,3)),0)),"FUORI"))</f>
        <v/>
      </c>
      <c r="Q47" s="181">
        <f t="array" ref="Q47">IF(OR(L47=0,M47=0),"",IFERROR(INDEX(INDEX(Cartoncino_Magazzino[#Data],,2),MATCH(MIN(IF((L47&lt;=INDEX(Cartoncino_Magazzino[#Data],,1)+R47)*(M47&lt;=INDEX(Cartoncino_Magazzino[#Data],,2)+S47),INDEX(Cartoncino_Magazzino[#Data],,3))),IF((L47&lt;=INDEX(Cartoncino_Magazzino[#Data],,1)+R47)*(M47&lt;=INDEX(Cartoncino_Magazzino[#Data],,2)+S47),INDEX(Cartoncino_Magazzino[#Data],,3)),0)),"FUORI"))</f>
        <v/>
      </c>
      <c r="S47" s="181" t="n">
        <v>2</v>
      </c>
      <c r="T47" s="181" t="n">
        <v>2</v>
      </c>
    </row>
    <row r="48" hidden="1" outlineLevel="1" ht="15" customHeight="1">
      <c r="A48" s="153" t="n"/>
      <c r="B48" s="513">
        <f>_xlfn.CEILING.MATH(IF(J48=0, 0,(IF((((($G$6/J48)*K48)*1.03)-((($G$6/J48)*K48)))&gt;99, ((($G$6/J48)*K48)*1.03), (($G$6/J48)*K48)+100))+IFERROR(((VLOOKUP($A76,Table14[#All],5,FALSE)+100)*E76),0)))</f>
        <v/>
      </c>
      <c r="C48" s="290">
        <f>IF(+B48&gt;0,IF(+N48&gt;VLOOKUP(A48,'LISTINO CARTONCINI'!$A$1:$E$31,5,FALSE),+L48,+P48),0)</f>
        <v/>
      </c>
      <c r="D48" s="290">
        <f>IF(+B48&gt;0,IF(+N48&gt;VLOOKUP(A48,'LISTINO CARTONCINI'!$A$1:$E$31,5,FALSE),+M48,+Q48),0)</f>
        <v/>
      </c>
      <c r="E48" s="38" t="n"/>
      <c r="F48" s="799">
        <f>IF(A48="",0,VLOOKUP(A48,'LISTINO CARTONCINI'!$A$1:$E$31,IF(+G48&lt;2500,4,IF(AND(+G48&gt;=2500,+G48&lt;5000),3,2)),FALSE))</f>
        <v/>
      </c>
      <c r="G48" s="800">
        <f>B48*C48/1000*D48/1000*E48/1000</f>
        <v/>
      </c>
      <c r="H48" s="517">
        <f>B48*C48/1000*D48/1000*E48/1000*F48</f>
        <v/>
      </c>
      <c r="I48" s="194">
        <f>IF(+A48="","",+I36)</f>
        <v/>
      </c>
      <c r="J48" s="185">
        <f>IF(+A48="",0,+J36)</f>
        <v/>
      </c>
      <c r="K48" s="185">
        <f>IF(+A48="",0,+K36)</f>
        <v/>
      </c>
      <c r="L48" s="181">
        <f>IF(+A48="",0,+L36+7)</f>
        <v/>
      </c>
      <c r="M48" s="181">
        <f>IF(+A48="",0,+M36+7)</f>
        <v/>
      </c>
      <c r="N48" s="798">
        <f>((L48/1000)*(M48/1000))*(E48/1000)*B48</f>
        <v/>
      </c>
      <c r="O48" s="182">
        <f>IF(AND(C48=L48,D48=M48),0,1)</f>
        <v/>
      </c>
      <c r="P48" s="181">
        <f t="array" ref="P48">IF(OR(L48=0,M48=0),"",IFERROR(INDEX(INDEX(Cartoncino_Magazzino[#Data],,1),MATCH(MIN(IF((L48&lt;=INDEX(Cartoncino_Magazzino[#Data],,1)+R48)*(M48&lt;=INDEX(Cartoncino_Magazzino[#Data],,2)+S48),INDEX(Cartoncino_Magazzino[#Data],,3))),IF((L48&lt;=INDEX(Cartoncino_Magazzino[#Data],,1)+R48)*(M48&lt;=INDEX(Cartoncino_Magazzino[#Data],,2)+S48),INDEX(Cartoncino_Magazzino[#Data],,3)),0)),"FUORI"))</f>
        <v/>
      </c>
      <c r="Q48" s="181">
        <f t="array" ref="Q48">IF(OR(L48=0,M48=0),"",IFERROR(INDEX(INDEX(Cartoncino_Magazzino[#Data],,2),MATCH(MIN(IF((L48&lt;=INDEX(Cartoncino_Magazzino[#Data],,1)+R48)*(M48&lt;=INDEX(Cartoncino_Magazzino[#Data],,2)+S48),INDEX(Cartoncino_Magazzino[#Data],,3))),IF((L48&lt;=INDEX(Cartoncino_Magazzino[#Data],,1)+R48)*(M48&lt;=INDEX(Cartoncino_Magazzino[#Data],,2)+S48),INDEX(Cartoncino_Magazzino[#Data],,3)),0)),"FUORI"))</f>
        <v/>
      </c>
      <c r="S48" s="181" t="n">
        <v>2</v>
      </c>
      <c r="T48" s="181" t="n">
        <v>2</v>
      </c>
    </row>
    <row r="49" hidden="1" outlineLevel="1" ht="15" customHeight="1">
      <c r="A49" s="153" t="n"/>
      <c r="B49" s="513">
        <f>_xlfn.CEILING.MATH(IF(J49=0, 0,(IF((((($G$6/J49)*K49)*1.03)-((($G$6/J49)*K49)))&gt;99, ((($G$6/J49)*K49)*1.03), (($G$6/J49)*K49)+100))+IFERROR(((VLOOKUP($A77,Table14[#All],5,FALSE)+100)*E77),0)))</f>
        <v/>
      </c>
      <c r="C49" s="290">
        <f>IF(+B49&gt;0,IF(+N49&gt;VLOOKUP(A49,'LISTINO CARTONCINI'!$A$1:$E$31,5,FALSE),+L49,+P49),0)</f>
        <v/>
      </c>
      <c r="D49" s="290">
        <f>IF(+B49&gt;0,IF(+N49&gt;VLOOKUP(A49,'LISTINO CARTONCINI'!$A$1:$E$31,5,FALSE),+M49,+Q49),0)</f>
        <v/>
      </c>
      <c r="E49" s="38" t="n"/>
      <c r="F49" s="799">
        <f>IF(A49="",0,VLOOKUP(A49,'LISTINO CARTONCINI'!$A$1:$E$31,IF(+G49&lt;2500,4,IF(AND(+G49&gt;=2500,+G49&lt;5000),3,2)),FALSE))</f>
        <v/>
      </c>
      <c r="G49" s="800">
        <f>B49*C49/1000*D49/1000*E49/1000</f>
        <v/>
      </c>
      <c r="H49" s="517">
        <f>B49*C49/1000*D49/1000*E49/1000*F49</f>
        <v/>
      </c>
      <c r="I49" s="194">
        <f>IF(+A49="","",+I37)</f>
        <v/>
      </c>
      <c r="J49" s="185">
        <f>IF(+A49="",0,+J37)</f>
        <v/>
      </c>
      <c r="K49" s="185">
        <f>IF(+A49="",0,+K37)</f>
        <v/>
      </c>
      <c r="L49" s="181">
        <f>IF(+A49="",0,+L37+7)</f>
        <v/>
      </c>
      <c r="M49" s="181">
        <f>IF(+A49="",0,+M37+7)</f>
        <v/>
      </c>
      <c r="N49" s="798">
        <f>((L49/1000)*(M49/1000))*(E49/1000)*B49</f>
        <v/>
      </c>
      <c r="O49" s="182">
        <f>IF(AND(C49=L49,D49=M49),0,1)</f>
        <v/>
      </c>
      <c r="P49" s="181">
        <f t="array" ref="P49">IF(OR(L49=0,M49=0),"",IFERROR(INDEX(INDEX(Cartoncino_Magazzino[#Data],,1),MATCH(MIN(IF((L49&lt;=INDEX(Cartoncino_Magazzino[#Data],,1)+R49)*(M49&lt;=INDEX(Cartoncino_Magazzino[#Data],,2)+S49),INDEX(Cartoncino_Magazzino[#Data],,3))),IF((L49&lt;=INDEX(Cartoncino_Magazzino[#Data],,1)+R49)*(M49&lt;=INDEX(Cartoncino_Magazzino[#Data],,2)+S49),INDEX(Cartoncino_Magazzino[#Data],,3)),0)),"FUORI"))</f>
        <v/>
      </c>
      <c r="Q49" s="181">
        <f t="array" ref="Q49">IF(OR(L49=0,M49=0),"",IFERROR(INDEX(INDEX(Cartoncino_Magazzino[#Data],,2),MATCH(MIN(IF((L49&lt;=INDEX(Cartoncino_Magazzino[#Data],,1)+R49)*(M49&lt;=INDEX(Cartoncino_Magazzino[#Data],,2)+S49),INDEX(Cartoncino_Magazzino[#Data],,3))),IF((L49&lt;=INDEX(Cartoncino_Magazzino[#Data],,1)+R49)*(M49&lt;=INDEX(Cartoncino_Magazzino[#Data],,2)+S49),INDEX(Cartoncino_Magazzino[#Data],,3)),0)),"FUORI"))</f>
        <v/>
      </c>
      <c r="S49" s="181" t="n">
        <v>2</v>
      </c>
      <c r="T49" s="181" t="n">
        <v>2</v>
      </c>
    </row>
    <row r="50" ht="15" customHeight="1">
      <c r="A50" s="153" t="inlineStr">
        <is>
          <t>Guilhotina</t>
        </is>
      </c>
      <c r="B50" s="513">
        <f t="array" ref="B50">SUM(+O26:O62)</f>
        <v/>
      </c>
      <c r="C50" s="39" t="n"/>
      <c r="D50" s="38" t="n"/>
      <c r="E50" s="38" t="n"/>
      <c r="F50" s="801" t="n">
        <v>50</v>
      </c>
      <c r="G50" s="800" t="n"/>
      <c r="H50" s="517">
        <f>+B50*F50</f>
        <v/>
      </c>
      <c r="I50" s="145" t="n"/>
      <c r="J50" s="145" t="n"/>
      <c r="K50" s="145" t="n"/>
    </row>
    <row r="51" hidden="1" outlineLevel="1" ht="15" customHeight="1">
      <c r="A51" s="216">
        <f>+IF(N51="","", _xlfn.CONCAT(VLOOKUP(N51,SITOUR[],2,FALSE)))</f>
        <v/>
      </c>
      <c r="B51" s="513">
        <f>+IF(N51="", "", _xlfn.CEILING.MATH((QTA*K51*1.02),VLOOKUP(N51,SITOUR[#All],3,FALSE)))</f>
        <v/>
      </c>
      <c r="C51" s="39" t="n"/>
      <c r="D51" s="38" t="n"/>
      <c r="E51" s="38" t="n"/>
      <c r="F51" s="801">
        <f>+IF(N51="","",VLOOKUP(N51,SITOUR[#All],4,FALSE))</f>
        <v/>
      </c>
      <c r="G51" s="800" t="n"/>
      <c r="H51" s="517">
        <f>+IF(N51="", 0, B51*F51)</f>
        <v/>
      </c>
      <c r="I51" s="194">
        <f>CONCATENATE("Accessorio SITOUR"," cod. ",N51, )</f>
        <v/>
      </c>
      <c r="J51" s="145" t="n"/>
      <c r="K51" s="185" t="n"/>
      <c r="M51" s="200" t="inlineStr">
        <is>
          <t>cód.</t>
        </is>
      </c>
      <c r="N51" s="181" t="n"/>
    </row>
    <row r="52" hidden="1" outlineLevel="1" ht="15" customHeight="1">
      <c r="A52" s="453">
        <f>+IF(N52="","", _xlfn.CONCAT(VLOOKUP(N52,DESIGNERCLUB[],2,FALSE)))</f>
        <v/>
      </c>
      <c r="B52" s="513">
        <f>+IF(N52="", "", _xlfn.CEILING.MATH((QTA*K52*1.02),VLOOKUP(N52,DESIGNERCLUB[],3,FALSE)))</f>
        <v/>
      </c>
      <c r="C52" s="39" t="n"/>
      <c r="D52" s="38" t="n"/>
      <c r="E52" s="38" t="n"/>
      <c r="F52" s="801">
        <f>+IF(N52="","",VLOOKUP(N52,DESIGNERCLUB[],4,FALSE))</f>
        <v/>
      </c>
      <c r="G52" s="800" t="n"/>
      <c r="H52" s="517">
        <f>+IF(N52="", 0, B52*F52)</f>
        <v/>
      </c>
      <c r="I52" s="194">
        <f>CONCATENATE("Accessorio DESIGNER CLUB"," cod. ",N52, )</f>
        <v/>
      </c>
      <c r="J52" s="145" t="n"/>
      <c r="K52" s="185" t="n"/>
      <c r="M52" s="200" t="inlineStr">
        <is>
          <t>cód.</t>
        </is>
      </c>
      <c r="N52" s="182" t="n"/>
    </row>
    <row r="53" hidden="1" outlineLevel="1" ht="15" customHeight="1">
      <c r="A53" s="153" t="n"/>
      <c r="B53" s="514">
        <f>IF(A53="","",_xlfn.CEILING.MATH(QTA*K53*1.05))</f>
        <v/>
      </c>
      <c r="C53" s="39" t="n"/>
      <c r="D53" s="38" t="n"/>
      <c r="E53" s="38" t="n"/>
      <c r="F53" s="801">
        <f>+IF(A53="",0,VLOOKUP(A53,DSGROUP[#All],3,FALSE))</f>
        <v/>
      </c>
      <c r="G53" s="800" t="n"/>
      <c r="H53" s="517">
        <f>+IF(A53="", 0, B53*F53)</f>
        <v/>
      </c>
      <c r="I53" s="194" t="inlineStr">
        <is>
          <t>DAL SASSO</t>
        </is>
      </c>
      <c r="J53" s="145" t="n"/>
      <c r="K53" s="185" t="n"/>
      <c r="M53" s="200" t="n"/>
      <c r="N53" s="341" t="n"/>
    </row>
    <row r="54" hidden="1" outlineLevel="1" ht="15" customHeight="1">
      <c r="A54" s="153" t="n"/>
      <c r="B54" s="514" t="n"/>
      <c r="C54" s="39" t="n"/>
      <c r="D54" s="38" t="n"/>
      <c r="E54" s="38" t="n"/>
      <c r="F54" s="801">
        <f>+IF(B54="",0,VLOOKUP(QTA,FORNITORE[],2,FALSE))</f>
        <v/>
      </c>
      <c r="G54" s="800" t="n"/>
      <c r="H54" s="517">
        <f>B54*F54</f>
        <v/>
      </c>
      <c r="I54" s="194">
        <f>IF(PREVENTIVO!C2="","",+PREVENTIVO!C2)</f>
        <v/>
      </c>
      <c r="J54" s="145" t="n"/>
      <c r="K54" s="340" t="n"/>
      <c r="M54" s="200" t="n"/>
      <c r="N54" s="341" t="n"/>
    </row>
    <row r="55" collapsed="1" ht="15" customHeight="1">
      <c r="A55" s="153" t="n"/>
      <c r="B55" s="514" t="n"/>
      <c r="C55" s="39" t="n"/>
      <c r="D55" s="38" t="n"/>
      <c r="E55" s="38" t="n"/>
      <c r="F55" s="801" t="n"/>
      <c r="G55" s="800" t="n"/>
      <c r="H55" s="517">
        <f>B55*F55</f>
        <v/>
      </c>
      <c r="I55" s="194" t="n"/>
      <c r="J55" s="145" t="n"/>
      <c r="K55" s="340" t="n"/>
      <c r="M55" s="200" t="n"/>
      <c r="N55" s="341" t="n"/>
    </row>
    <row r="56" ht="15" customHeight="1">
      <c r="A56" s="153" t="n"/>
      <c r="B56" s="513" t="n"/>
      <c r="C56" s="39" t="n"/>
      <c r="D56" s="38" t="n"/>
      <c r="E56" s="38" t="n"/>
      <c r="F56" s="801" t="n"/>
      <c r="G56" s="800" t="n"/>
      <c r="H56" s="517">
        <f>B56*F56</f>
        <v/>
      </c>
      <c r="I56" s="194" t="n"/>
      <c r="J56" s="145" t="n"/>
      <c r="K56" s="145" t="n"/>
    </row>
    <row r="57" hidden="1" outlineLevel="1" ht="15" customHeight="1">
      <c r="A57" s="153" t="inlineStr">
        <is>
          <t>PAPEL SILICONADO (POR m²)</t>
        </is>
      </c>
      <c r="B57" s="513">
        <f>+_xlfn.CEILING.MATH(($G$6*K57*1.05),2000)</f>
        <v/>
      </c>
      <c r="C57" s="388" t="inlineStr">
        <is>
          <t>ALTEZZA</t>
        </is>
      </c>
      <c r="D57" s="389" t="inlineStr">
        <is>
          <t>LUNGHEZZA</t>
        </is>
      </c>
      <c r="E57" s="38" t="n"/>
      <c r="F57" s="801" t="n">
        <v>0.96</v>
      </c>
      <c r="G57" s="800">
        <f>IFERROR((C57/1000)*(D57/1000)*B57,0)</f>
        <v/>
      </c>
      <c r="H57" s="517">
        <f>+IF(B57=0,0, G57*F57)</f>
        <v/>
      </c>
      <c r="I57" s="194" t="inlineStr">
        <is>
          <t>PRADES</t>
        </is>
      </c>
      <c r="J57" s="145" t="inlineStr">
        <is>
          <t>OCOR</t>
        </is>
      </c>
      <c r="K57" s="185" t="n"/>
    </row>
    <row r="58" hidden="1" outlineLevel="1" ht="15" customHeight="1">
      <c r="A58" s="153" t="inlineStr">
        <is>
          <t>COLA (POR KG)</t>
        </is>
      </c>
      <c r="B58" s="513">
        <f>+_xlfn.CEILING.MATH((QTA*K58*1.05)/1000,15)</f>
        <v/>
      </c>
      <c r="C58" s="39" t="n"/>
      <c r="D58" s="38" t="n"/>
      <c r="E58" s="38" t="n"/>
      <c r="F58" s="801" t="n">
        <v>4.484999999999999</v>
      </c>
      <c r="G58" s="800" t="n"/>
      <c r="H58" s="517">
        <f>+IF(B58=0,0,F58*B58)</f>
        <v/>
      </c>
      <c r="I58" s="194" t="inlineStr">
        <is>
          <t>EMMEBI - SCATOLE DA 15 KG</t>
        </is>
      </c>
      <c r="J58" s="145" t="inlineStr">
        <is>
          <t>G/PÇ</t>
        </is>
      </c>
      <c r="K58" s="185">
        <f>+'CALCOLO COLLA'!P24</f>
        <v/>
      </c>
      <c r="L58" s="612" t="inlineStr">
        <is>
          <t>PRODUTO</t>
        </is>
      </c>
      <c r="M58" s="802" t="n"/>
      <c r="N58" s="612" t="inlineStr">
        <is>
          <t>IVYMELT TPS 143</t>
        </is>
      </c>
      <c r="O58" s="802" t="n"/>
    </row>
    <row r="59" hidden="1" outlineLevel="1" ht="15" customHeight="1">
      <c r="A59" s="153" t="inlineStr">
        <is>
          <t>Biadesivo (por metro linear)</t>
        </is>
      </c>
      <c r="B59" s="513">
        <f>(QTA*1.02*K59)</f>
        <v/>
      </c>
      <c r="C59" s="39" t="n"/>
      <c r="D59" s="38" t="n"/>
      <c r="E59" s="38" t="n"/>
      <c r="F59" s="801" t="n">
        <v>0.3</v>
      </c>
      <c r="G59" s="800">
        <f>B59*(D59/1000)</f>
        <v/>
      </c>
      <c r="H59" s="517">
        <f>+F59*G59</f>
        <v/>
      </c>
      <c r="I59" s="194" t="n"/>
      <c r="J59" s="145" t="n"/>
      <c r="K59" s="185" t="n"/>
    </row>
    <row r="60" collapsed="1" ht="15" customHeight="1">
      <c r="A60" s="153" t="inlineStr">
        <is>
          <t>CAIXA DE ESTOQUE</t>
        </is>
      </c>
      <c r="B60" s="513" t="n"/>
      <c r="C60" s="39" t="n"/>
      <c r="D60" s="38" t="n"/>
      <c r="E60" s="38" t="n"/>
      <c r="F60" s="801">
        <f>IF(A60="scatola magazzino",0,
VLOOKUP(A60,'Formato de estoque'!D19:H24,4,FALSE))</f>
        <v/>
      </c>
      <c r="G60" s="800" t="n"/>
      <c r="H60" s="517">
        <f>B60*F60</f>
        <v/>
      </c>
      <c r="I60" s="194" t="n"/>
      <c r="J60" s="145" t="n"/>
      <c r="K60" s="145" t="n"/>
    </row>
    <row r="61" ht="15" customHeight="1">
      <c r="A61" s="153" t="inlineStr">
        <is>
          <t>Chapa de impressão para master</t>
        </is>
      </c>
      <c r="B61" s="514">
        <f>IF(MASTER&gt;0,1,0)*grafiche</f>
        <v/>
      </c>
      <c r="C61" s="195" t="n"/>
      <c r="D61" s="195" t="n"/>
      <c r="E61" s="153" t="n"/>
      <c r="F61" s="803" t="n">
        <v>100</v>
      </c>
      <c r="G61" s="804" t="n"/>
      <c r="H61" s="523">
        <f>+B61*F61</f>
        <v/>
      </c>
      <c r="I61" s="194" t="n"/>
      <c r="J61" s="145" t="n"/>
      <c r="K61" s="145" t="n"/>
    </row>
    <row r="62" ht="13.5" customHeight="1" thickBot="1">
      <c r="A62" s="153" t="inlineStr">
        <is>
          <t>KMFMT/24242/EB - Giusti</t>
        </is>
      </c>
      <c r="B62" s="513">
        <f>_xlfn.CEILING.MATH(IF(J62="", 0, IF((((($G$6/J62)*K62)*1.03)-((($G$6/J62)*K62)))&gt;19, ((($G$6/J62)*K62)*1.03), (($G$6/J62)*K62)+20)))</f>
        <v/>
      </c>
      <c r="C62" s="39">
        <f>IF(+B62&gt;0,IF(+N62&gt;250,+L62,+P62),0)</f>
        <v/>
      </c>
      <c r="D62" s="39">
        <f>IF(+B62&gt;0,MAX(IF(+B62&gt;0,IF(+N62&gt;250,+M62,+Q62),0),600),0)</f>
        <v/>
      </c>
      <c r="E62" s="138" t="n"/>
      <c r="F62" s="796">
        <f>VLOOKUP(A62,Tabella118[[#All],[composizione concatenata]:[Euro/Mq]],2,FALSE)</f>
        <v/>
      </c>
      <c r="G62" s="797">
        <f>((C62/1000)*(D62/1000))*B62</f>
        <v/>
      </c>
      <c r="H62" s="517">
        <f>IF(A62="", 0, B62*C62/1000*D62/1000*F62)</f>
        <v/>
      </c>
      <c r="I62" s="194" t="inlineStr">
        <is>
          <t>EMBALAGEM MASTER</t>
        </is>
      </c>
      <c r="J62" s="185" t="n">
        <v>1</v>
      </c>
      <c r="K62" s="185" t="n">
        <v>1</v>
      </c>
      <c r="L62" s="38" t="n">
        <v>1326</v>
      </c>
      <c r="M62" s="38" t="n">
        <v>1740</v>
      </c>
      <c r="N62" s="805">
        <f>((L62/1000)*(M62/1000))*B62</f>
        <v/>
      </c>
      <c r="O62" s="182">
        <f>IF(AND(C62=L62,D62=M62),0,1)</f>
        <v/>
      </c>
      <c r="P62" s="181">
        <f t="array" ref="P62">IF(L62=0,"",IFERROR(INDEX(INDEX(Ondulati_Magazzino[],,1),MATCH(MIN(IF((L62&lt;=INDEX(Ondulati_Magazzino[],,1)+R62)*(M62&lt;=INDEX(Ondulati_Magazzino[],,2)+S62),INDEX(Ondulati_Magazzino[],,3))),IF((L62&lt;=INDEX(Ondulati_Magazzino[],,1)+R62)*(M62&lt;=INDEX(Ondulati_Magazzino[],,2)+S62),INDEX(Ondulati_Magazzino[],,3)),0)),"FUORI"))</f>
        <v/>
      </c>
      <c r="Q62" s="181">
        <f t="array" ref="Q62">IF(M62=0,"",IFERROR(INDEX(INDEX(Ondulati_Magazzino[],,2),MATCH(MIN(IF((L62&lt;=INDEX(Ondulati_Magazzino[],,1)+R62)*(M62&lt;=INDEX(Ondulati_Magazzino[],,2)+S62),INDEX(Ondulati_Magazzino[],,3))),IF((L62&lt;=INDEX(Ondulati_Magazzino[],,1)+R62)*(M62&lt;=INDEX(Ondulati_Magazzino[],,2)+S62),INDEX(Ondulati_Magazzino[],,3)),0)),"FUORI"))</f>
        <v/>
      </c>
      <c r="S62" s="181" t="n">
        <v>0</v>
      </c>
      <c r="T62" s="181" t="n">
        <v>0</v>
      </c>
    </row>
    <row r="63" ht="15" customHeight="1" thickBot="1">
      <c r="B63" s="8" t="n"/>
      <c r="D63" s="1" t="n"/>
      <c r="H63" s="119">
        <f>SUM(H26:H62)</f>
        <v/>
      </c>
      <c r="I63" s="89">
        <f>H63*1.15</f>
        <v/>
      </c>
    </row>
    <row r="64" ht="15" customHeight="1">
      <c r="A64" s="609" t="inlineStr">
        <is>
          <t>SERVIÇOS EXTERNOS</t>
        </is>
      </c>
      <c r="B64" s="609" t="inlineStr">
        <is>
          <t>Quantidade</t>
        </is>
      </c>
      <c r="C64" s="806" t="inlineStr">
        <is>
          <t xml:space="preserve">                Formato</t>
        </is>
      </c>
      <c r="D64" s="772" t="n"/>
      <c r="E64" s="807" t="inlineStr">
        <is>
          <t>ARTES</t>
        </is>
      </c>
      <c r="F64" s="786" t="inlineStr">
        <is>
          <t>Preço Unitário</t>
        </is>
      </c>
      <c r="G64" s="609" t="inlineStr">
        <is>
          <t>m²</t>
        </is>
      </c>
      <c r="H64" s="794" t="inlineStr">
        <is>
          <t>Valor</t>
        </is>
      </c>
      <c r="J64" s="608" t="inlineStr">
        <is>
          <t>Mínimo - Chapas/Avulso</t>
        </is>
      </c>
      <c r="K64" s="772" t="n"/>
      <c r="L64" s="609" t="inlineStr">
        <is>
          <t>até cópias</t>
        </is>
      </c>
      <c r="M64" s="772" t="n"/>
      <c r="N64" s="608" t="inlineStr">
        <is>
          <t>cópias adicionais</t>
        </is>
      </c>
      <c r="P64" s="610" t="inlineStr">
        <is>
          <t>Formato
stampa</t>
        </is>
      </c>
      <c r="Q64" s="772" t="n"/>
    </row>
    <row r="65" ht="15" customHeight="1">
      <c r="A65" s="788" t="n"/>
      <c r="B65" s="788" t="n"/>
      <c r="C65" s="784" t="n"/>
      <c r="D65" s="777" t="n"/>
      <c r="E65" s="788" t="n"/>
      <c r="F65" s="788" t="n"/>
      <c r="G65" s="788" t="n"/>
      <c r="H65" s="788" t="n"/>
      <c r="J65" s="784" t="n"/>
      <c r="K65" s="777" t="n"/>
      <c r="L65" s="784" t="n"/>
      <c r="M65" s="777" t="n"/>
      <c r="N65" s="788" t="n"/>
      <c r="P65" s="784" t="n"/>
      <c r="Q65" s="777" t="n"/>
    </row>
    <row r="66" ht="15" customHeight="1">
      <c r="A66" s="524" t="inlineStr">
        <is>
          <t>1000x1400 5 col.  MZG</t>
        </is>
      </c>
      <c r="B66" s="513">
        <f>IF(A66="Stampa digitale al mq",B26-1,IF(+A66="",0,+B38-(VLOOKUP(A66,Table14[#All],5,FALSE)*E66)))</f>
        <v/>
      </c>
      <c r="C66" s="525">
        <f>IF($A66="Stampa digitale al mq",C26,+L38)</f>
        <v/>
      </c>
      <c r="D66" s="525">
        <f>IF($A66="Stampa digitale al mq",D26,+M38)</f>
        <v/>
      </c>
      <c r="E66" s="524">
        <f>IF(+A66="",0,grafiche)</f>
        <v/>
      </c>
      <c r="F66" s="808">
        <f>IF(+E66=0,0,IF(A66="Stampa digitale al mq",+N66,((J66)+((B66-L66)*(N66)))/B66))</f>
        <v/>
      </c>
      <c r="G66" s="527">
        <f>IF(A66="Stampa digitale al mq",((+C66/1000)*(D66/1000)*B66),IF(B66&lt;L66, "min",""))</f>
        <v/>
      </c>
      <c r="H66" s="528">
        <f>IF(A66="Stampa digitale al mq",+J66+(N66*G66),IF(E66=0,0,IF(+B66&gt;0,IF(+B66&gt;L66,+F66*B66,J66),0)))</f>
        <v/>
      </c>
      <c r="I66" s="194">
        <f>I38</f>
        <v/>
      </c>
      <c r="J66" s="809">
        <f>+IF($A66="",0,VLOOKUP($A66,'Listino Stampa'!$I$41:$L$102,3,FALSE)*E66)</f>
        <v/>
      </c>
      <c r="K66" s="802" t="n"/>
      <c r="L66" s="809">
        <f>+IF($A66="",0,VLOOKUP($A66,'Listino Stampa'!$I$41:$L$102,2,FALSE)*E66)</f>
        <v/>
      </c>
      <c r="M66" s="802" t="n"/>
      <c r="N66" s="810">
        <f>+IF($A66="",0,VLOOKUP($A66,'Listino Stampa'!$I$41:$L$102,4,FALSE))</f>
        <v/>
      </c>
      <c r="P66" s="38">
        <f>IF(C66=0,"",
IF(AND(MIN(C66,D66)&lt;=750,MAX(C66,D66)&lt;=1050),700,
IF(AND(MIN(C66,D66)&lt;=1020,MAX(C66,D66)&lt;=1420),1000,
IF(AND(MIN(C66,D66)&lt;=1205,MAX(C66,D66)&lt;=1640),1200,
"Fuori formato"))))</f>
        <v/>
      </c>
      <c r="Q66" s="38">
        <f>IF(D66=0,"",
IF(AND(MIN(C66,D66)&lt;=750,MAX(C66,D66)&lt;=1050),1000,
IF(AND(MIN(C66,D66)&lt;=1020,MAX(C66,D66)&lt;=1420),1400,
IF(AND(MIN(C66,D66)&lt;=1205,MAX(C66,D66)&lt;=1640),1600,
"Fuori formato"))))</f>
        <v/>
      </c>
    </row>
    <row r="67" ht="15" customHeight="1">
      <c r="A67" s="524" t="inlineStr">
        <is>
          <t>1200x1600 5 col.  MZG</t>
        </is>
      </c>
      <c r="B67" s="513">
        <f>IF(A67="Stampa digitale al mq",B27-1,IF(+A67="",0,+B39-(VLOOKUP(A67,Table14[#All],5,FALSE)*E67)))</f>
        <v/>
      </c>
      <c r="C67" s="525">
        <f>IF($A67="Stampa digitale al mq",C27,+L39)</f>
        <v/>
      </c>
      <c r="D67" s="525">
        <f>IF($A67="Stampa digitale al mq",D27,+M39)</f>
        <v/>
      </c>
      <c r="E67" s="524">
        <f>IF(+A67="",0,grafiche)</f>
        <v/>
      </c>
      <c r="F67" s="808">
        <f>IF(+E67=0,0,IF(A67="Stampa digitale al mq",+N67,((J67)+((B67-L67)*(N67)))/B67))</f>
        <v/>
      </c>
      <c r="G67" s="527">
        <f>IF(A67="Stampa digitale al mq",((+C67/1000)*(D67/1000)*B67),IF(B67&lt;L67, "min",""))</f>
        <v/>
      </c>
      <c r="H67" s="528">
        <f>IF(A67="Stampa digitale al mq",+J67+(N67*G67),IF(E67=0,0,IF(+B67&gt;0,IF(+B67&gt;L67,+F67*B67,J67),0)))</f>
        <v/>
      </c>
      <c r="I67" s="194">
        <f>I39</f>
        <v/>
      </c>
      <c r="J67" s="809">
        <f>+IF($A67="",0,VLOOKUP($A67,'Listino Stampa'!$I$41:$L$102,3,FALSE)*E67)</f>
        <v/>
      </c>
      <c r="K67" s="802" t="n"/>
      <c r="L67" s="809">
        <f>+IF($A67="",0,VLOOKUP($A67,'Listino Stampa'!$I$41:$L$102,2,FALSE)*E67)</f>
        <v/>
      </c>
      <c r="M67" s="802" t="n"/>
      <c r="N67" s="810">
        <f>+IF($A67="",0,VLOOKUP($A67,'Listino Stampa'!$I$41:$L$102,4,FALSE))</f>
        <v/>
      </c>
      <c r="P67" s="38">
        <f>IF(C67=0,"",
IF(AND(MIN(C67,D67)&lt;=750,MAX(C67,D67)&lt;=1050),700,
IF(AND(MIN(C67,D67)&lt;=1020,MAX(C67,D67)&lt;=1420),1000,
IF(AND(MIN(C67,D67)&lt;=1205,MAX(C67,D67)&lt;=1640),1200,
"Fuori formato"))))</f>
        <v/>
      </c>
      <c r="Q67" s="38">
        <f>IF(D67=0,"",
IF(AND(MIN(C67,D67)&lt;=750,MAX(C67,D67)&lt;=1050),1000,
IF(AND(MIN(C67,D67)&lt;=1020,MAX(C67,D67)&lt;=1420),1400,
IF(AND(MIN(C67,D67)&lt;=1205,MAX(C67,D67)&lt;=1640),1600,
"Fuori formato"))))</f>
        <v/>
      </c>
    </row>
    <row r="68" ht="15" customHeight="1">
      <c r="A68" s="524" t="inlineStr">
        <is>
          <t>1200x1600 5 col.  MZG</t>
        </is>
      </c>
      <c r="B68" s="513">
        <f>IF(A68="Stampa digitale al mq",B28-1,IF(+A68="",0,+B40-(VLOOKUP(A68,Table14[#All],5,FALSE)*E68)))</f>
        <v/>
      </c>
      <c r="C68" s="525">
        <f>IF($A68="Stampa digitale al mq",C28,+L40)</f>
        <v/>
      </c>
      <c r="D68" s="525">
        <f>IF($A68="Stampa digitale al mq",D28,+M40)</f>
        <v/>
      </c>
      <c r="E68" s="524">
        <f>IF(+A68="",0,grafiche)</f>
        <v/>
      </c>
      <c r="F68" s="808">
        <f>IF(+E68=0,0,IF(A68="Stampa digitale al mq",+N68,((J68)+((B68-L68)*(N68)))/B68))</f>
        <v/>
      </c>
      <c r="G68" s="527">
        <f>IF(A68="Stampa digitale al mq",((+C68/1000)*(D68/1000)*B68),IF(B68&lt;L68, "min",""))</f>
        <v/>
      </c>
      <c r="H68" s="528">
        <f>IF(A68="Stampa digitale al mq",+J68+(N68*G68),IF(E68=0,0,IF(+B68&gt;0,IF(+B68&gt;L68,+F68*B68,J68),0)))</f>
        <v/>
      </c>
      <c r="I68" s="194">
        <f>I40</f>
        <v/>
      </c>
      <c r="J68" s="809">
        <f>+IF($A68="",0,VLOOKUP($A68,'Listino Stampa'!$I$41:$L$102,3,FALSE)*E68)</f>
        <v/>
      </c>
      <c r="K68" s="802" t="n"/>
      <c r="L68" s="809">
        <f>+IF($A68="",0,VLOOKUP($A68,'Listino Stampa'!$I$41:$L$102,2,FALSE)*E68)</f>
        <v/>
      </c>
      <c r="M68" s="802" t="n"/>
      <c r="N68" s="810">
        <f>+IF($A68="",0,VLOOKUP($A68,'Listino Stampa'!$I$41:$L$102,4,FALSE))</f>
        <v/>
      </c>
      <c r="P68" s="38">
        <f>IF(C68=0,"",
IF(AND(MIN(C68,D68)&lt;=750,MAX(C68,D68)&lt;=1050),700,
IF(AND(MIN(C68,D68)&lt;=1020,MAX(C68,D68)&lt;=1420),1000,
IF(AND(MIN(C68,D68)&lt;=1205,MAX(C68,D68)&lt;=1640),1200,
"Fuori formato"))))</f>
        <v/>
      </c>
      <c r="Q68" s="38">
        <f>IF(D68=0,"",
IF(AND(MIN(C68,D68)&lt;=750,MAX(C68,D68)&lt;=1050),1000,
IF(AND(MIN(C68,D68)&lt;=1020,MAX(C68,D68)&lt;=1420),1400,
IF(AND(MIN(C68,D68)&lt;=1205,MAX(C68,D68)&lt;=1640),1600,
"Fuori formato"))))</f>
        <v/>
      </c>
    </row>
    <row r="69" ht="15" customHeight="1">
      <c r="A69" s="524" t="inlineStr">
        <is>
          <t>1200x1600 5 col.  MZG</t>
        </is>
      </c>
      <c r="B69" s="513">
        <f>IF(A69="Stampa digitale al mq",B29-1,IF(+A69="",0,+B41-(VLOOKUP(A69,Table14[#All],5,FALSE)*E69)))</f>
        <v/>
      </c>
      <c r="C69" s="525">
        <f>IF($A69="Stampa digitale al mq",C29,+L41)</f>
        <v/>
      </c>
      <c r="D69" s="525">
        <f>IF($A69="Stampa digitale al mq",D29,+M41)</f>
        <v/>
      </c>
      <c r="E69" s="524">
        <f>IF(+A69="",0,grafiche)</f>
        <v/>
      </c>
      <c r="F69" s="808">
        <f>IF(+E69=0,0,IF(A69="Stampa digitale al mq",+N69,((J69)+((B69-L69)*(N69)))/B69))</f>
        <v/>
      </c>
      <c r="G69" s="527">
        <f>IF(A69="Stampa digitale al mq",((+C69/1000)*(D69/1000)*B69),IF(B69&lt;L69, "min",""))</f>
        <v/>
      </c>
      <c r="H69" s="528">
        <f>IF(A69="Stampa digitale al mq",+J69+(N69*G69),IF(E69=0,0,IF(+B69&gt;0,IF(+B69&gt;L69,+F69*B69,J69),0)))</f>
        <v/>
      </c>
      <c r="I69" s="194">
        <f>I41</f>
        <v/>
      </c>
      <c r="J69" s="809">
        <f>+IF($A69="",0,VLOOKUP($A69,'Listino Stampa'!$I$41:$L$102,3,FALSE)*E69)</f>
        <v/>
      </c>
      <c r="K69" s="802" t="n"/>
      <c r="L69" s="809">
        <f>+IF($A69="",0,VLOOKUP($A69,'Listino Stampa'!$I$41:$L$102,2,FALSE)*E69)</f>
        <v/>
      </c>
      <c r="M69" s="802" t="n"/>
      <c r="N69" s="810">
        <f>+IF($A69="",0,VLOOKUP($A69,'Listino Stampa'!$I$41:$L$102,4,FALSE))</f>
        <v/>
      </c>
      <c r="P69" s="38">
        <f>IF(C69=0,"",
IF(AND(MIN(C69,D69)&lt;=750,MAX(C69,D69)&lt;=1050),700,
IF(AND(MIN(C69,D69)&lt;=1020,MAX(C69,D69)&lt;=1420),1000,
IF(AND(MIN(C69,D69)&lt;=1205,MAX(C69,D69)&lt;=1640),1200,
"Fuori formato"))))</f>
        <v/>
      </c>
      <c r="Q69" s="38">
        <f>IF(D69=0,"",
IF(AND(MIN(C69,D69)&lt;=750,MAX(C69,D69)&lt;=1050),1000,
IF(AND(MIN(C69,D69)&lt;=1020,MAX(C69,D69)&lt;=1420),1400,
IF(AND(MIN(C69,D69)&lt;=1205,MAX(C69,D69)&lt;=1640),1600,
"Fuori formato"))))</f>
        <v/>
      </c>
    </row>
    <row r="70" outlineLevel="1" ht="15" customHeight="1">
      <c r="A70" s="524" t="inlineStr">
        <is>
          <t>1200x1600 5 col.  MZG</t>
        </is>
      </c>
      <c r="B70" s="513">
        <f>IF(A70="Stampa digitale al mq",B30-1,IF(+A70="",0,+B42-(VLOOKUP(A70,Table14[#All],5,FALSE)*E70)))</f>
        <v/>
      </c>
      <c r="C70" s="525">
        <f>IF($A70="Stampa digitale al mq",C30,+L42)</f>
        <v/>
      </c>
      <c r="D70" s="525">
        <f>IF($A70="Stampa digitale al mq",D30,+M42)</f>
        <v/>
      </c>
      <c r="E70" s="524">
        <f>IF(+A70="",0,grafiche)</f>
        <v/>
      </c>
      <c r="F70" s="808">
        <f>IF(+E70=0,0,IF(A70="Stampa digitale al mq",+N70,((J70)+((B70-L70)*(N70)))/B70))</f>
        <v/>
      </c>
      <c r="G70" s="527">
        <f>IF(A70="Stampa digitale al mq",((+C70/1000)*(D70/1000)*B70),IF(B70&lt;L70, "min",""))</f>
        <v/>
      </c>
      <c r="H70" s="528">
        <f>IF(A70="Stampa digitale al mq",+J70+(N70*G70),IF(E70=0,0,IF(+B70&gt;0,IF(+B70&gt;L70,+F70*B70,J70),0)))</f>
        <v/>
      </c>
      <c r="I70" s="194">
        <f>I42</f>
        <v/>
      </c>
      <c r="J70" s="809">
        <f>+IF($A70="",0,VLOOKUP($A70,'Listino Stampa'!$I$41:$L$102,3,FALSE)*E70)</f>
        <v/>
      </c>
      <c r="K70" s="802" t="n"/>
      <c r="L70" s="809">
        <f>+IF($A70="",0,VLOOKUP($A70,'Listino Stampa'!$I$41:$L$102,2,FALSE)*E70)</f>
        <v/>
      </c>
      <c r="M70" s="802" t="n"/>
      <c r="N70" s="810">
        <f>+IF($A70="",0,VLOOKUP($A70,'Listino Stampa'!$I$41:$L$102,4,FALSE))</f>
        <v/>
      </c>
      <c r="P70" s="38">
        <f>IF(C70=0,"",
IF(AND(MIN(C70,D70)&lt;=750,MAX(C70,D70)&lt;=1050),700,
IF(AND(MIN(C70,D70)&lt;=1020,MAX(C70,D70)&lt;=1420),1000,
IF(AND(MIN(C70,D70)&lt;=1205,MAX(C70,D70)&lt;=1640),1200,
"Fuori formato"))))</f>
        <v/>
      </c>
      <c r="Q70" s="38">
        <f>IF(D70=0,"",
IF(AND(MIN(C70,D70)&lt;=750,MAX(C70,D70)&lt;=1050),1000,
IF(AND(MIN(C70,D70)&lt;=1020,MAX(C70,D70)&lt;=1420),1400,
IF(AND(MIN(C70,D70)&lt;=1205,MAX(C70,D70)&lt;=1640),1600,
"Fuori formato"))))</f>
        <v/>
      </c>
    </row>
    <row r="71" outlineLevel="1" ht="15" customHeight="1">
      <c r="A71" s="524" t="inlineStr">
        <is>
          <t>1200x1600 5 col.  MZG</t>
        </is>
      </c>
      <c r="B71" s="513">
        <f>IF(A71="Stampa digitale al mq",B31-1,IF(+A71="",0,+B43-(VLOOKUP(A71,Table14[#All],5,FALSE)*E71)))</f>
        <v/>
      </c>
      <c r="C71" s="525">
        <f>IF($A71="Stampa digitale al mq",C31,+L43)</f>
        <v/>
      </c>
      <c r="D71" s="525">
        <f>IF($A71="Stampa digitale al mq",D31,+M43)</f>
        <v/>
      </c>
      <c r="E71" s="524">
        <f>IF(+A71="",0,grafiche)</f>
        <v/>
      </c>
      <c r="F71" s="808">
        <f>IF(+E71=0,0,IF(A71="Stampa digitale al mq",+N71,((J71)+((B71-L71)*(N71)))/B71))</f>
        <v/>
      </c>
      <c r="G71" s="527">
        <f>IF(A71="Stampa digitale al mq",((+C71/1000)*(D71/1000)*B71),IF(B71&lt;L71, "min",""))</f>
        <v/>
      </c>
      <c r="H71" s="528">
        <f>IF(A71="Stampa digitale al mq",+J71+(N71*G71),IF(E71=0,0,IF(+B71&gt;0,IF(+B71&gt;L71,+F71*B71,J71),0)))</f>
        <v/>
      </c>
      <c r="I71" s="194">
        <f>I43</f>
        <v/>
      </c>
      <c r="J71" s="809">
        <f>+IF($A71="",0,VLOOKUP($A71,'Listino Stampa'!$I$41:$L$102,3,FALSE)*E71)</f>
        <v/>
      </c>
      <c r="K71" s="802" t="n"/>
      <c r="L71" s="809">
        <f>+IF($A71="",0,VLOOKUP($A71,'Listino Stampa'!$I$41:$L$102,2,FALSE)*E71)</f>
        <v/>
      </c>
      <c r="M71" s="802" t="n"/>
      <c r="N71" s="810">
        <f>+IF($A71="",0,VLOOKUP($A71,'Listino Stampa'!$I$41:$L$102,4,FALSE))</f>
        <v/>
      </c>
      <c r="P71" s="38">
        <f>IF(C71=0,"",
IF(AND(MIN(C71,D71)&lt;=750,MAX(C71,D71)&lt;=1050),700,
IF(AND(MIN(C71,D71)&lt;=1020,MAX(C71,D71)&lt;=1420),1000,
IF(AND(MIN(C71,D71)&lt;=1205,MAX(C71,D71)&lt;=1640),1200,
"Fuori formato"))))</f>
        <v/>
      </c>
      <c r="Q71" s="38">
        <f>IF(D71=0,"",
IF(AND(MIN(C71,D71)&lt;=750,MAX(C71,D71)&lt;=1050),1000,
IF(AND(MIN(C71,D71)&lt;=1020,MAX(C71,D71)&lt;=1420),1400,
IF(AND(MIN(C71,D71)&lt;=1205,MAX(C71,D71)&lt;=1640),1600,
"Fuori formato"))))</f>
        <v/>
      </c>
    </row>
    <row r="72" hidden="1" outlineLevel="1" ht="15" customHeight="1">
      <c r="A72" s="524" t="n"/>
      <c r="B72" s="513">
        <f>IF(A72="Stampa digitale al mq",B32-1,IF(+A72="",0,+B44-(VLOOKUP(A72,Table14[#All],5,FALSE)*E72)))</f>
        <v/>
      </c>
      <c r="C72" s="525">
        <f>IF($A72="Stampa digitale al mq",C32,+L44)</f>
        <v/>
      </c>
      <c r="D72" s="525">
        <f>IF($A72="Stampa digitale al mq",D32,+M44)</f>
        <v/>
      </c>
      <c r="E72" s="524">
        <f>IF(+A72="",0,grafiche)</f>
        <v/>
      </c>
      <c r="F72" s="808">
        <f>IF(+E72=0,0,IF(A72="Stampa digitale al mq",+N72,((J72)+((B72-L72)*(N72)))/B72))</f>
        <v/>
      </c>
      <c r="G72" s="527">
        <f>IF(A72="Stampa digitale al mq",((+C72/1000)*(D72/1000)*B72),IF(B72&lt;L72, "min",""))</f>
        <v/>
      </c>
      <c r="H72" s="528">
        <f>IF(A72="Stampa digitale al mq",+J72+(N72*G72),IF(E72=0,0,IF(+B72&gt;0,IF(+B72&gt;L72,+F72*B72,J72),0)))</f>
        <v/>
      </c>
      <c r="I72" s="194">
        <f>I44</f>
        <v/>
      </c>
      <c r="J72" s="809">
        <f>+IF($A72="",0,VLOOKUP($A72,'Listino Stampa'!$I$41:$L$102,3,FALSE)*E72)</f>
        <v/>
      </c>
      <c r="K72" s="802" t="n"/>
      <c r="L72" s="809">
        <f>+IF($A72="",0,VLOOKUP($A72,'Listino Stampa'!$I$41:$L$102,2,FALSE)*E72)</f>
        <v/>
      </c>
      <c r="M72" s="802" t="n"/>
      <c r="N72" s="810">
        <f>+IF($A72="",0,VLOOKUP($A72,'Listino Stampa'!$I$41:$L$102,4,FALSE))</f>
        <v/>
      </c>
      <c r="P72" s="38">
        <f>IF(C72=0,"",
IF(AND(MIN(C72,D72)&lt;=750,MAX(C72,D72)&lt;=1050),700,
IF(AND(MIN(C72,D72)&lt;=1020,MAX(C72,D72)&lt;=1420),1000,
IF(AND(MIN(C72,D72)&lt;=1205,MAX(C72,D72)&lt;=1640),1200,
"Fuori formato"))))</f>
        <v/>
      </c>
      <c r="Q72" s="38">
        <f>IF(D72=0,"",
IF(AND(MIN(C72,D72)&lt;=750,MAX(C72,D72)&lt;=1050),1000,
IF(AND(MIN(C72,D72)&lt;=1020,MAX(C72,D72)&lt;=1420),1400,
IF(AND(MIN(C72,D72)&lt;=1205,MAX(C72,D72)&lt;=1640),1600,
"Fuori formato"))))</f>
        <v/>
      </c>
    </row>
    <row r="73" hidden="1" outlineLevel="1" ht="15" customHeight="1">
      <c r="A73" s="524" t="n"/>
      <c r="B73" s="513">
        <f>IF(A73="Stampa digitale al mq",B33-1,IF(+A73="",0,+B45-(VLOOKUP(A73,Table14[#All],5,FALSE)*E73)))</f>
        <v/>
      </c>
      <c r="C73" s="525">
        <f>IF($A73="Stampa digitale al mq",C33,+L45)</f>
        <v/>
      </c>
      <c r="D73" s="525">
        <f>IF($A73="Stampa digitale al mq",D33,+M45)</f>
        <v/>
      </c>
      <c r="E73" s="524">
        <f>IF(+A73="",0,grafiche)</f>
        <v/>
      </c>
      <c r="F73" s="808">
        <f>IF(+E73=0,0,IF(A73="Stampa digitale al mq",+N73,((J73)+((B73-L73)*(N73)))/B73))</f>
        <v/>
      </c>
      <c r="G73" s="527">
        <f>IF(A73="Stampa digitale al mq",((+C73/1000)*(D73/1000)*B73),IF(B73&lt;L73, "min",""))</f>
        <v/>
      </c>
      <c r="H73" s="528">
        <f>IF(A73="Stampa digitale al mq",+J73+(N73*G73),IF(E73=0,0,IF(+B73&gt;0,IF(+B73&gt;L73,+F73*B73,J73),0)))</f>
        <v/>
      </c>
      <c r="I73" s="194">
        <f>I45</f>
        <v/>
      </c>
      <c r="J73" s="809">
        <f>+IF($A73="",0,VLOOKUP($A73,'Listino Stampa'!$I$41:$L$102,3,FALSE)*E73)</f>
        <v/>
      </c>
      <c r="K73" s="802" t="n"/>
      <c r="L73" s="809">
        <f>+IF($A73="",0,VLOOKUP($A73,'Listino Stampa'!$I$41:$L$102,2,FALSE)*E73)</f>
        <v/>
      </c>
      <c r="M73" s="802" t="n"/>
      <c r="N73" s="810">
        <f>+IF($A73="",0,VLOOKUP($A73,'Listino Stampa'!$I$41:$L$102,4,FALSE))</f>
        <v/>
      </c>
      <c r="P73" s="38">
        <f>IF(C73=0,"",
IF(AND(MIN(C73,D73)&lt;=750,MAX(C73,D73)&lt;=1050),700,
IF(AND(MIN(C73,D73)&lt;=1020,MAX(C73,D73)&lt;=1420),1000,
IF(AND(MIN(C73,D73)&lt;=1205,MAX(C73,D73)&lt;=1640),1200,
"Fuori formato"))))</f>
        <v/>
      </c>
      <c r="Q73" s="38">
        <f>IF(D73=0,"",
IF(AND(MIN(C73,D73)&lt;=750,MAX(C73,D73)&lt;=1050),1000,
IF(AND(MIN(C73,D73)&lt;=1020,MAX(C73,D73)&lt;=1420),1400,
IF(AND(MIN(C73,D73)&lt;=1205,MAX(C73,D73)&lt;=1640),1600,
"Fuori formato"))))</f>
        <v/>
      </c>
    </row>
    <row r="74" hidden="1" outlineLevel="1" ht="15" customHeight="1">
      <c r="A74" s="524" t="n"/>
      <c r="B74" s="513">
        <f>IF(A74="Stampa digitale al mq",B34-1,IF(+A74="",0,+B46-(VLOOKUP(A74,Table14[#All],5,FALSE)*E74)))</f>
        <v/>
      </c>
      <c r="C74" s="525">
        <f>IF($A74="Stampa digitale al mq",C34,+L46)</f>
        <v/>
      </c>
      <c r="D74" s="525">
        <f>IF($A74="Stampa digitale al mq",D34,+M46)</f>
        <v/>
      </c>
      <c r="E74" s="524">
        <f>IF(+A74="",0,grafiche)</f>
        <v/>
      </c>
      <c r="F74" s="808">
        <f>IF(+E74=0,0,IF(A74="Stampa digitale al mq",+N74,((J74)+((B74-L74)*(N74)))/B74))</f>
        <v/>
      </c>
      <c r="G74" s="527">
        <f>IF(A74="Stampa digitale al mq",((+C74/1000)*(D74/1000)*B74),IF(B74&lt;L74, "min",""))</f>
        <v/>
      </c>
      <c r="H74" s="528">
        <f>IF(A74="Stampa digitale al mq",+J74+(N74*G74),IF(E74=0,0,IF(+B74&gt;0,IF(+B74&gt;L74,+F74*B74,J74),0)))</f>
        <v/>
      </c>
      <c r="I74" s="194">
        <f>I46</f>
        <v/>
      </c>
      <c r="J74" s="809">
        <f>+IF($A74="",0,VLOOKUP($A74,'Listino Stampa'!$I$41:$L$102,3,FALSE)*E74)</f>
        <v/>
      </c>
      <c r="K74" s="802" t="n"/>
      <c r="L74" s="809">
        <f>+IF($A74="",0,VLOOKUP($A74,'Listino Stampa'!$I$41:$L$102,2,FALSE)*E74)</f>
        <v/>
      </c>
      <c r="M74" s="802" t="n"/>
      <c r="N74" s="810">
        <f>+IF($A74="",0,VLOOKUP($A74,'Listino Stampa'!$I$41:$L$102,4,FALSE))</f>
        <v/>
      </c>
      <c r="P74" s="38">
        <f>IF(C74=0,"",
IF(AND(MIN(C74,D74)&lt;=750,MAX(C74,D74)&lt;=1050),700,
IF(AND(MIN(C74,D74)&lt;=1020,MAX(C74,D74)&lt;=1420),1000,
IF(AND(MIN(C74,D74)&lt;=1205,MAX(C74,D74)&lt;=1640),1200,
"Fuori formato"))))</f>
        <v/>
      </c>
      <c r="Q74" s="38">
        <f>IF(D74=0,"",
IF(AND(MIN(C74,D74)&lt;=750,MAX(C74,D74)&lt;=1050),1000,
IF(AND(MIN(C74,D74)&lt;=1020,MAX(C74,D74)&lt;=1420),1400,
IF(AND(MIN(C74,D74)&lt;=1205,MAX(C74,D74)&lt;=1640),1600,
"Fuori formato"))))</f>
        <v/>
      </c>
    </row>
    <row r="75" hidden="1" outlineLevel="1" ht="15" customHeight="1">
      <c r="A75" s="524" t="n"/>
      <c r="B75" s="513">
        <f>IF(A75="Stampa digitale al mq",B35-1,IF(+A75="",0,+B47-(VLOOKUP(A75,Table14[#All],5,FALSE)*E75)))</f>
        <v/>
      </c>
      <c r="C75" s="525">
        <f>IF($A75="Stampa digitale al mq",C35,+L47)</f>
        <v/>
      </c>
      <c r="D75" s="525">
        <f>IF($A75="Stampa digitale al mq",D35,+M47)</f>
        <v/>
      </c>
      <c r="E75" s="524">
        <f>IF(+A75="",0,grafiche)</f>
        <v/>
      </c>
      <c r="F75" s="808">
        <f>IF(+E75=0,0,IF(A75="Stampa digitale al mq",+N75,((J75)+((B75-L75)*(N75)))/B75))</f>
        <v/>
      </c>
      <c r="G75" s="527">
        <f>IF(A75="Stampa digitale al mq",((+C75/1000)*(D75/1000)*B75),IF(B75&lt;L75, "min",""))</f>
        <v/>
      </c>
      <c r="H75" s="528">
        <f>IF(A75="Stampa digitale al mq",+J75+(N75*G75),IF(E75=0,0,IF(+B75&gt;0,IF(+B75&gt;L75,+F75*B75,J75),0)))</f>
        <v/>
      </c>
      <c r="I75" s="194">
        <f>I47</f>
        <v/>
      </c>
      <c r="J75" s="809">
        <f>+IF($A75="",0,VLOOKUP($A75,'Listino Stampa'!$I$41:$L$102,3,FALSE)*E75)</f>
        <v/>
      </c>
      <c r="K75" s="802" t="n"/>
      <c r="L75" s="809">
        <f>+IF($A75="",0,VLOOKUP($A75,'Listino Stampa'!$I$41:$L$102,2,FALSE)*E75)</f>
        <v/>
      </c>
      <c r="M75" s="802" t="n"/>
      <c r="N75" s="810">
        <f>+IF($A75="",0,VLOOKUP($A75,'Listino Stampa'!$I$41:$L$102,4,FALSE))</f>
        <v/>
      </c>
      <c r="P75" s="38">
        <f>IF(C75=0,"",
IF(AND(MIN(C75,D75)&lt;=750,MAX(C75,D75)&lt;=1050),700,
IF(AND(MIN(C75,D75)&lt;=1020,MAX(C75,D75)&lt;=1420),1000,
IF(AND(MIN(C75,D75)&lt;=1205,MAX(C75,D75)&lt;=1640),1200,
"Fuori formato"))))</f>
        <v/>
      </c>
      <c r="Q75" s="38">
        <f>IF(D75=0,"",
IF(AND(MIN(C75,D75)&lt;=750,MAX(C75,D75)&lt;=1050),1000,
IF(AND(MIN(C75,D75)&lt;=1020,MAX(C75,D75)&lt;=1420),1400,
IF(AND(MIN(C75,D75)&lt;=1205,MAX(C75,D75)&lt;=1640),1600,
"Fuori formato"))))</f>
        <v/>
      </c>
    </row>
    <row r="76" hidden="1" outlineLevel="1" ht="15" customHeight="1">
      <c r="A76" s="524" t="n"/>
      <c r="B76" s="513">
        <f>IF(A76="Stampa digitale al mq",B36-1,IF(+A76="",0,+B48-(VLOOKUP(A76,Table14[#All],5,FALSE)*E76)))</f>
        <v/>
      </c>
      <c r="C76" s="525">
        <f>IF($A76="Stampa digitale al mq",C36,+L48)</f>
        <v/>
      </c>
      <c r="D76" s="525">
        <f>IF($A76="Stampa digitale al mq",D36,+M48)</f>
        <v/>
      </c>
      <c r="E76" s="524">
        <f>IF(+A76="",0,grafiche)</f>
        <v/>
      </c>
      <c r="F76" s="808">
        <f>IF(+E76=0,0,IF(A76="Stampa digitale al mq",+N76,((J76)+((B76-L76)*(N76)))/B76))</f>
        <v/>
      </c>
      <c r="G76" s="527">
        <f>IF(A76="Stampa digitale al mq",((+C76/1000)*(D76/1000)*B76),IF(B76&lt;L76, "min",""))</f>
        <v/>
      </c>
      <c r="H76" s="528">
        <f>IF(A76="Stampa digitale al mq",+J76+(N76*G76),IF(E76=0,0,IF(+B76&gt;0,IF(+B76&gt;L76,+F76*B76,J76),0)))</f>
        <v/>
      </c>
      <c r="I76" s="194">
        <f>I48</f>
        <v/>
      </c>
      <c r="J76" s="809">
        <f>+IF($A76="",0,VLOOKUP($A76,'Listino Stampa'!$I$41:$L$102,3,FALSE)*E76)</f>
        <v/>
      </c>
      <c r="K76" s="802" t="n"/>
      <c r="L76" s="809">
        <f>+IF($A76="",0,VLOOKUP($A76,'Listino Stampa'!$I$41:$L$102,2,FALSE)*E76)</f>
        <v/>
      </c>
      <c r="M76" s="802" t="n"/>
      <c r="N76" s="810">
        <f>+IF($A76="",0,VLOOKUP($A76,'Listino Stampa'!$I$41:$L$102,4,FALSE))</f>
        <v/>
      </c>
      <c r="P76" s="38">
        <f>IF(C76=0,"",
IF(AND(MIN(C76,D76)&lt;=750,MAX(C76,D76)&lt;=1050),700,
IF(AND(MIN(C76,D76)&lt;=1020,MAX(C76,D76)&lt;=1420),1000,
IF(AND(MIN(C76,D76)&lt;=1205,MAX(C76,D76)&lt;=1640),1200,
"Fuori formato"))))</f>
        <v/>
      </c>
      <c r="Q76" s="38">
        <f>IF(D76=0,"",
IF(AND(MIN(C76,D76)&lt;=750,MAX(C76,D76)&lt;=1050),1000,
IF(AND(MIN(C76,D76)&lt;=1020,MAX(C76,D76)&lt;=1420),1400,
IF(AND(MIN(C76,D76)&lt;=1205,MAX(C76,D76)&lt;=1640),1600,
"Fuori formato"))))</f>
        <v/>
      </c>
    </row>
    <row r="77" hidden="1" outlineLevel="1" ht="15" customHeight="1">
      <c r="A77" s="524" t="n"/>
      <c r="B77" s="513">
        <f>IF(A77="Stampa digitale al mq",B37-1,IF(+A77="",0,+B49-(VLOOKUP(A77,Table14[#All],5,FALSE)*E77)))</f>
        <v/>
      </c>
      <c r="C77" s="525">
        <f>IF($A77="Stampa digitale al mq",C37,+L49)</f>
        <v/>
      </c>
      <c r="D77" s="525">
        <f>IF($A77="Stampa digitale al mq",D37,+M49)</f>
        <v/>
      </c>
      <c r="E77" s="524">
        <f>IF(+A77="",0,grafiche)</f>
        <v/>
      </c>
      <c r="F77" s="808">
        <f>IF(+E77=0,0,IF(A77="Stampa digitale al mq",+N77,((J77)+((B77-L77)*(N77)))/B77))</f>
        <v/>
      </c>
      <c r="G77" s="527">
        <f>IF(A77="Stampa digitale al mq",((+C77/1000)*(D77/1000)*B77),IF(B77&lt;L77, "min",""))</f>
        <v/>
      </c>
      <c r="H77" s="528">
        <f>IF(A77="Stampa digitale al mq",+J77+(N77*G77),IF(E77=0,0,IF(+B77&gt;0,IF(+B77&gt;L77,+F77*B77,J77),0)))</f>
        <v/>
      </c>
      <c r="I77" s="194">
        <f>I49</f>
        <v/>
      </c>
      <c r="J77" s="809">
        <f>+IF($A77="",0,VLOOKUP($A77,'Listino Stampa'!$I$41:$L$102,3,FALSE)*E77)</f>
        <v/>
      </c>
      <c r="K77" s="802" t="n"/>
      <c r="L77" s="809">
        <f>+IF($A77="",0,VLOOKUP($A77,'Listino Stampa'!$I$41:$L$102,2,FALSE)*E77)</f>
        <v/>
      </c>
      <c r="M77" s="802" t="n"/>
      <c r="N77" s="810">
        <f>+IF($A77="",0,VLOOKUP($A77,'Listino Stampa'!$I$41:$L$102,4,FALSE))</f>
        <v/>
      </c>
      <c r="P77" s="38">
        <f>IF(C77=0,"",
IF(AND(MIN(C77,D77)&lt;=750,MAX(C77,D77)&lt;=1050),700,
IF(AND(MIN(C77,D77)&lt;=1020,MAX(C77,D77)&lt;=1420),1000,
IF(AND(MIN(C77,D77)&lt;=1205,MAX(C77,D77)&lt;=1640),1200,
"Fuori formato"))))</f>
        <v/>
      </c>
      <c r="Q77" s="38">
        <f>IF(D77=0,"",
IF(AND(MIN(C77,D77)&lt;=750,MAX(C77,D77)&lt;=1050),1000,
IF(AND(MIN(C77,D77)&lt;=1020,MAX(C77,D77)&lt;=1420),1400,
IF(AND(MIN(C77,D77)&lt;=1205,MAX(C77,D77)&lt;=1640),1600,
"Fuori formato"))))</f>
        <v/>
      </c>
    </row>
    <row r="78" ht="15" customHeight="1">
      <c r="A78" s="524" t="inlineStr">
        <is>
          <t>Lavagem de tintas + pantone</t>
        </is>
      </c>
      <c r="B78" s="514" t="n">
        <v>2</v>
      </c>
      <c r="C78" s="525" t="n"/>
      <c r="D78" s="524" t="n"/>
      <c r="E78" s="524" t="n"/>
      <c r="F78" s="811" t="n">
        <v>82.5</v>
      </c>
      <c r="G78" s="527" t="n"/>
      <c r="H78" s="528">
        <f>B78*F78</f>
        <v/>
      </c>
      <c r="I78" s="145" t="n"/>
      <c r="J78" s="145" t="n"/>
      <c r="K78" s="145" t="n"/>
    </row>
    <row r="79" ht="15" customHeight="1">
      <c r="A79" s="524" t="inlineStr">
        <is>
          <t>Chapa para verniz com reserva</t>
        </is>
      </c>
      <c r="B79" s="513" t="n"/>
      <c r="C79" s="525" t="n"/>
      <c r="D79" s="524" t="n"/>
      <c r="E79" s="524" t="n"/>
      <c r="F79" s="811" t="n"/>
      <c r="G79" s="527" t="n"/>
      <c r="H79" s="528">
        <f>B79*F79</f>
        <v/>
      </c>
      <c r="I79" s="145" t="n"/>
      <c r="J79" s="145" t="n"/>
      <c r="K79" s="145" t="n"/>
    </row>
    <row r="80" ht="15" customHeight="1">
      <c r="A80" s="530" t="inlineStr">
        <is>
          <t>plastificação brilhante</t>
        </is>
      </c>
      <c r="B80" s="513">
        <f>_xlfn.CEILING.MATH(IF(A80="",0,B66*0.98))</f>
        <v/>
      </c>
      <c r="C80" s="525">
        <f>C66</f>
        <v/>
      </c>
      <c r="D80" s="525">
        <f>D66</f>
        <v/>
      </c>
      <c r="E80" s="524" t="n"/>
      <c r="F80" s="811">
        <f>+IF(A80="",0,VLOOKUP(A80,VIDOPLAST[],2,FALSE))</f>
        <v/>
      </c>
      <c r="G80" s="527">
        <f>+IF(A80="","",IF(H80&lt;=VLOOKUP(A80,VIDOPLAST[],3,FALSE), "min", ""))</f>
        <v/>
      </c>
      <c r="H80" s="528">
        <f>+IF(B80=0,0,MAX(B80*C80/1000*D80/1000*F80,VLOOKUP(A80,VIDOPLAST[],3,FALSE)))</f>
        <v/>
      </c>
      <c r="I80" s="194">
        <f t="array" ref="I80">IFERROR(INDIRECT("I"&amp;VALUE(LEFT(MID(_xlfn.FORMULATEXT(B80),FIND("B",_xlfn.FORMULATEXT(B80))+1,10),MATCH(FALSE,ISNUMBER(--MID(MID(_xlfn.FORMULATEXT(B80),FIND("B",_xlfn.FORMULATEXT(B80))+1,10),_xlfn.SEQUENCE(10),1)),0)-1))),"")</f>
        <v/>
      </c>
      <c r="J80" s="145" t="n"/>
      <c r="K80" s="145" t="n"/>
    </row>
    <row r="81" outlineLevel="1" ht="15" customHeight="1">
      <c r="A81" s="530" t="inlineStr">
        <is>
          <t>plastificação brilhante</t>
        </is>
      </c>
      <c r="B81" s="513">
        <f>_xlfn.CEILING.MATH(IF(A81="",0,B67*0.98))</f>
        <v/>
      </c>
      <c r="C81" s="525">
        <f>C67</f>
        <v/>
      </c>
      <c r="D81" s="525">
        <f>D67</f>
        <v/>
      </c>
      <c r="E81" s="524" t="n"/>
      <c r="F81" s="811">
        <f>+IF(A81="",0,VLOOKUP(A81,VIDOPLAST[],2,FALSE))</f>
        <v/>
      </c>
      <c r="G81" s="527">
        <f>+IF(A81="","",IF(H81&lt;=VLOOKUP(A81,VIDOPLAST[],3,FALSE), "min", ""))</f>
        <v/>
      </c>
      <c r="H81" s="528">
        <f>+IF(B81=0,0,MAX(B81*C81/1000*D81/1000*F81,VLOOKUP(A81,VIDOPLAST[],3,FALSE)))</f>
        <v/>
      </c>
      <c r="I81" s="194">
        <f t="array" ref="I81">IFERROR(INDIRECT("I"&amp;VALUE(LEFT(MID(_xlfn.FORMULATEXT(B81),FIND("B",_xlfn.FORMULATEXT(B81))+1,10),MATCH(FALSE,ISNUMBER(--MID(MID(_xlfn.FORMULATEXT(B81),FIND("B",_xlfn.FORMULATEXT(B81))+1,10),_xlfn.SEQUENCE(10),1)),0)-1))),"")</f>
        <v/>
      </c>
      <c r="J81" s="145" t="n"/>
      <c r="K81" s="145" t="n"/>
    </row>
    <row r="82" outlineLevel="1" ht="15" customHeight="1">
      <c r="A82" s="530" t="inlineStr">
        <is>
          <t>plastificação brilhante</t>
        </is>
      </c>
      <c r="B82" s="513">
        <f>_xlfn.CEILING.MATH(IF(A82="",0,B68*0.98))</f>
        <v/>
      </c>
      <c r="C82" s="525">
        <f>C68</f>
        <v/>
      </c>
      <c r="D82" s="525">
        <f>D68</f>
        <v/>
      </c>
      <c r="E82" s="524" t="n"/>
      <c r="F82" s="811">
        <f>+IF(A82="",0,VLOOKUP(A82,VIDOPLAST[],2,FALSE))</f>
        <v/>
      </c>
      <c r="G82" s="527">
        <f>+IF(A82="","",IF(H82&lt;=VLOOKUP(A82,VIDOPLAST[],3,FALSE), "min", ""))</f>
        <v/>
      </c>
      <c r="H82" s="528">
        <f>+IF(B82=0,0,MAX(B82*C82/1000*D82/1000*F82,VLOOKUP(A82,VIDOPLAST[],3,FALSE)))</f>
        <v/>
      </c>
      <c r="I82" s="194">
        <f t="array" ref="I82">IFERROR(INDIRECT("I"&amp;VALUE(LEFT(MID(_xlfn.FORMULATEXT(B82),FIND("B",_xlfn.FORMULATEXT(B82))+1,10),MATCH(FALSE,ISNUMBER(--MID(MID(_xlfn.FORMULATEXT(B82),FIND("B",_xlfn.FORMULATEXT(B82))+1,10),_xlfn.SEQUENCE(10),1)),0)-1))),"")</f>
        <v/>
      </c>
      <c r="J82" s="145" t="n"/>
      <c r="K82" s="145" t="n"/>
    </row>
    <row r="83" outlineLevel="1" ht="15" customHeight="1">
      <c r="A83" s="530" t="inlineStr">
        <is>
          <t>plastificação brilhante</t>
        </is>
      </c>
      <c r="B83" s="513">
        <f>_xlfn.CEILING.MATH(IF(A83="",0,B69*0.98))</f>
        <v/>
      </c>
      <c r="C83" s="525">
        <f>C69</f>
        <v/>
      </c>
      <c r="D83" s="525">
        <f>D69</f>
        <v/>
      </c>
      <c r="E83" s="524" t="n"/>
      <c r="F83" s="811">
        <f>+IF(A83="",0,VLOOKUP(A83,VIDOPLAST[],2,FALSE))</f>
        <v/>
      </c>
      <c r="G83" s="527">
        <f>+IF(A83="","",IF(H83&lt;=VLOOKUP(A83,VIDOPLAST[],3,FALSE), "min", ""))</f>
        <v/>
      </c>
      <c r="H83" s="528">
        <f>+IF(B83=0,0,MAX(B83*C83/1000*D83/1000*F83,VLOOKUP(A83,VIDOPLAST[],3,FALSE)))</f>
        <v/>
      </c>
      <c r="I83" s="194">
        <f t="array" ref="I83">IFERROR(INDIRECT("I"&amp;VALUE(LEFT(MID(_xlfn.FORMULATEXT(B83),FIND("B",_xlfn.FORMULATEXT(B83))+1,10),MATCH(FALSE,ISNUMBER(--MID(MID(_xlfn.FORMULATEXT(B83),FIND("B",_xlfn.FORMULATEXT(B83))+1,10),_xlfn.SEQUENCE(10),1)),0)-1))),"")</f>
        <v/>
      </c>
      <c r="J83" s="145" t="n"/>
      <c r="K83" s="145" t="n"/>
    </row>
    <row r="84" outlineLevel="1" ht="15" customHeight="1">
      <c r="A84" s="530" t="inlineStr">
        <is>
          <t>plastificação brilhante</t>
        </is>
      </c>
      <c r="B84" s="513">
        <f>_xlfn.CEILING.MATH(IF(A84="",0,B70*0.98))</f>
        <v/>
      </c>
      <c r="C84" s="525">
        <f>C70</f>
        <v/>
      </c>
      <c r="D84" s="525">
        <f>D70</f>
        <v/>
      </c>
      <c r="E84" s="524" t="n"/>
      <c r="F84" s="811">
        <f>+IF(A84="",0,VLOOKUP(A84,VIDOPLAST[],2,FALSE))</f>
        <v/>
      </c>
      <c r="G84" s="527">
        <f>+IF(A84="","",IF(H84&lt;=VLOOKUP(A84,VIDOPLAST[],3,FALSE), "min", ""))</f>
        <v/>
      </c>
      <c r="H84" s="528">
        <f>+IF(B84=0,0,MAX(B84*C84/1000*D84/1000*F84,VLOOKUP(A84,VIDOPLAST[],3,FALSE)))</f>
        <v/>
      </c>
      <c r="I84" s="194">
        <f t="array" ref="I84">IFERROR(INDIRECT("I"&amp;VALUE(LEFT(MID(_xlfn.FORMULATEXT(B84),FIND("B",_xlfn.FORMULATEXT(B84))+1,10),MATCH(FALSE,ISNUMBER(--MID(MID(_xlfn.FORMULATEXT(B84),FIND("B",_xlfn.FORMULATEXT(B84))+1,10),_xlfn.SEQUENCE(10),1)),0)-1))),"")</f>
        <v/>
      </c>
      <c r="J84" s="145" t="n"/>
      <c r="K84" s="145" t="n"/>
    </row>
    <row r="85" outlineLevel="1" ht="15" customHeight="1">
      <c r="A85" s="530" t="inlineStr">
        <is>
          <t>plastificação brilhante</t>
        </is>
      </c>
      <c r="B85" s="513">
        <f>_xlfn.CEILING.MATH(IF(A85="",0,B71*0.98))</f>
        <v/>
      </c>
      <c r="C85" s="525">
        <f>C71</f>
        <v/>
      </c>
      <c r="D85" s="525">
        <f>D71</f>
        <v/>
      </c>
      <c r="E85" s="524" t="n"/>
      <c r="F85" s="811">
        <f>+IF(A85="",0,VLOOKUP(A85,VIDOPLAST[],2,FALSE))</f>
        <v/>
      </c>
      <c r="G85" s="527">
        <f>+IF(A85="","",IF(H85&lt;=VLOOKUP(A85,VIDOPLAST[],3,FALSE), "min", ""))</f>
        <v/>
      </c>
      <c r="H85" s="528">
        <f>+IF(B85=0,0,MAX(B85*C85/1000*D85/1000*F85,VLOOKUP(A85,VIDOPLAST[],3,FALSE)))</f>
        <v/>
      </c>
      <c r="I85" s="194">
        <f t="array" ref="I85">IFERROR(INDIRECT("I"&amp;VALUE(LEFT(MID(_xlfn.FORMULATEXT(B85),FIND("B",_xlfn.FORMULATEXT(B85))+1,10),MATCH(FALSE,ISNUMBER(--MID(MID(_xlfn.FORMULATEXT(B85),FIND("B",_xlfn.FORMULATEXT(B85))+1,10),_xlfn.SEQUENCE(10),1)),0)-1))),"")</f>
        <v/>
      </c>
      <c r="J85" s="145" t="n"/>
      <c r="K85" s="145" t="n"/>
    </row>
    <row r="86" hidden="1" outlineLevel="1" ht="15" customHeight="1">
      <c r="A86" s="530" t="n"/>
      <c r="B86" s="513">
        <f>_xlfn.CEILING.MATH(IF(A86="",0,B72*0.98))</f>
        <v/>
      </c>
      <c r="C86" s="525">
        <f>C72</f>
        <v/>
      </c>
      <c r="D86" s="525">
        <f>D72</f>
        <v/>
      </c>
      <c r="E86" s="524" t="n"/>
      <c r="F86" s="811">
        <f>+IF(A86="",0,VLOOKUP(A86,VIDOPLAST[],2,FALSE))</f>
        <v/>
      </c>
      <c r="G86" s="527">
        <f>+IF(A86="","",IF(H86&lt;=VLOOKUP(A86,VIDOPLAST[],3,FALSE), "min", ""))</f>
        <v/>
      </c>
      <c r="H86" s="528">
        <f>+IF(B86=0,0,MAX(B86*C86/1000*D86/1000*F86,VLOOKUP(A86,VIDOPLAST[],3,FALSE)))</f>
        <v/>
      </c>
      <c r="I86" s="194">
        <f t="array" ref="I86">IFERROR(INDIRECT("I"&amp;VALUE(LEFT(MID(_xlfn.FORMULATEXT(B86),FIND("B",_xlfn.FORMULATEXT(B86))+1,10),MATCH(FALSE,ISNUMBER(--MID(MID(_xlfn.FORMULATEXT(B86),FIND("B",_xlfn.FORMULATEXT(B86))+1,10),_xlfn.SEQUENCE(10),1)),0)-1))),"")</f>
        <v/>
      </c>
      <c r="J86" s="145" t="n"/>
      <c r="K86" s="145" t="n"/>
    </row>
    <row r="87" hidden="1" outlineLevel="1" ht="15" customHeight="1">
      <c r="A87" s="530" t="n"/>
      <c r="B87" s="513">
        <f>_xlfn.CEILING.MATH(IF(A87="",0,B73*0.98))</f>
        <v/>
      </c>
      <c r="C87" s="525">
        <f>C73</f>
        <v/>
      </c>
      <c r="D87" s="525">
        <f>D73</f>
        <v/>
      </c>
      <c r="E87" s="524" t="n"/>
      <c r="F87" s="811">
        <f>+IF(A87="",0,VLOOKUP(A87,VIDOPLAST[],2,FALSE))</f>
        <v/>
      </c>
      <c r="G87" s="527">
        <f>+IF(A87="","",IF(H87&lt;=VLOOKUP(A87,VIDOPLAST[],3,FALSE), "min", ""))</f>
        <v/>
      </c>
      <c r="H87" s="528">
        <f>+IF(B87=0,0,MAX(B87*C87/1000*D87/1000*F87,VLOOKUP(A87,VIDOPLAST[],3,FALSE)))</f>
        <v/>
      </c>
      <c r="I87" s="194">
        <f t="array" ref="I87">IFERROR(INDIRECT("I"&amp;VALUE(LEFT(MID(_xlfn.FORMULATEXT(B87),FIND("B",_xlfn.FORMULATEXT(B87))+1,10),MATCH(FALSE,ISNUMBER(--MID(MID(_xlfn.FORMULATEXT(B87),FIND("B",_xlfn.FORMULATEXT(B87))+1,10),_xlfn.SEQUENCE(10),1)),0)-1))),"")</f>
        <v/>
      </c>
      <c r="J87" s="145" t="n"/>
      <c r="K87" s="145" t="n"/>
    </row>
    <row r="88" hidden="1" outlineLevel="1" ht="15" customHeight="1">
      <c r="A88" s="530" t="n"/>
      <c r="B88" s="513">
        <f>_xlfn.CEILING.MATH(IF(A88="",0,B74*0.98))</f>
        <v/>
      </c>
      <c r="C88" s="525">
        <f>C74</f>
        <v/>
      </c>
      <c r="D88" s="525">
        <f>D74</f>
        <v/>
      </c>
      <c r="E88" s="524" t="n"/>
      <c r="F88" s="811">
        <f>+IF(A88="",0,VLOOKUP(A88,VIDOPLAST[],2,FALSE))</f>
        <v/>
      </c>
      <c r="G88" s="527">
        <f>+IF(A88="","",IF(H88&lt;=VLOOKUP(A88,VIDOPLAST[],3,FALSE), "min", ""))</f>
        <v/>
      </c>
      <c r="H88" s="528">
        <f>+IF(B88=0,0,MAX(B88*C88/1000*D88/1000*F88,VLOOKUP(A88,VIDOPLAST[],3,FALSE)))</f>
        <v/>
      </c>
      <c r="I88" s="194">
        <f t="array" ref="I88">IFERROR(INDIRECT("I"&amp;VALUE(LEFT(MID(_xlfn.FORMULATEXT(B88),FIND("B",_xlfn.FORMULATEXT(B88))+1,10),MATCH(FALSE,ISNUMBER(--MID(MID(_xlfn.FORMULATEXT(B88),FIND("B",_xlfn.FORMULATEXT(B88))+1,10),_xlfn.SEQUENCE(10),1)),0)-1))),"")</f>
        <v/>
      </c>
      <c r="J88" s="145" t="n"/>
      <c r="K88" s="145" t="n"/>
    </row>
    <row r="89" hidden="1" outlineLevel="1" ht="15" customHeight="1">
      <c r="A89" s="530" t="n"/>
      <c r="B89" s="513">
        <f>_xlfn.CEILING.MATH(IF(A89="",0,B75*0.98))</f>
        <v/>
      </c>
      <c r="C89" s="525">
        <f>C75</f>
        <v/>
      </c>
      <c r="D89" s="525">
        <f>D75</f>
        <v/>
      </c>
      <c r="E89" s="524" t="n"/>
      <c r="F89" s="811">
        <f>+IF(A89="",0,VLOOKUP(A89,VIDOPLAST[],2,FALSE))</f>
        <v/>
      </c>
      <c r="G89" s="527">
        <f>+IF(A89="","",IF(H89&lt;=VLOOKUP(A89,VIDOPLAST[],3,FALSE), "min", ""))</f>
        <v/>
      </c>
      <c r="H89" s="528">
        <f>+IF(B89=0,0,MAX(B89*C89/1000*D89/1000*F89,VLOOKUP(A89,VIDOPLAST[],3,FALSE)))</f>
        <v/>
      </c>
      <c r="I89" s="194">
        <f t="array" ref="I89">IFERROR(INDIRECT("I"&amp;VALUE(LEFT(MID(_xlfn.FORMULATEXT(B89),FIND("B",_xlfn.FORMULATEXT(B89))+1,10),MATCH(FALSE,ISNUMBER(--MID(MID(_xlfn.FORMULATEXT(B89),FIND("B",_xlfn.FORMULATEXT(B89))+1,10),_xlfn.SEQUENCE(10),1)),0)-1))),"")</f>
        <v/>
      </c>
      <c r="J89" s="145" t="n"/>
      <c r="K89" s="145" t="n"/>
    </row>
    <row r="90" hidden="1" outlineLevel="1" ht="15" customHeight="1">
      <c r="A90" s="530" t="n"/>
      <c r="B90" s="513">
        <f>_xlfn.CEILING.MATH(IF(A90="",0,B76*0.98))</f>
        <v/>
      </c>
      <c r="C90" s="525">
        <f>C76</f>
        <v/>
      </c>
      <c r="D90" s="525">
        <f>D76</f>
        <v/>
      </c>
      <c r="E90" s="524" t="n"/>
      <c r="F90" s="811">
        <f>+IF(A90="",0,VLOOKUP(A90,VIDOPLAST[],2,FALSE))</f>
        <v/>
      </c>
      <c r="G90" s="527">
        <f>+IF(A90="","",IF(H90&lt;=VLOOKUP(A90,VIDOPLAST[],3,FALSE), "min", ""))</f>
        <v/>
      </c>
      <c r="H90" s="528">
        <f>+IF(B90=0,0,MAX(B90*C90/1000*D90/1000*F90,VLOOKUP(A90,VIDOPLAST[],3,FALSE)))</f>
        <v/>
      </c>
      <c r="I90" s="194">
        <f t="array" ref="I90">IFERROR(INDIRECT("I"&amp;VALUE(LEFT(MID(_xlfn.FORMULATEXT(B90),FIND("B",_xlfn.FORMULATEXT(B90))+1,10),MATCH(FALSE,ISNUMBER(--MID(MID(_xlfn.FORMULATEXT(B90),FIND("B",_xlfn.FORMULATEXT(B90))+1,10),_xlfn.SEQUENCE(10),1)),0)-1))),"")</f>
        <v/>
      </c>
      <c r="J90" s="145" t="n"/>
      <c r="K90" s="145" t="n"/>
    </row>
    <row r="91" hidden="1" outlineLevel="1" ht="15" customHeight="1">
      <c r="A91" s="530" t="n"/>
      <c r="B91" s="513">
        <f>_xlfn.CEILING.MATH(IF(A91="",0,B77*0.98))</f>
        <v/>
      </c>
      <c r="C91" s="525">
        <f>C77</f>
        <v/>
      </c>
      <c r="D91" s="525">
        <f>D77</f>
        <v/>
      </c>
      <c r="E91" s="524" t="n"/>
      <c r="F91" s="811">
        <f>+IF(A91="",0,VLOOKUP(A91,VIDOPLAST[],2,FALSE))</f>
        <v/>
      </c>
      <c r="G91" s="527">
        <f>+IF(A91="","",IF(H91&lt;=VLOOKUP(A91,VIDOPLAST[],3,FALSE), "min", ""))</f>
        <v/>
      </c>
      <c r="H91" s="528">
        <f>+IF(B91=0,0,MAX(B91*C91/1000*D91/1000*F91,VLOOKUP(A91,VIDOPLAST[],3,FALSE)))</f>
        <v/>
      </c>
      <c r="I91" s="194">
        <f t="array" ref="I91">IFERROR(INDIRECT("I"&amp;VALUE(LEFT(MID(_xlfn.FORMULATEXT(B91),FIND("B",_xlfn.FORMULATEXT(B91))+1,10),MATCH(FALSE,ISNUMBER(--MID(MID(_xlfn.FORMULATEXT(B91),FIND("B",_xlfn.FORMULATEXT(B91))+1,10),_xlfn.SEQUENCE(10),1)),0)-1))),"")</f>
        <v/>
      </c>
      <c r="J91" s="145" t="n"/>
      <c r="K91" s="145" t="n"/>
    </row>
    <row r="92" ht="15" customHeight="1">
      <c r="A92" s="524" t="inlineStr">
        <is>
          <t>douração a quente avulso</t>
        </is>
      </c>
      <c r="B92" s="513" t="n"/>
      <c r="C92" s="525" t="n"/>
      <c r="D92" s="524" t="n"/>
      <c r="E92" s="524" t="n"/>
      <c r="F92" s="811" t="n"/>
      <c r="G92" s="527" t="n"/>
      <c r="H92" s="528">
        <f>B92*F92</f>
        <v/>
      </c>
      <c r="I92" s="145" t="n"/>
      <c r="J92" s="145" t="n"/>
      <c r="K92" s="145" t="n"/>
    </row>
    <row r="93" ht="15" customHeight="1">
      <c r="A93" s="524" t="inlineStr">
        <is>
          <t>douração a quente por passagem</t>
        </is>
      </c>
      <c r="B93" s="513" t="n"/>
      <c r="C93" s="525" t="n"/>
      <c r="D93" s="524" t="n"/>
      <c r="E93" s="527" t="n"/>
      <c r="F93" s="812" t="n"/>
      <c r="G93" s="527" t="n"/>
      <c r="H93" s="528">
        <f>B93*F93</f>
        <v/>
      </c>
      <c r="I93" s="145" t="n"/>
      <c r="J93" s="145" t="n"/>
      <c r="K93" s="145" t="n"/>
    </row>
    <row r="94" ht="15" customHeight="1">
      <c r="A94" s="524">
        <f>CONCATENATE("Serigrafia lucida (coprenza ",K94,"%)")</f>
        <v/>
      </c>
      <c r="B94" s="514" t="n"/>
      <c r="C94" s="525" t="n"/>
      <c r="D94" s="524" t="n"/>
      <c r="E94" s="532" t="n"/>
      <c r="F94" s="813">
        <f>IF(K94=0,0,ROUNDUP(0.15+(0.42*(((C94/1000)*(D94/1000))*(K94/100))),3))</f>
        <v/>
      </c>
      <c r="G94" s="534">
        <f>+IF(H94=250,"MIN","")</f>
        <v/>
      </c>
      <c r="H94" s="528">
        <f>IF(B94="", 0, MAXA(B94*F94&gt;120,B94*F94,120))</f>
        <v/>
      </c>
      <c r="I94" s="194">
        <f t="array" ref="I94">IFERROR(INDIRECT("I"&amp;VALUE(LEFT(MID(_xlfn.FORMULATEXT(B94),FIND("B",_xlfn.FORMULATEXT(B94))+1,10),MATCH(FALSE,ISNUMBER(--MID(MID(_xlfn.FORMULATEXT(B94),FIND("B",_xlfn.FORMULATEXT(B94))+1,10),_xlfn.SEQUENCE(10),1)),0)-1))),"")</f>
        <v/>
      </c>
      <c r="J94" s="205" t="inlineStr">
        <is>
          <t>% copr.</t>
        </is>
      </c>
      <c r="K94" s="185" t="n"/>
    </row>
    <row r="95" ht="15" customHeight="1">
      <c r="A95" s="530" t="inlineStr">
        <is>
          <t>tela + filme para serigrafia</t>
        </is>
      </c>
      <c r="B95" s="513" t="n"/>
      <c r="C95" s="525" t="n"/>
      <c r="D95" s="524" t="n"/>
      <c r="E95" s="527" t="n"/>
      <c r="F95" s="813">
        <f>80+50</f>
        <v/>
      </c>
      <c r="G95" s="534" t="n"/>
      <c r="H95" s="528">
        <f>B95*F95</f>
        <v/>
      </c>
      <c r="I95" s="145" t="n"/>
      <c r="J95" s="145" t="n"/>
      <c r="K95" s="145" t="n"/>
    </row>
    <row r="96" ht="15" customHeight="1">
      <c r="A96" s="530" t="inlineStr">
        <is>
          <t>tela verniz UV</t>
        </is>
      </c>
      <c r="B96" s="513">
        <f>+IF(A80="verniciatura u.v. lucida offset", 1,0)</f>
        <v/>
      </c>
      <c r="C96" s="525" t="n"/>
      <c r="D96" s="524" t="n"/>
      <c r="E96" s="527" t="n"/>
      <c r="F96" s="812">
        <f>+IF(B96&gt;0,50,0)</f>
        <v/>
      </c>
      <c r="G96" s="534" t="n"/>
      <c r="H96" s="528">
        <f>B96*F96</f>
        <v/>
      </c>
      <c r="I96" s="145" t="n"/>
      <c r="J96" s="145" t="n"/>
      <c r="K96" s="145" t="n"/>
    </row>
    <row r="97" ht="15" customHeight="1">
      <c r="A97" s="524" t="n"/>
      <c r="B97" s="513" t="n"/>
      <c r="C97" s="525" t="n"/>
      <c r="D97" s="524" t="n"/>
      <c r="E97" s="527" t="n"/>
      <c r="F97" s="812" t="n"/>
      <c r="G97" s="534" t="n"/>
      <c r="H97" s="528">
        <f>B97*F97</f>
        <v/>
      </c>
      <c r="I97" s="145" t="n"/>
      <c r="J97" s="145" t="n"/>
      <c r="K97" s="145" t="n"/>
    </row>
    <row r="98" ht="15" customHeight="1">
      <c r="A98" s="524" t="n"/>
      <c r="B98" s="513" t="n"/>
      <c r="C98" s="525" t="n"/>
      <c r="D98" s="524" t="n"/>
      <c r="E98" s="524" t="n"/>
      <c r="F98" s="811" t="n"/>
      <c r="G98" s="527" t="n"/>
      <c r="H98" s="528">
        <f>B98*F98</f>
        <v/>
      </c>
      <c r="I98" s="145" t="n"/>
      <c r="J98" s="145" t="n"/>
      <c r="K98" s="145" t="n"/>
    </row>
    <row r="99" ht="15" customHeight="1" thickBot="1">
      <c r="A99" s="524" t="inlineStr">
        <is>
          <t xml:space="preserve">TRANSPORTES </t>
        </is>
      </c>
      <c r="B99" s="513" t="n"/>
      <c r="C99" s="525" t="n"/>
      <c r="D99" s="524" t="n"/>
      <c r="E99" s="524" t="n"/>
      <c r="F99" s="811" t="n"/>
      <c r="G99" s="527" t="n"/>
      <c r="H99" s="528">
        <f>B99*F99</f>
        <v/>
      </c>
      <c r="I99" s="145" t="n"/>
      <c r="J99" s="145" t="n"/>
      <c r="K99" s="145" t="n"/>
    </row>
    <row r="100" ht="12.75" customHeight="1" thickBot="1">
      <c r="A100" s="535" t="n"/>
      <c r="B100" s="536" t="n"/>
      <c r="C100" s="535" t="n"/>
      <c r="D100" s="535" t="n"/>
      <c r="E100" s="535" t="n"/>
      <c r="F100" s="814" t="n"/>
      <c r="G100" s="538" t="n"/>
      <c r="H100" s="539">
        <f>SUM(H66:H99)</f>
        <v/>
      </c>
      <c r="I100" s="89">
        <f>H100*1.15</f>
        <v/>
      </c>
    </row>
    <row r="101">
      <c r="A101" s="2" t="n"/>
      <c r="B101" s="22" t="n"/>
      <c r="C101" s="5" t="n"/>
      <c r="D101" s="5" t="n"/>
      <c r="E101" s="3" t="n"/>
      <c r="F101" s="815" t="n"/>
      <c r="G101" s="5" t="n"/>
      <c r="H101" s="120" t="inlineStr">
        <is>
          <t>DATA</t>
        </is>
      </c>
    </row>
    <row r="102" ht="23.25" customHeight="1">
      <c r="A102" s="9">
        <f>A2</f>
        <v/>
      </c>
      <c r="B102" s="23" t="n"/>
      <c r="D102" s="10" t="inlineStr">
        <is>
          <t>MÓDULO DE ORÇAMENTO</t>
        </is>
      </c>
      <c r="E102" s="1" t="n"/>
      <c r="H102" s="121" t="n"/>
    </row>
    <row r="103" ht="13.5" customHeight="1" thickBot="1">
      <c r="A103" s="85" t="n"/>
      <c r="B103" s="86" t="n"/>
      <c r="C103" s="87" t="n"/>
      <c r="D103" s="87" t="n"/>
      <c r="E103" s="87" t="n"/>
      <c r="F103" s="816" t="n"/>
      <c r="G103" s="87" t="n"/>
      <c r="H103" s="129">
        <f>H2</f>
        <v/>
      </c>
    </row>
    <row r="104">
      <c r="A104" s="34" t="inlineStr">
        <is>
          <t>CLIENTE:</t>
        </is>
      </c>
      <c r="B104" s="1" t="inlineStr">
        <is>
          <t>Ref./Cód. do Artigo</t>
        </is>
      </c>
      <c r="D104" s="1" t="n"/>
      <c r="E104" s="1" t="n"/>
      <c r="G104" s="69" t="inlineStr">
        <is>
          <t>Quantidade</t>
        </is>
      </c>
      <c r="H104" s="122" t="inlineStr">
        <is>
          <t>Rendimento</t>
        </is>
      </c>
    </row>
    <row r="105">
      <c r="A105" s="34" t="n"/>
      <c r="B105" s="817" t="n"/>
      <c r="G105" s="36" t="n"/>
      <c r="H105" s="123" t="n"/>
    </row>
    <row r="106">
      <c r="A106" s="35">
        <f>A6</f>
        <v/>
      </c>
      <c r="B106" s="818">
        <f>B6</f>
        <v/>
      </c>
      <c r="C106" s="30" t="n"/>
      <c r="D106" s="78" t="n"/>
      <c r="E106" s="30" t="n"/>
      <c r="F106" s="819" t="n"/>
      <c r="G106" s="47">
        <f>G6</f>
        <v/>
      </c>
      <c r="H106" s="35">
        <f>H6</f>
        <v/>
      </c>
    </row>
    <row r="107">
      <c r="A107" s="1" t="n"/>
      <c r="B107" s="8" t="n"/>
      <c r="F107" s="820" t="n"/>
      <c r="H107" s="124" t="n"/>
    </row>
    <row r="108">
      <c r="B108" s="8" t="n"/>
      <c r="G108" s="15" t="n"/>
      <c r="H108" s="125" t="n"/>
    </row>
    <row r="109">
      <c r="A109" s="609" t="inlineStr">
        <is>
          <t>SERVIÇOS INTERNOS</t>
        </is>
      </c>
      <c r="B109" s="609" t="inlineStr">
        <is>
          <t>Quantidade</t>
        </is>
      </c>
      <c r="C109" s="609" t="inlineStr">
        <is>
          <t>Formato</t>
        </is>
      </c>
      <c r="D109" s="772" t="n"/>
      <c r="E109" s="609" t="inlineStr">
        <is>
          <t>m²</t>
        </is>
      </c>
      <c r="F109" s="786" t="inlineStr">
        <is>
          <t>Preço Unitário</t>
        </is>
      </c>
      <c r="G109" s="821" t="inlineStr">
        <is>
          <t>Mínimos</t>
        </is>
      </c>
      <c r="H109" s="822" t="inlineStr">
        <is>
          <t>Valor</t>
        </is>
      </c>
    </row>
    <row r="110">
      <c r="A110" s="788" t="n"/>
      <c r="B110" s="788" t="n"/>
      <c r="C110" s="784" t="n"/>
      <c r="D110" s="777" t="n"/>
      <c r="E110" s="788" t="n"/>
      <c r="F110" s="788" t="n"/>
      <c r="G110" s="788" t="n"/>
      <c r="H110" s="788" t="n"/>
    </row>
    <row r="111" ht="15" customHeight="1">
      <c r="A111" s="153" t="inlineStr">
        <is>
          <t>Accoppiatura AVVIAMENTO</t>
        </is>
      </c>
      <c r="B111" s="540">
        <f>COUNTA(B112:B123)*produzioni</f>
        <v/>
      </c>
      <c r="C111" s="39" t="n"/>
      <c r="D111" s="38" t="n"/>
      <c r="E111" s="35" t="n"/>
      <c r="F111" s="543" t="n">
        <v>100</v>
      </c>
      <c r="G111" s="544" t="n"/>
      <c r="H111" s="517">
        <f>B111*F111</f>
        <v/>
      </c>
      <c r="I111" s="145" t="n"/>
      <c r="J111" s="145" t="n"/>
      <c r="K111" s="145" t="n"/>
    </row>
    <row r="112" ht="15" customHeight="1">
      <c r="A112" s="38" t="inlineStr">
        <is>
          <t>Acoplagem frente</t>
        </is>
      </c>
      <c r="B112" s="513">
        <f>B26*0.99</f>
        <v/>
      </c>
      <c r="C112" s="39">
        <f>IF(B112&gt;0,L38,0)</f>
        <v/>
      </c>
      <c r="D112" s="39">
        <f>IF(B112&gt;0,M38,0)</f>
        <v/>
      </c>
      <c r="E112" s="138">
        <f>((C112/1000)*(D112/1000))*B112</f>
        <v/>
      </c>
      <c r="F112" s="543">
        <f>IF(B112="","",0.15)</f>
        <v/>
      </c>
      <c r="G112" s="545">
        <f>IF(H112=40, "min","")</f>
        <v/>
      </c>
      <c r="H112" s="517">
        <f>IF(B112="",0,MAXA(B112*C112/1000*D112/1000*F112,40*produzioni))</f>
        <v/>
      </c>
      <c r="I112" s="194">
        <f t="array" ref="I112">IFERROR(INDIRECT("I"&amp;VALUE(LEFT(MID(_xlfn.FORMULATEXT(B112),FIND("B",_xlfn.FORMULATEXT(B112))+1,10),MATCH(FALSE,ISNUMBER(--MID(MID(_xlfn.FORMULATEXT(B112),FIND("B",_xlfn.FORMULATEXT(B112))+1,10),_xlfn.SEQUENCE(10),1)),0)-1))),"")</f>
        <v/>
      </c>
      <c r="J112" s="145" t="n"/>
      <c r="K112" s="145" t="n"/>
    </row>
    <row r="113" outlineLevel="2" ht="15" customHeight="1">
      <c r="A113" s="38" t="inlineStr">
        <is>
          <t>Acoplagem frente</t>
        </is>
      </c>
      <c r="B113" s="513">
        <f>+B137*0.99</f>
        <v/>
      </c>
      <c r="C113" s="39">
        <f>IF(B113&gt;0,L39,0)</f>
        <v/>
      </c>
      <c r="D113" s="39">
        <f>IF(B113&gt;0,M39,0)</f>
        <v/>
      </c>
      <c r="E113" s="138">
        <f>((C113/1000)*(D113/1000))*B113</f>
        <v/>
      </c>
      <c r="F113" s="543">
        <f>IF(B113="","",0.15)</f>
        <v/>
      </c>
      <c r="G113" s="545">
        <f>IF(H113=40, "min","")</f>
        <v/>
      </c>
      <c r="H113" s="517">
        <f>IF(B113="",0,MAXA(B113*C113/1000*D113/1000*F113,40*produzioni))</f>
        <v/>
      </c>
      <c r="I113" s="194">
        <f t="array" ref="I113">IFERROR(INDIRECT("I"&amp;VALUE(LEFT(MID(_xlfn.FORMULATEXT(B113),FIND("B",_xlfn.FORMULATEXT(B113))+1,10),MATCH(FALSE,ISNUMBER(--MID(MID(_xlfn.FORMULATEXT(B113),FIND("B",_xlfn.FORMULATEXT(B113))+1,10),_xlfn.SEQUENCE(10),1)),0)-1))),"")</f>
        <v/>
      </c>
      <c r="J113" s="145" t="n"/>
      <c r="K113" s="145" t="n"/>
    </row>
    <row r="114" outlineLevel="2" ht="15" customHeight="1">
      <c r="A114" s="38" t="inlineStr">
        <is>
          <t>Acoplagem frente</t>
        </is>
      </c>
      <c r="B114" s="513">
        <f>+B138*0.99</f>
        <v/>
      </c>
      <c r="C114" s="39">
        <f>IF(B114&gt;0,L40,0)</f>
        <v/>
      </c>
      <c r="D114" s="39">
        <f>IF(B114&gt;0,M40,0)</f>
        <v/>
      </c>
      <c r="E114" s="138">
        <f>((C114/1000)*(D114/1000))*B114</f>
        <v/>
      </c>
      <c r="F114" s="543">
        <f>IF(B114="","",0.15)</f>
        <v/>
      </c>
      <c r="G114" s="545">
        <f>IF(H114=40, "min","")</f>
        <v/>
      </c>
      <c r="H114" s="517">
        <f>IF(B114="",0,MAXA(B114*C114/1000*D114/1000*F114,40*produzioni))</f>
        <v/>
      </c>
      <c r="I114" s="194">
        <f t="array" ref="I114">IFERROR(INDIRECT("I"&amp;VALUE(LEFT(MID(_xlfn.FORMULATEXT(B114),FIND("B",_xlfn.FORMULATEXT(B114))+1,10),MATCH(FALSE,ISNUMBER(--MID(MID(_xlfn.FORMULATEXT(B114),FIND("B",_xlfn.FORMULATEXT(B114))+1,10),_xlfn.SEQUENCE(10),1)),0)-1))),"")</f>
        <v/>
      </c>
      <c r="J114" s="145" t="n"/>
      <c r="K114" s="145" t="n"/>
    </row>
    <row r="115" outlineLevel="2" ht="15" customHeight="1">
      <c r="A115" s="38" t="inlineStr">
        <is>
          <t>Acoplagem frente</t>
        </is>
      </c>
      <c r="B115" s="513">
        <f>B29*0.99</f>
        <v/>
      </c>
      <c r="C115" s="39">
        <f>IF(B115&gt;0,L41,0)</f>
        <v/>
      </c>
      <c r="D115" s="39">
        <f>IF(B115&gt;0,M41,0)</f>
        <v/>
      </c>
      <c r="E115" s="138">
        <f>((C115/1000)*(D115/1000))*B115</f>
        <v/>
      </c>
      <c r="F115" s="543">
        <f>IF(B115="","",0.15)</f>
        <v/>
      </c>
      <c r="G115" s="545">
        <f>IF(H115=40, "min","")</f>
        <v/>
      </c>
      <c r="H115" s="517">
        <f>IF(B115="",0,MAXA(B115*C115/1000*D115/1000*F115,40*produzioni))</f>
        <v/>
      </c>
      <c r="I115" s="194">
        <f t="array" ref="I115">IFERROR(INDIRECT("I"&amp;VALUE(LEFT(MID(_xlfn.FORMULATEXT(B115),FIND("B",_xlfn.FORMULATEXT(B115))+1,10),MATCH(FALSE,ISNUMBER(--MID(MID(_xlfn.FORMULATEXT(B115),FIND("B",_xlfn.FORMULATEXT(B115))+1,10),_xlfn.SEQUENCE(10),1)),0)-1))),"")</f>
        <v/>
      </c>
      <c r="J115" s="145" t="n"/>
      <c r="K115" s="145" t="n"/>
    </row>
    <row r="116" outlineLevel="2" ht="15" customHeight="1">
      <c r="A116" s="38" t="inlineStr">
        <is>
          <t>Acoplagem frente</t>
        </is>
      </c>
      <c r="B116" s="513">
        <f>+B139*0.99</f>
        <v/>
      </c>
      <c r="C116" s="39">
        <f>IF(B116&gt;0,L42,0)</f>
        <v/>
      </c>
      <c r="D116" s="39">
        <f>IF(B116&gt;0,M42,0)</f>
        <v/>
      </c>
      <c r="E116" s="138">
        <f>((C116/1000)*(D116/1000))*B116</f>
        <v/>
      </c>
      <c r="F116" s="543">
        <f>IF(B116="","",0.15)</f>
        <v/>
      </c>
      <c r="G116" s="545">
        <f>IF(H116=40, "min","")</f>
        <v/>
      </c>
      <c r="H116" s="517">
        <f>IF(B116="",0,MAXA(B116*C116/1000*D116/1000*F116,40*produzioni))</f>
        <v/>
      </c>
      <c r="I116" s="194">
        <f t="array" ref="I116">IFERROR(INDIRECT("I"&amp;VALUE(LEFT(MID(_xlfn.FORMULATEXT(B116),FIND("B",_xlfn.FORMULATEXT(B116))+1,10),MATCH(FALSE,ISNUMBER(--MID(MID(_xlfn.FORMULATEXT(B116),FIND("B",_xlfn.FORMULATEXT(B116))+1,10),_xlfn.SEQUENCE(10),1)),0)-1))),"")</f>
        <v/>
      </c>
      <c r="J116" s="145" t="n"/>
      <c r="K116" s="145" t="n"/>
    </row>
    <row r="117" outlineLevel="2" ht="15" customHeight="1">
      <c r="A117" s="38" t="inlineStr">
        <is>
          <t>Acoplagem frente</t>
        </is>
      </c>
      <c r="B117" s="513">
        <f>+B140*0.99</f>
        <v/>
      </c>
      <c r="C117" s="39">
        <f>IF(B117&gt;0,L43,0)</f>
        <v/>
      </c>
      <c r="D117" s="39">
        <f>IF(B117&gt;0,M43,0)</f>
        <v/>
      </c>
      <c r="E117" s="138">
        <f>((C117/1000)*(D117/1000))*B117</f>
        <v/>
      </c>
      <c r="F117" s="543">
        <f>IF(B117="","",0.15)</f>
        <v/>
      </c>
      <c r="G117" s="545">
        <f>IF(H117=40, "min","")</f>
        <v/>
      </c>
      <c r="H117" s="517">
        <f>IF(B117="",0,MAXA(B117*C117/1000*D117/1000*F117,40*produzioni))</f>
        <v/>
      </c>
      <c r="I117" s="194">
        <f t="array" ref="I117">IFERROR(INDIRECT("I"&amp;VALUE(LEFT(MID(_xlfn.FORMULATEXT(B117),FIND("B",_xlfn.FORMULATEXT(B117))+1,10),MATCH(FALSE,ISNUMBER(--MID(MID(_xlfn.FORMULATEXT(B117),FIND("B",_xlfn.FORMULATEXT(B117))+1,10),_xlfn.SEQUENCE(10),1)),0)-1))),"")</f>
        <v/>
      </c>
      <c r="J117" s="145" t="n"/>
      <c r="K117" s="145" t="n"/>
    </row>
    <row r="118" hidden="1" outlineLevel="2" ht="15" customHeight="1">
      <c r="A118" s="38" t="inlineStr">
        <is>
          <t>Acoplagem frente</t>
        </is>
      </c>
      <c r="B118" s="513" t="n"/>
      <c r="C118" s="39">
        <f>IF(B118&gt;0,L44,0)</f>
        <v/>
      </c>
      <c r="D118" s="39">
        <f>IF(B118&gt;0,M44,0)</f>
        <v/>
      </c>
      <c r="E118" s="138">
        <f>((C118/1000)*(D118/1000))*B118</f>
        <v/>
      </c>
      <c r="F118" s="543">
        <f>IF(B118="","",0.15)</f>
        <v/>
      </c>
      <c r="G118" s="545">
        <f>IF(H118=40, "min","")</f>
        <v/>
      </c>
      <c r="H118" s="517">
        <f>IF(B118="",0,MAXA(B118*C118/1000*D118/1000*F118,40*produzioni))</f>
        <v/>
      </c>
      <c r="I118" s="194">
        <f t="array" ref="I118">IFERROR(INDIRECT("I"&amp;VALUE(LEFT(MID(_xlfn.FORMULATEXT(B118),FIND("B",_xlfn.FORMULATEXT(B118))+1,10),MATCH(FALSE,ISNUMBER(--MID(MID(_xlfn.FORMULATEXT(B118),FIND("B",_xlfn.FORMULATEXT(B118))+1,10),_xlfn.SEQUENCE(10),1)),0)-1))),"")</f>
        <v/>
      </c>
      <c r="J118" s="145" t="n"/>
      <c r="K118" s="145" t="n"/>
    </row>
    <row r="119" hidden="1" outlineLevel="2" ht="15" customHeight="1">
      <c r="A119" s="38" t="inlineStr">
        <is>
          <t>Acoplagem frente</t>
        </is>
      </c>
      <c r="B119" s="513" t="n"/>
      <c r="C119" s="39">
        <f>IF(B119&gt;0,L45,0)</f>
        <v/>
      </c>
      <c r="D119" s="39">
        <f>IF(B119&gt;0,M45,0)</f>
        <v/>
      </c>
      <c r="E119" s="138">
        <f>((C119/1000)*(D119/1000))*B119</f>
        <v/>
      </c>
      <c r="F119" s="543">
        <f>IF(B119="","",0.15)</f>
        <v/>
      </c>
      <c r="G119" s="545">
        <f>IF(H119=40, "min","")</f>
        <v/>
      </c>
      <c r="H119" s="517">
        <f>IF(B119="",0,MAXA(B119*C119/1000*D119/1000*F119,40*produzioni))</f>
        <v/>
      </c>
      <c r="I119" s="194">
        <f t="array" ref="I119">IFERROR(INDIRECT("I"&amp;VALUE(LEFT(MID(_xlfn.FORMULATEXT(B119),FIND("B",_xlfn.FORMULATEXT(B119))+1,10),MATCH(FALSE,ISNUMBER(--MID(MID(_xlfn.FORMULATEXT(B119),FIND("B",_xlfn.FORMULATEXT(B119))+1,10),_xlfn.SEQUENCE(10),1)),0)-1))),"")</f>
        <v/>
      </c>
      <c r="J119" s="145" t="n"/>
      <c r="K119" s="145" t="n"/>
    </row>
    <row r="120" hidden="1" outlineLevel="2" ht="15" customHeight="1">
      <c r="A120" s="38" t="inlineStr">
        <is>
          <t>Acoplagem frente</t>
        </is>
      </c>
      <c r="B120" s="513" t="n"/>
      <c r="C120" s="39">
        <f>IF(B120&gt;0,L46,0)</f>
        <v/>
      </c>
      <c r="D120" s="39">
        <f>IF(B120&gt;0,M46,0)</f>
        <v/>
      </c>
      <c r="E120" s="138">
        <f>((C120/1000)*(D120/1000))*B120</f>
        <v/>
      </c>
      <c r="F120" s="543">
        <f>IF(B120="","",0.15)</f>
        <v/>
      </c>
      <c r="G120" s="545">
        <f>IF(H120=40, "min","")</f>
        <v/>
      </c>
      <c r="H120" s="517">
        <f>IF(B120="",0,MAXA(B120*C120/1000*D120/1000*F120,40*produzioni))</f>
        <v/>
      </c>
      <c r="I120" s="194">
        <f t="array" ref="I120">IFERROR(INDIRECT("I"&amp;VALUE(LEFT(MID(_xlfn.FORMULATEXT(B120),FIND("B",_xlfn.FORMULATEXT(B120))+1,10),MATCH(FALSE,ISNUMBER(--MID(MID(_xlfn.FORMULATEXT(B120),FIND("B",_xlfn.FORMULATEXT(B120))+1,10),_xlfn.SEQUENCE(10),1)),0)-1))),"")</f>
        <v/>
      </c>
      <c r="J120" s="145" t="n"/>
      <c r="K120" s="145" t="n"/>
    </row>
    <row r="121" hidden="1" outlineLevel="2" ht="15" customHeight="1">
      <c r="A121" s="38" t="inlineStr">
        <is>
          <t>Acoplagem frente</t>
        </is>
      </c>
      <c r="B121" s="513" t="n"/>
      <c r="C121" s="39">
        <f>IF(B121&gt;0,L47,0)</f>
        <v/>
      </c>
      <c r="D121" s="39">
        <f>IF(B121&gt;0,M47,0)</f>
        <v/>
      </c>
      <c r="E121" s="138">
        <f>((C121/1000)*(D121/1000))*B121</f>
        <v/>
      </c>
      <c r="F121" s="543">
        <f>IF(B121="","",0.15)</f>
        <v/>
      </c>
      <c r="G121" s="545">
        <f>IF(H121=40, "min","")</f>
        <v/>
      </c>
      <c r="H121" s="517">
        <f>IF(B121="",0,MAXA(B121*C121/1000*D121/1000*F121,40*produzioni))</f>
        <v/>
      </c>
      <c r="I121" s="194">
        <f t="array" ref="I121">IFERROR(INDIRECT("I"&amp;VALUE(LEFT(MID(_xlfn.FORMULATEXT(B121),FIND("B",_xlfn.FORMULATEXT(B121))+1,10),MATCH(FALSE,ISNUMBER(--MID(MID(_xlfn.FORMULATEXT(B121),FIND("B",_xlfn.FORMULATEXT(B121))+1,10),_xlfn.SEQUENCE(10),1)),0)-1))),"")</f>
        <v/>
      </c>
      <c r="J121" s="145" t="n"/>
      <c r="K121" s="145" t="n"/>
    </row>
    <row r="122" hidden="1" outlineLevel="2" ht="15" customHeight="1">
      <c r="A122" s="38" t="inlineStr">
        <is>
          <t>Acoplagem frente</t>
        </is>
      </c>
      <c r="B122" s="513" t="n"/>
      <c r="C122" s="39">
        <f>IF(B122&gt;0,L48,0)</f>
        <v/>
      </c>
      <c r="D122" s="39">
        <f>IF(B122&gt;0,M48,0)</f>
        <v/>
      </c>
      <c r="E122" s="138">
        <f>((C122/1000)*(D122/1000))*B122</f>
        <v/>
      </c>
      <c r="F122" s="543">
        <f>IF(B122="","",0.15)</f>
        <v/>
      </c>
      <c r="G122" s="545">
        <f>IF(H122=40, "min","")</f>
        <v/>
      </c>
      <c r="H122" s="517">
        <f>IF(B122="",0,MAXA(B122*C122/1000*D122/1000*F122,40*produzioni))</f>
        <v/>
      </c>
      <c r="I122" s="194">
        <f t="array" ref="I122">IFERROR(INDIRECT("I"&amp;VALUE(LEFT(MID(_xlfn.FORMULATEXT(B122),FIND("B",_xlfn.FORMULATEXT(B122))+1,10),MATCH(FALSE,ISNUMBER(--MID(MID(_xlfn.FORMULATEXT(B122),FIND("B",_xlfn.FORMULATEXT(B122))+1,10),_xlfn.SEQUENCE(10),1)),0)-1))),"")</f>
        <v/>
      </c>
      <c r="J122" s="145" t="n"/>
      <c r="K122" s="145" t="n"/>
    </row>
    <row r="123" hidden="1" outlineLevel="2" ht="15" customHeight="1">
      <c r="A123" s="38" t="inlineStr">
        <is>
          <t>Acoplagem frente</t>
        </is>
      </c>
      <c r="B123" s="513" t="n"/>
      <c r="C123" s="39">
        <f>IF(B123&gt;0,L49,0)</f>
        <v/>
      </c>
      <c r="D123" s="39">
        <f>IF(B123&gt;0,M49,0)</f>
        <v/>
      </c>
      <c r="E123" s="138">
        <f>((C123/1000)*(D123/1000))*B123</f>
        <v/>
      </c>
      <c r="F123" s="543">
        <f>IF(B123="","",0.15)</f>
        <v/>
      </c>
      <c r="G123" s="545">
        <f>IF(H123=40, "min","")</f>
        <v/>
      </c>
      <c r="H123" s="517">
        <f>IF(B123="",0,MAXA(B123*C123/1000*D123/1000*F123,40*produzioni))</f>
        <v/>
      </c>
      <c r="I123" s="194">
        <f t="array" ref="I123">IFERROR(INDIRECT("I"&amp;VALUE(LEFT(MID(_xlfn.FORMULATEXT(B123),FIND("B",_xlfn.FORMULATEXT(B123))+1,10),MATCH(FALSE,ISNUMBER(--MID(MID(_xlfn.FORMULATEXT(B123),FIND("B",_xlfn.FORMULATEXT(B123))+1,10),_xlfn.SEQUENCE(10),1)),0)-1))),"")</f>
        <v/>
      </c>
      <c r="J123" s="145" t="n"/>
      <c r="K123" s="145" t="n"/>
    </row>
    <row r="124" ht="15" customHeight="1">
      <c r="A124" s="38" t="inlineStr">
        <is>
          <t>Acoplagem verso</t>
        </is>
      </c>
      <c r="B124" s="513" t="n"/>
      <c r="C124" s="39">
        <f>IF(B124&gt;0,C112,0)</f>
        <v/>
      </c>
      <c r="D124" s="39">
        <f>IF(B124&gt;0,D112,0)</f>
        <v/>
      </c>
      <c r="E124" s="138">
        <f>((C124/1000)*(D124/1000))*B124</f>
        <v/>
      </c>
      <c r="F124" s="543">
        <f>IF(B124&gt;0,F112*1.1,0)</f>
        <v/>
      </c>
      <c r="G124" s="545">
        <f>IF(B124*C124/1000*D124/1000*F124&gt;40, B124*C124/1000*D124/1000*F124, 40)</f>
        <v/>
      </c>
      <c r="H124" s="517">
        <f>B124*C124/1000*D124/1000*F124</f>
        <v/>
      </c>
      <c r="I124" s="194">
        <f t="array" ref="I124">IFERROR(INDIRECT("I"&amp;VALUE(LEFT(MID(_xlfn.FORMULATEXT(B124),FIND("B",_xlfn.FORMULATEXT(B124))+1,10),MATCH(FALSE,ISNUMBER(--MID(MID(_xlfn.FORMULATEXT(B124),FIND("B",_xlfn.FORMULATEXT(B124))+1,10),_xlfn.SEQUENCE(10),1)),0)-1))),"")</f>
        <v/>
      </c>
      <c r="J124" s="145" t="n"/>
      <c r="K124" s="145" t="n"/>
    </row>
    <row r="125" hidden="1" ht="15" customHeight="1">
      <c r="A125" s="38" t="inlineStr">
        <is>
          <t>Acoplagem verso</t>
        </is>
      </c>
      <c r="B125" s="513" t="n"/>
      <c r="C125" s="39">
        <f>IF(B125&gt;0,C113,0)</f>
        <v/>
      </c>
      <c r="D125" s="39">
        <f>IF(B125&gt;0,D113,0)</f>
        <v/>
      </c>
      <c r="E125" s="138">
        <f>((C125/1000)*(D125/1000))*B125</f>
        <v/>
      </c>
      <c r="F125" s="543">
        <f>IF(B125&gt;0,F113*1.1,0)</f>
        <v/>
      </c>
      <c r="G125" s="545">
        <f>IF(B125*C125/1000*D125/1000*F125&gt;40, B125*C125/1000*D125/1000*F125, 40)</f>
        <v/>
      </c>
      <c r="H125" s="517">
        <f>B125*C125/1000*D125/1000*F125</f>
        <v/>
      </c>
      <c r="I125" s="194">
        <f t="array" ref="I125">IFERROR(
   INDIRECT("I"&amp;
      VALUE(
         LEFT(
            MID(
               _xlfn.FORMULATEXT(B125),
               FIND("B",_xlfn.FORMULATEXT(B125))+1,
               10
            ),
            MATCH(
               FALSE,
               ISNUMBER(--MID(
                   MID(_xlfn.FORMULATEXT(B125),FIND("B",_xlfn.FORMULATEXT(B125))+1,10),
                   _xlfn.SEQUENCE(10),
                   1
               )),
               0
            )-1
         )
      )
   ),
"")</f>
        <v/>
      </c>
      <c r="J125" s="145" t="n"/>
      <c r="K125" s="145" t="n"/>
    </row>
    <row r="126" hidden="1" ht="15" customHeight="1">
      <c r="A126" s="38" t="inlineStr">
        <is>
          <t>Acoplagem verso</t>
        </is>
      </c>
      <c r="B126" s="513" t="n"/>
      <c r="C126" s="39">
        <f>IF(B126&gt;0,C114,0)</f>
        <v/>
      </c>
      <c r="D126" s="39">
        <f>IF(B126&gt;0,D114,0)</f>
        <v/>
      </c>
      <c r="E126" s="138">
        <f>((C126/1000)*(D126/1000))*B126</f>
        <v/>
      </c>
      <c r="F126" s="543">
        <f>IF(B126&gt;0,F114*1.1,0)</f>
        <v/>
      </c>
      <c r="G126" s="545">
        <f>IF(B126*C126/1000*D126/1000*F126&gt;40, B126*C126/1000*D126/1000*F126, 40)</f>
        <v/>
      </c>
      <c r="H126" s="517">
        <f>B126*C126/1000*D126/1000*F126</f>
        <v/>
      </c>
      <c r="I126" s="194">
        <f t="array" ref="I126">IFERROR(
   INDIRECT("I"&amp;
      VALUE(
         LEFT(
            MID(
               _xlfn.FORMULATEXT(B126),
               FIND("B",_xlfn.FORMULATEXT(B126))+1,
               10
            ),
            MATCH(
               FALSE,
               ISNUMBER(--MID(
                   MID(_xlfn.FORMULATEXT(B126),FIND("B",_xlfn.FORMULATEXT(B126))+1,10),
                   _xlfn.SEQUENCE(10),
                   1
               )),
               0
            )-1
         )
      )
   ),
"")</f>
        <v/>
      </c>
      <c r="J126" s="145" t="n"/>
      <c r="K126" s="145" t="n"/>
    </row>
    <row r="127" hidden="1" ht="15" customHeight="1">
      <c r="A127" s="38" t="inlineStr">
        <is>
          <t>Acoplagem verso</t>
        </is>
      </c>
      <c r="B127" s="513" t="n"/>
      <c r="C127" s="39">
        <f>IF(B127&gt;0,C115,0)</f>
        <v/>
      </c>
      <c r="D127" s="39">
        <f>IF(B127&gt;0,D115,0)</f>
        <v/>
      </c>
      <c r="E127" s="138">
        <f>((C127/1000)*(D127/1000))*B127</f>
        <v/>
      </c>
      <c r="F127" s="543">
        <f>IF(B127&gt;0,F115*1.1,0)</f>
        <v/>
      </c>
      <c r="G127" s="545">
        <f>IF(B127*C127/1000*D127/1000*F127&gt;40, B127*C127/1000*D127/1000*F127, 40)</f>
        <v/>
      </c>
      <c r="H127" s="517">
        <f>B127*C127/1000*D127/1000*F127</f>
        <v/>
      </c>
      <c r="I127" s="194">
        <f t="array" ref="I127">IFERROR(
   INDIRECT("I"&amp;
      VALUE(
         LEFT(
            MID(
               _xlfn.FORMULATEXT(B127),
               FIND("B",_xlfn.FORMULATEXT(B127))+1,
               10
            ),
            MATCH(
               FALSE,
               ISNUMBER(--MID(
                   MID(_xlfn.FORMULATEXT(B127),FIND("B",_xlfn.FORMULATEXT(B127))+1,10),
                   _xlfn.SEQUENCE(10),
                   1
               )),
               0
            )-1
         )
      )
   ),
"")</f>
        <v/>
      </c>
      <c r="J127" s="145" t="n"/>
      <c r="K127" s="145" t="n"/>
    </row>
    <row r="128" hidden="1" ht="15" customHeight="1">
      <c r="A128" s="38" t="inlineStr">
        <is>
          <t>Acoplagem verso</t>
        </is>
      </c>
      <c r="B128" s="513" t="n"/>
      <c r="C128" s="39">
        <f>IF(B128&gt;0,C116,0)</f>
        <v/>
      </c>
      <c r="D128" s="39">
        <f>IF(B128&gt;0,D116,0)</f>
        <v/>
      </c>
      <c r="E128" s="138">
        <f>((C128/1000)*(D128/1000))*B128</f>
        <v/>
      </c>
      <c r="F128" s="543">
        <f>IF(B128&gt;0,F116*1.1,0)</f>
        <v/>
      </c>
      <c r="G128" s="545">
        <f>IF(B128*C128/1000*D128/1000*F128&gt;40, B128*C128/1000*D128/1000*F128, 40)</f>
        <v/>
      </c>
      <c r="H128" s="517">
        <f>B128*C128/1000*D128/1000*F128</f>
        <v/>
      </c>
      <c r="I128" s="194">
        <f t="array" ref="I128">IFERROR(
   INDIRECT("I"&amp;
      VALUE(
         LEFT(
            MID(
               _xlfn.FORMULATEXT(B128),
               FIND("B",_xlfn.FORMULATEXT(B128))+1,
               10
            ),
            MATCH(
               FALSE,
               ISNUMBER(--MID(
                   MID(_xlfn.FORMULATEXT(B128),FIND("B",_xlfn.FORMULATEXT(B128))+1,10),
                   _xlfn.SEQUENCE(10),
                   1
               )),
               0
            )-1
         )
      )
   ),
"")</f>
        <v/>
      </c>
      <c r="J128" s="145" t="n"/>
      <c r="K128" s="145" t="n"/>
    </row>
    <row r="129" hidden="1" ht="15" customHeight="1">
      <c r="A129" s="38" t="inlineStr">
        <is>
          <t>Acoplagem verso</t>
        </is>
      </c>
      <c r="B129" s="513" t="n"/>
      <c r="C129" s="39">
        <f>IF(B129&gt;0,C117,0)</f>
        <v/>
      </c>
      <c r="D129" s="39">
        <f>IF(B129&gt;0,D117,0)</f>
        <v/>
      </c>
      <c r="E129" s="138">
        <f>((C129/1000)*(D129/1000))*B129</f>
        <v/>
      </c>
      <c r="F129" s="543">
        <f>IF(B129&gt;0,F117*1.1,0)</f>
        <v/>
      </c>
      <c r="G129" s="545">
        <f>IF(B129*C129/1000*D129/1000*F129&gt;40, B129*C129/1000*D129/1000*F129, 40)</f>
        <v/>
      </c>
      <c r="H129" s="517">
        <f>B129*C129/1000*D129/1000*F129</f>
        <v/>
      </c>
      <c r="I129" s="194">
        <f t="array" ref="I129">IFERROR(
   INDIRECT("I"&amp;
      VALUE(
         LEFT(
            MID(
               _xlfn.FORMULATEXT(B129),
               FIND("B",_xlfn.FORMULATEXT(B129))+1,
               10
            ),
            MATCH(
               FALSE,
               ISNUMBER(--MID(
                   MID(_xlfn.FORMULATEXT(B129),FIND("B",_xlfn.FORMULATEXT(B129))+1,10),
                   _xlfn.SEQUENCE(10),
                   1
               )),
               0
            )-1
         )
      )
   ),
"")</f>
        <v/>
      </c>
      <c r="J129" s="145" t="n"/>
      <c r="K129" s="145" t="n"/>
    </row>
    <row r="130" hidden="1" ht="15" customHeight="1">
      <c r="A130" s="38" t="inlineStr">
        <is>
          <t>Acoplagem verso</t>
        </is>
      </c>
      <c r="B130" s="513" t="n"/>
      <c r="C130" s="39">
        <f>IF(B130&gt;0,C118,0)</f>
        <v/>
      </c>
      <c r="D130" s="39">
        <f>IF(B130&gt;0,D118,0)</f>
        <v/>
      </c>
      <c r="E130" s="138">
        <f>((C130/1000)*(D130/1000))*B130</f>
        <v/>
      </c>
      <c r="F130" s="543">
        <f>IF(B130&gt;0,F118*1.1,0)</f>
        <v/>
      </c>
      <c r="G130" s="545">
        <f>IF(B130*C130/1000*D130/1000*F130&gt;40, B130*C130/1000*D130/1000*F130, 40)</f>
        <v/>
      </c>
      <c r="H130" s="517">
        <f>B130*C130/1000*D130/1000*F130</f>
        <v/>
      </c>
      <c r="I130" s="194">
        <f t="array" ref="I130">IFERROR(
   INDIRECT("I"&amp;
      VALUE(
         LEFT(
            MID(
               _xlfn.FORMULATEXT(B130),
               FIND("B",_xlfn.FORMULATEXT(B130))+1,
               10
            ),
            MATCH(
               FALSE,
               ISNUMBER(--MID(
                   MID(_xlfn.FORMULATEXT(B130),FIND("B",_xlfn.FORMULATEXT(B130))+1,10),
                   _xlfn.SEQUENCE(10),
                   1
               )),
               0
            )-1
         )
      )
   ),
"")</f>
        <v/>
      </c>
      <c r="J130" s="145" t="n"/>
      <c r="K130" s="145" t="n"/>
    </row>
    <row r="131" hidden="1" ht="15" customHeight="1">
      <c r="A131" s="38" t="inlineStr">
        <is>
          <t>Acoplagem verso</t>
        </is>
      </c>
      <c r="B131" s="513" t="n"/>
      <c r="C131" s="39">
        <f>IF(B131&gt;0,C119,0)</f>
        <v/>
      </c>
      <c r="D131" s="39">
        <f>IF(B131&gt;0,D119,0)</f>
        <v/>
      </c>
      <c r="E131" s="138">
        <f>((C131/1000)*(D131/1000))*B131</f>
        <v/>
      </c>
      <c r="F131" s="543">
        <f>IF(B131&gt;0,F119*1.1,0)</f>
        <v/>
      </c>
      <c r="G131" s="545">
        <f>IF(B131*C131/1000*D131/1000*F131&gt;40, B131*C131/1000*D131/1000*F131, 40)</f>
        <v/>
      </c>
      <c r="H131" s="517">
        <f>B131*C131/1000*D131/1000*F131</f>
        <v/>
      </c>
      <c r="I131" s="194">
        <f t="array" ref="I131">IFERROR(
   INDIRECT("I"&amp;
      VALUE(
         LEFT(
            MID(
               _xlfn.FORMULATEXT(B131),
               FIND("B",_xlfn.FORMULATEXT(B131))+1,
               10
            ),
            MATCH(
               FALSE,
               ISNUMBER(--MID(
                   MID(_xlfn.FORMULATEXT(B131),FIND("B",_xlfn.FORMULATEXT(B131))+1,10),
                   _xlfn.SEQUENCE(10),
                   1
               )),
               0
            )-1
         )
      )
   ),
"")</f>
        <v/>
      </c>
      <c r="J131" s="145" t="n"/>
      <c r="K131" s="145" t="n"/>
    </row>
    <row r="132" hidden="1" ht="15" customHeight="1">
      <c r="A132" s="38" t="inlineStr">
        <is>
          <t>Acoplagem verso</t>
        </is>
      </c>
      <c r="B132" s="513" t="n"/>
      <c r="C132" s="39">
        <f>IF(B132&gt;0,C120,0)</f>
        <v/>
      </c>
      <c r="D132" s="39">
        <f>IF(B132&gt;0,D120,0)</f>
        <v/>
      </c>
      <c r="E132" s="138">
        <f>((C132/1000)*(D132/1000))*B132</f>
        <v/>
      </c>
      <c r="F132" s="543">
        <f>IF(B132&gt;0,F120*1.1,0)</f>
        <v/>
      </c>
      <c r="G132" s="545">
        <f>IF(B132*C132/1000*D132/1000*F132&gt;40, B132*C132/1000*D132/1000*F132, 40)</f>
        <v/>
      </c>
      <c r="H132" s="517">
        <f>B132*C132/1000*D132/1000*F132</f>
        <v/>
      </c>
      <c r="I132" s="194">
        <f t="array" ref="I132">IFERROR(
   INDIRECT("I"&amp;
      VALUE(
         LEFT(
            MID(
               _xlfn.FORMULATEXT(B132),
               FIND("B",_xlfn.FORMULATEXT(B132))+1,
               10
            ),
            MATCH(
               FALSE,
               ISNUMBER(--MID(
                   MID(_xlfn.FORMULATEXT(B132),FIND("B",_xlfn.FORMULATEXT(B132))+1,10),
                   _xlfn.SEQUENCE(10),
                   1
               )),
               0
            )-1
         )
      )
   ),
"")</f>
        <v/>
      </c>
      <c r="J132" s="145" t="n"/>
      <c r="K132" s="145" t="n"/>
    </row>
    <row r="133" hidden="1" ht="15" customHeight="1">
      <c r="A133" s="38" t="inlineStr">
        <is>
          <t>Acoplagem verso</t>
        </is>
      </c>
      <c r="B133" s="513" t="n"/>
      <c r="C133" s="39">
        <f>IF(B133&gt;0,C121,0)</f>
        <v/>
      </c>
      <c r="D133" s="39">
        <f>IF(B133&gt;0,D121,0)</f>
        <v/>
      </c>
      <c r="E133" s="138">
        <f>((C133/1000)*(D133/1000))*B133</f>
        <v/>
      </c>
      <c r="F133" s="543">
        <f>IF(B133&gt;0,F121*1.1,0)</f>
        <v/>
      </c>
      <c r="G133" s="545">
        <f>IF(B133*C133/1000*D133/1000*F133&gt;40, B133*C133/1000*D133/1000*F133, 40)</f>
        <v/>
      </c>
      <c r="H133" s="517">
        <f>B133*C133/1000*D133/1000*F133</f>
        <v/>
      </c>
      <c r="I133" s="194">
        <f t="array" ref="I133">IFERROR(
   INDIRECT("I"&amp;
      VALUE(
         LEFT(
            MID(
               _xlfn.FORMULATEXT(B133),
               FIND("B",_xlfn.FORMULATEXT(B133))+1,
               10
            ),
            MATCH(
               FALSE,
               ISNUMBER(--MID(
                   MID(_xlfn.FORMULATEXT(B133),FIND("B",_xlfn.FORMULATEXT(B133))+1,10),
                   _xlfn.SEQUENCE(10),
                   1
               )),
               0
            )-1
         )
      )
   ),
"")</f>
        <v/>
      </c>
      <c r="J133" s="145" t="n"/>
      <c r="K133" s="145" t="n"/>
    </row>
    <row r="134" hidden="1" ht="15" customHeight="1">
      <c r="A134" s="38" t="inlineStr">
        <is>
          <t>Acoplagem verso</t>
        </is>
      </c>
      <c r="B134" s="513" t="n"/>
      <c r="C134" s="39">
        <f>IF(B134&gt;0,C122,0)</f>
        <v/>
      </c>
      <c r="D134" s="39">
        <f>IF(B134&gt;0,D122,0)</f>
        <v/>
      </c>
      <c r="E134" s="138">
        <f>((C134/1000)*(D134/1000))*B134</f>
        <v/>
      </c>
      <c r="F134" s="543">
        <f>IF(B134&gt;0,F122*1.1,0)</f>
        <v/>
      </c>
      <c r="G134" s="545">
        <f>IF(B134*C134/1000*D134/1000*F134&gt;40, B134*C134/1000*D134/1000*F134, 40)</f>
        <v/>
      </c>
      <c r="H134" s="517">
        <f>B134*C134/1000*D134/1000*F134</f>
        <v/>
      </c>
      <c r="I134" s="194">
        <f t="array" ref="I134">IFERROR(
   INDIRECT("I"&amp;
      VALUE(
         LEFT(
            MID(
               _xlfn.FORMULATEXT(B134),
               FIND("B",_xlfn.FORMULATEXT(B134))+1,
               10
            ),
            MATCH(
               FALSE,
               ISNUMBER(--MID(
                   MID(_xlfn.FORMULATEXT(B134),FIND("B",_xlfn.FORMULATEXT(B134))+1,10),
                   _xlfn.SEQUENCE(10),
                   1
               )),
               0
            )-1
         )
      )
   ),
"")</f>
        <v/>
      </c>
      <c r="J134" s="145" t="n"/>
      <c r="K134" s="145" t="n"/>
    </row>
    <row r="135" hidden="1" ht="15" customHeight="1">
      <c r="A135" s="38" t="inlineStr">
        <is>
          <t>Acoplagem verso</t>
        </is>
      </c>
      <c r="B135" s="513" t="n"/>
      <c r="C135" s="39">
        <f>IF(B135&gt;0,C123,0)</f>
        <v/>
      </c>
      <c r="D135" s="39">
        <f>IF(B135&gt;0,D123,0)</f>
        <v/>
      </c>
      <c r="E135" s="138">
        <f>((C135/1000)*(D135/1000))*B135</f>
        <v/>
      </c>
      <c r="F135" s="543">
        <f>IF(B135&gt;0,F123*1.1,0)</f>
        <v/>
      </c>
      <c r="G135" s="545">
        <f>IF(B135*C135/1000*D135/1000*F135&gt;40, B135*C135/1000*D135/1000*F135, 40)</f>
        <v/>
      </c>
      <c r="H135" s="517">
        <f>B135*C135/1000*D135/1000*F135</f>
        <v/>
      </c>
      <c r="I135" s="194">
        <f t="array" ref="I135">IFERROR(
   INDIRECT("I"&amp;
      VALUE(
         LEFT(
            MID(
               _xlfn.FORMULATEXT(B135),
               FIND("B",_xlfn.FORMULATEXT(B135))+1,
               10
            ),
            MATCH(
               FALSE,
               ISNUMBER(--MID(
                   MID(_xlfn.FORMULATEXT(B135),FIND("B",_xlfn.FORMULATEXT(B135))+1,10),
                   _xlfn.SEQUENCE(10),
                   1
               )),
               0
            )-1
         )
      )
   ),
"")</f>
        <v/>
      </c>
      <c r="J135" s="145" t="n"/>
      <c r="K135" s="145" t="n"/>
    </row>
    <row r="136" outlineLevel="1" ht="15" customHeight="1">
      <c r="A136" s="153" t="inlineStr">
        <is>
          <t>Flexo AVV.</t>
        </is>
      </c>
      <c r="B136" s="513">
        <f>COUNTA(B137:B146)*grafiche*produzioni</f>
        <v/>
      </c>
      <c r="C136" s="39" t="n"/>
      <c r="D136" s="39" t="n"/>
      <c r="E136" s="38" t="n"/>
      <c r="F136" s="543" t="n">
        <v>120</v>
      </c>
      <c r="G136" s="545" t="n"/>
      <c r="H136" s="517">
        <f>B136*F136</f>
        <v/>
      </c>
      <c r="I136" s="145" t="n"/>
      <c r="J136" s="145" t="n"/>
      <c r="K136" s="145" t="n"/>
    </row>
    <row r="137" outlineLevel="1" ht="15" customHeight="1">
      <c r="A137" s="153" t="inlineStr">
        <is>
          <t>Flexo PASS.</t>
        </is>
      </c>
      <c r="B137" s="513">
        <f>+B27*0.99</f>
        <v/>
      </c>
      <c r="C137" s="39" t="n"/>
      <c r="D137" s="39" t="n"/>
      <c r="E137" s="38" t="n"/>
      <c r="F137" s="543" t="n">
        <v>0.15</v>
      </c>
      <c r="G137" s="545">
        <f>IF(AND(A137="Flexo HD PASS.", H137=120*B136), "min", IF(AND(A137="Flexo PASS.", H137=60*B136), "min", ""))</f>
        <v/>
      </c>
      <c r="H137" s="517">
        <f>IF(B137="",0,IF(A137="Flexo HD PASS.", MAXA(B137*F137,120*produzioni), IF(A137="Flexo PASS.", MAXA(B137*F137,60*produzioni))))</f>
        <v/>
      </c>
      <c r="I137" s="194">
        <f t="array" ref="I137">IFERROR(INDIRECT("I"&amp;VALUE(LEFT(MID(_xlfn.FORMULATEXT(B137),FIND("B",_xlfn.FORMULATEXT(B137))+1,10),MATCH(FALSE,ISNUMBER(--MID(MID(_xlfn.FORMULATEXT(B137),FIND("B",_xlfn.FORMULATEXT(B137))+1,10),_xlfn.SEQUENCE(10),1)),0)-1))),"")</f>
        <v/>
      </c>
      <c r="J137" s="145" t="n"/>
      <c r="K137" s="145" t="n"/>
      <c r="N137" s="339" t="n"/>
      <c r="O137" s="339" t="n"/>
      <c r="P137" s="339" t="n"/>
      <c r="Q137" s="339" t="n"/>
    </row>
    <row r="138" outlineLevel="1" ht="15" customHeight="1">
      <c r="A138" s="153" t="inlineStr">
        <is>
          <t>Flexo PASS.</t>
        </is>
      </c>
      <c r="B138" s="513">
        <f>+B28*0.99</f>
        <v/>
      </c>
      <c r="C138" s="39" t="n"/>
      <c r="D138" s="39" t="n"/>
      <c r="E138" s="38" t="n"/>
      <c r="F138" s="543" t="n">
        <v>0.15</v>
      </c>
      <c r="G138" s="545">
        <f>IF(AND(A138="Flexo HD PASS.", H138=120*B137), "min", IF(AND(A138="Flexo PASS.", H138=60*B137), "min", ""))</f>
        <v/>
      </c>
      <c r="H138" s="517">
        <f>IF(B138="",0,IF(A138="Flexo HD PASS.", MAXA(B138*F138,120*produzioni), IF(A138="Flexo PASS.", MAXA(B138*F138,60*produzioni))))</f>
        <v/>
      </c>
      <c r="I138" s="194">
        <f t="array" ref="I138">IFERROR(INDIRECT("I"&amp;VALUE(LEFT(MID(_xlfn.FORMULATEXT(B138),FIND("B",_xlfn.FORMULATEXT(B138))+1,10),MATCH(FALSE,ISNUMBER(--MID(MID(_xlfn.FORMULATEXT(B138),FIND("B",_xlfn.FORMULATEXT(B138))+1,10),_xlfn.SEQUENCE(10),1)),0)-1))),"")</f>
        <v/>
      </c>
      <c r="J138" s="145" t="n"/>
      <c r="K138" s="145" t="n"/>
      <c r="N138" s="339" t="n"/>
      <c r="O138" s="339" t="n"/>
      <c r="P138" s="339" t="n"/>
      <c r="Q138" s="339" t="n"/>
    </row>
    <row r="139" outlineLevel="1" ht="15" customHeight="1">
      <c r="A139" s="153" t="inlineStr">
        <is>
          <t>Flexo PASS.</t>
        </is>
      </c>
      <c r="B139" s="513">
        <f>B30*0.99</f>
        <v/>
      </c>
      <c r="C139" s="39" t="n"/>
      <c r="D139" s="39" t="n"/>
      <c r="E139" s="38" t="n"/>
      <c r="F139" s="543" t="n">
        <v>0.15</v>
      </c>
      <c r="G139" s="545">
        <f>IF(AND(A139="Flexo HD PASS.", H139=120*B138), "min", IF(AND(A139="Flexo PASS.", H139=60*B138), "min", ""))</f>
        <v/>
      </c>
      <c r="H139" s="517">
        <f>IF(B139="",0,IF(A139="Flexo HD PASS.", MAXA(B139*F139,120*produzioni), IF(A139="Flexo PASS.", MAXA(B139*F139,60*produzioni))))</f>
        <v/>
      </c>
      <c r="I139" s="194">
        <f t="array" ref="I139">IFERROR(INDIRECT("I"&amp;VALUE(LEFT(MID(_xlfn.FORMULATEXT(B139),FIND("B",_xlfn.FORMULATEXT(B139))+1,10),MATCH(FALSE,ISNUMBER(--MID(MID(_xlfn.FORMULATEXT(B139),FIND("B",_xlfn.FORMULATEXT(B139))+1,10),_xlfn.SEQUENCE(10),1)),0)-1))),"")</f>
        <v/>
      </c>
      <c r="J139" s="145" t="n"/>
      <c r="K139" s="145" t="n"/>
      <c r="N139" s="339" t="n"/>
      <c r="O139" s="339" t="n"/>
      <c r="P139" s="339" t="n"/>
      <c r="Q139" s="339" t="n"/>
    </row>
    <row r="140" outlineLevel="1" ht="15" customHeight="1">
      <c r="A140" s="153" t="inlineStr">
        <is>
          <t>Flexo PASS.</t>
        </is>
      </c>
      <c r="B140" s="513">
        <f>B31*0.99</f>
        <v/>
      </c>
      <c r="C140" s="39" t="n"/>
      <c r="D140" s="39" t="n"/>
      <c r="E140" s="38" t="n"/>
      <c r="F140" s="543" t="n">
        <v>0.15</v>
      </c>
      <c r="G140" s="545">
        <f>IF(AND(A140="Flexo HD PASS.", H140=120*B139), "min", IF(AND(A140="Flexo PASS.", H140=60*B139), "min", ""))</f>
        <v/>
      </c>
      <c r="H140" s="517">
        <f>IF(B140="",0,IF(A140="Flexo HD PASS.", MAXA(B140*F140,120*produzioni), IF(A140="Flexo PASS.", MAXA(B140*F140,60*produzioni))))</f>
        <v/>
      </c>
      <c r="I140" s="194">
        <f t="array" ref="I140">IFERROR(INDIRECT("I"&amp;VALUE(LEFT(MID(_xlfn.FORMULATEXT(B140),FIND("B",_xlfn.FORMULATEXT(B140))+1,10),MATCH(FALSE,ISNUMBER(--MID(MID(_xlfn.FORMULATEXT(B140),FIND("B",_xlfn.FORMULATEXT(B140))+1,10),_xlfn.SEQUENCE(10),1)),0)-1))),"")</f>
        <v/>
      </c>
      <c r="J140" s="145" t="n"/>
      <c r="K140" s="145" t="n"/>
      <c r="N140" s="339" t="n"/>
      <c r="O140" s="339" t="n"/>
      <c r="P140" s="339" t="n"/>
      <c r="Q140" s="339" t="n"/>
    </row>
    <row r="141" outlineLevel="1" ht="15" customHeight="1">
      <c r="A141" s="153" t="inlineStr">
        <is>
          <t>Flexo PASS.</t>
        </is>
      </c>
      <c r="B141" s="513">
        <f>B32*0.99</f>
        <v/>
      </c>
      <c r="C141" s="39" t="n"/>
      <c r="D141" s="39" t="n"/>
      <c r="E141" s="38" t="n"/>
      <c r="F141" s="543" t="n">
        <v>0.3</v>
      </c>
      <c r="G141" s="545">
        <f>IF(AND(A141="Flexo HD PASS.", H141=120*B140), "min", IF(AND(A141="Flexo PASS.", H141=60*B140), "min", ""))</f>
        <v/>
      </c>
      <c r="H141" s="517">
        <f>IF(B141="",0,IF(A141="Flexo HD PASS.", MAXA(B141*F141,120*produzioni), IF(A141="Flexo PASS.", MAXA(B141*F141,60*produzioni))))</f>
        <v/>
      </c>
      <c r="I141" s="194">
        <f t="array" ref="I141">IFERROR(INDIRECT("I"&amp;VALUE(LEFT(MID(_xlfn.FORMULATEXT(B141),FIND("B",_xlfn.FORMULATEXT(B141))+1,10),MATCH(FALSE,ISNUMBER(--MID(MID(_xlfn.FORMULATEXT(B141),FIND("B",_xlfn.FORMULATEXT(B141))+1,10),_xlfn.SEQUENCE(10),1)),0)-1))),"")</f>
        <v/>
      </c>
      <c r="J141" s="145" t="n"/>
      <c r="K141" s="145" t="n"/>
      <c r="N141" s="339" t="n"/>
      <c r="O141" s="339" t="n"/>
      <c r="P141" s="339" t="n"/>
      <c r="Q141" s="339" t="n"/>
    </row>
    <row r="142" hidden="1" outlineLevel="1" ht="15" customHeight="1">
      <c r="A142" s="153" t="inlineStr">
        <is>
          <t>Flexo HD PASS.</t>
        </is>
      </c>
      <c r="B142" s="513" t="n"/>
      <c r="C142" s="39" t="n"/>
      <c r="D142" s="39" t="n"/>
      <c r="E142" s="38" t="n"/>
      <c r="F142" s="543" t="n"/>
      <c r="G142" s="545">
        <f>IF(AND(A142="Flexo HD PASS.", H142=120*B141), "min", IF(AND(A142="Flexo PASS.", H142=60*B141), "min", ""))</f>
        <v/>
      </c>
      <c r="H142" s="517">
        <f>IF(B142="",0,IF(A142="Flexo HD PASS.", MAXA(B142*F142,120*produzioni), IF(A142="Flexo PASS.", MAXA(B142*F142,60*produzioni))))</f>
        <v/>
      </c>
      <c r="I142" s="194">
        <f t="array" ref="I142">IFERROR(INDIRECT("I"&amp;VALUE(LEFT(MID(_xlfn.FORMULATEXT(B142),FIND("B",_xlfn.FORMULATEXT(B142))+1,10),MATCH(FALSE,ISNUMBER(--MID(MID(_xlfn.FORMULATEXT(B142),FIND("B",_xlfn.FORMULATEXT(B142))+1,10),_xlfn.SEQUENCE(10),1)),0)-1))),"")</f>
        <v/>
      </c>
      <c r="J142" s="145" t="n"/>
      <c r="K142" s="145" t="n"/>
      <c r="N142" s="339" t="n"/>
      <c r="O142" s="339" t="n"/>
      <c r="P142" s="339" t="n"/>
      <c r="Q142" s="339" t="n"/>
    </row>
    <row r="143" hidden="1" outlineLevel="1" ht="15" customHeight="1">
      <c r="A143" s="153" t="inlineStr">
        <is>
          <t>Flexo HD PASS.</t>
        </is>
      </c>
      <c r="B143" s="513" t="n"/>
      <c r="C143" s="39" t="n"/>
      <c r="D143" s="39" t="n"/>
      <c r="E143" s="38" t="n"/>
      <c r="F143" s="543" t="n"/>
      <c r="G143" s="545">
        <f>IF(AND(A143="Flexo HD PASS.", H143=120*B142), "min", IF(AND(A143="Flexo PASS.", H143=60*B142), "min", ""))</f>
        <v/>
      </c>
      <c r="H143" s="517">
        <f>IF(B143="",0,IF(A143="Flexo HD PASS.", MAXA(B143*F143,120*produzioni), IF(A143="Flexo PASS.", MAXA(B143*F143,60*produzioni))))</f>
        <v/>
      </c>
      <c r="I143" s="194">
        <f t="array" ref="I143">IFERROR(INDIRECT("I"&amp;VALUE(LEFT(MID(_xlfn.FORMULATEXT(B143),FIND("B",_xlfn.FORMULATEXT(B143))+1,10),MATCH(FALSE,ISNUMBER(--MID(MID(_xlfn.FORMULATEXT(B143),FIND("B",_xlfn.FORMULATEXT(B143))+1,10),_xlfn.SEQUENCE(10),1)),0)-1))),"")</f>
        <v/>
      </c>
      <c r="J143" s="145" t="n"/>
      <c r="K143" s="145" t="n"/>
      <c r="N143" s="339" t="n"/>
      <c r="O143" s="339" t="n"/>
      <c r="P143" s="339" t="n"/>
      <c r="Q143" s="339" t="n"/>
    </row>
    <row r="144" hidden="1" outlineLevel="1" ht="15" customHeight="1">
      <c r="A144" s="153" t="inlineStr">
        <is>
          <t>Flexo HD PASS.</t>
        </is>
      </c>
      <c r="B144" s="513" t="n"/>
      <c r="C144" s="39" t="n"/>
      <c r="D144" s="39" t="n"/>
      <c r="E144" s="38" t="n"/>
      <c r="F144" s="543" t="n"/>
      <c r="G144" s="545">
        <f>IF(AND(A144="Flexo HD PASS.", H144=120*B143), "min", IF(AND(A144="Flexo PASS.", H144=60*B143), "min", ""))</f>
        <v/>
      </c>
      <c r="H144" s="517">
        <f>IF(B144="",0,IF(A144="Flexo HD PASS.", MAXA(B144*F144,120*produzioni), IF(A144="Flexo PASS.", MAXA(B144*F144,60*produzioni))))</f>
        <v/>
      </c>
      <c r="I144" s="194">
        <f t="array" ref="I144">IFERROR(INDIRECT("I"&amp;VALUE(LEFT(MID(_xlfn.FORMULATEXT(B144),FIND("B",_xlfn.FORMULATEXT(B144))+1,10),MATCH(FALSE,ISNUMBER(--MID(MID(_xlfn.FORMULATEXT(B144),FIND("B",_xlfn.FORMULATEXT(B144))+1,10),_xlfn.SEQUENCE(10),1)),0)-1))),"")</f>
        <v/>
      </c>
      <c r="J144" s="145" t="n"/>
      <c r="K144" s="145" t="n"/>
      <c r="N144" s="339" t="n"/>
      <c r="O144" s="339" t="n"/>
      <c r="P144" s="339" t="n"/>
      <c r="Q144" s="339" t="n"/>
    </row>
    <row r="145" hidden="1" outlineLevel="1" ht="15" customHeight="1">
      <c r="A145" s="153" t="inlineStr">
        <is>
          <t>Flexo HD PASS.</t>
        </is>
      </c>
      <c r="B145" s="513" t="n"/>
      <c r="C145" s="39" t="n"/>
      <c r="D145" s="39" t="n"/>
      <c r="E145" s="38" t="n"/>
      <c r="F145" s="543" t="n"/>
      <c r="G145" s="545">
        <f>IF(AND(A145="Flexo HD PASS.", H145=120*B144), "min", IF(AND(A145="Flexo PASS.", H145=60*B144), "min", ""))</f>
        <v/>
      </c>
      <c r="H145" s="517">
        <f>IF(B145="",0,IF(A145="Flexo HD PASS.", MAXA(B145*F145,120*produzioni), IF(A145="Flexo PASS.", MAXA(B145*F145,60*produzioni))))</f>
        <v/>
      </c>
      <c r="I145" s="194">
        <f t="array" ref="I145">IFERROR(INDIRECT("I"&amp;VALUE(LEFT(MID(_xlfn.FORMULATEXT(B145),FIND("B",_xlfn.FORMULATEXT(B145))+1,10),MATCH(FALSE,ISNUMBER(--MID(MID(_xlfn.FORMULATEXT(B145),FIND("B",_xlfn.FORMULATEXT(B145))+1,10),_xlfn.SEQUENCE(10),1)),0)-1))),"")</f>
        <v/>
      </c>
      <c r="J145" s="145" t="n"/>
      <c r="K145" s="145" t="n"/>
      <c r="N145" s="339" t="n"/>
      <c r="O145" s="339" t="n"/>
      <c r="P145" s="339" t="n"/>
      <c r="Q145" s="339" t="n"/>
    </row>
    <row r="146" hidden="1" outlineLevel="1" ht="15" customHeight="1">
      <c r="A146" s="153" t="inlineStr">
        <is>
          <t>Flexo HD PASS.</t>
        </is>
      </c>
      <c r="B146" s="513" t="n"/>
      <c r="C146" s="39" t="n"/>
      <c r="D146" s="39" t="n"/>
      <c r="E146" s="38" t="n"/>
      <c r="F146" s="543" t="n"/>
      <c r="G146" s="545">
        <f>IF(AND(A146="Flexo HD PASS.", H146=120*B145), "min", IF(AND(A146="Flexo PASS.", H146=60*B145), "min", ""))</f>
        <v/>
      </c>
      <c r="H146" s="517">
        <f>IF(B146="",0,IF(A146="Flexo HD PASS.", MAXA(B146*F146,120*produzioni), IF(A146="Flexo PASS.", MAXA(B146*F146,60*produzioni))))</f>
        <v/>
      </c>
      <c r="I146" s="194">
        <f t="array" ref="I146">IFERROR(INDIRECT("I"&amp;VALUE(LEFT(MID(_xlfn.FORMULATEXT(B146),FIND("B",_xlfn.FORMULATEXT(B146))+1,10),MATCH(FALSE,ISNUMBER(--MID(MID(_xlfn.FORMULATEXT(B146),FIND("B",_xlfn.FORMULATEXT(B146))+1,10),_xlfn.SEQUENCE(10),1)),0)-1))),"")</f>
        <v/>
      </c>
      <c r="J146" s="145" t="n"/>
      <c r="K146" s="145" t="n"/>
      <c r="N146" s="339" t="n"/>
      <c r="O146" s="339" t="n"/>
      <c r="P146" s="339" t="n"/>
      <c r="Q146" s="339" t="n"/>
    </row>
    <row r="147" outlineLevel="1" ht="15" customHeight="1">
      <c r="A147" s="38" t="inlineStr">
        <is>
          <t>Espalmação</t>
        </is>
      </c>
      <c r="B147" s="513" t="n"/>
      <c r="C147" s="39" t="n"/>
      <c r="D147" s="38" t="n"/>
      <c r="E147" s="38" t="n"/>
      <c r="F147" s="543" t="n"/>
      <c r="G147" s="545">
        <f>IF(B147*F147&gt;40, B147*F147, 100)</f>
        <v/>
      </c>
      <c r="H147" s="517">
        <f>(B147*C147/1000*D147/1000*80*F147/1000)</f>
        <v/>
      </c>
      <c r="I147" s="145" t="n"/>
      <c r="J147" s="145" t="n"/>
      <c r="K147" s="145" t="n"/>
      <c r="N147" s="330" t="n"/>
      <c r="O147" s="330" t="n"/>
      <c r="P147" s="330" t="n"/>
      <c r="Q147" s="330" t="n"/>
    </row>
    <row r="148" ht="15" customHeight="1">
      <c r="A148" s="153" t="inlineStr">
        <is>
          <t>Fustellatura Std AVV.TO</t>
        </is>
      </c>
      <c r="B148" s="513">
        <f>+COUNTA(B149:B161)*produzioni</f>
        <v/>
      </c>
      <c r="C148" s="39" t="n"/>
      <c r="D148" s="39" t="n"/>
      <c r="E148" s="38" t="n"/>
      <c r="F148" s="546">
        <f>+IF(B148=0,"",IF(B148="", "", VLOOKUP(A148,FUSTELLATURA[], 2,FALSE)))</f>
        <v/>
      </c>
      <c r="G148" s="545" t="n"/>
      <c r="H148" s="517">
        <f>IF(B148=0,0,IF(B148="", 0, B148*F148))</f>
        <v/>
      </c>
      <c r="I148" s="145" t="n"/>
      <c r="J148" s="444" t="inlineStr">
        <is>
          <t>mt lin.</t>
        </is>
      </c>
      <c r="K148" s="444" t="inlineStr">
        <is>
          <t>€/mt</t>
        </is>
      </c>
      <c r="L148" s="444" t="inlineStr">
        <is>
          <t>estratt.</t>
        </is>
      </c>
      <c r="M148" s="444" t="inlineStr">
        <is>
          <t>€/tot.</t>
        </is>
      </c>
      <c r="N148" s="446" t="inlineStr">
        <is>
          <t>mt/totali x taglio</t>
        </is>
      </c>
      <c r="O148" s="446" t="inlineStr">
        <is>
          <t>fustella esistente</t>
        </is>
      </c>
      <c r="P148" s="823" t="n"/>
      <c r="Q148" s="823" t="n"/>
    </row>
    <row r="149" ht="15" customHeight="1">
      <c r="A149" s="153" t="inlineStr">
        <is>
          <t>Fustellatura Std PASS.</t>
        </is>
      </c>
      <c r="B149" s="513">
        <f>+B112*0.99</f>
        <v/>
      </c>
      <c r="C149" s="39" t="n"/>
      <c r="D149" s="39" t="n"/>
      <c r="E149" s="38" t="n"/>
      <c r="F149" s="543">
        <f>IF(A149="Taglio Plotter al MTL",+N149*0.15,IF(B149="", "", IF(B149&gt;'Formato de estoque'!$O$5, VLOOKUP(calcolo!A149,FUSTELLATURA[],3,FALSE), IF(calcolo!B149&lt;'Formato de estoque'!$P$5, VLOOKUP(calcolo!A149, FUSTELLATURA[],4,FALSE)))))</f>
        <v/>
      </c>
      <c r="G149" s="545">
        <f>IF(H149=50, "min","")</f>
        <v/>
      </c>
      <c r="H149" s="517">
        <f>IF(B149="",0,MAXA(B149*F149,IF(A149="Taglio Plotter AL MTL",15,50)))</f>
        <v/>
      </c>
      <c r="I149" s="194">
        <f t="array" ref="I149">IFERROR(INDIRECT("I"&amp;VALUE(LEFT(MID(_xlfn.FORMULATEXT(B149),FIND("B",_xlfn.FORMULATEXT(B149))+1,10),MATCH(FALSE,ISNUMBER(--MID(MID(_xlfn.FORMULATEXT(B149),FIND("B",_xlfn.FORMULATEXT(B149))+1,10),_xlfn.SEQUENCE(10),1)),0)-1))),"")</f>
        <v/>
      </c>
      <c r="J149" s="445" t="n">
        <v>7.63</v>
      </c>
      <c r="K149" s="445" t="n">
        <v>18</v>
      </c>
      <c r="L149" s="445">
        <f>IF(A149="Taglio Plotter AL MTL",0,240)</f>
        <v/>
      </c>
      <c r="M149" s="445">
        <f>IF(A149="Taglio Plotter al MTL",0,IF(AND(J149&gt;0,O149="NO"),_xlfn.CEILING.MATH(((J149*K149)+L149),5),0))</f>
        <v/>
      </c>
      <c r="N149" s="445">
        <f>+J149</f>
        <v/>
      </c>
      <c r="O149" s="445" t="inlineStr">
        <is>
          <t>NO</t>
        </is>
      </c>
      <c r="P149" s="823" t="n"/>
      <c r="Q149" s="823" t="n"/>
    </row>
    <row r="150" outlineLevel="1" ht="15" customHeight="1">
      <c r="A150" s="153" t="inlineStr">
        <is>
          <t>Fustellatura Std PASS.</t>
        </is>
      </c>
      <c r="B150" s="513">
        <f>+B113*0.99</f>
        <v/>
      </c>
      <c r="C150" s="39" t="n"/>
      <c r="D150" s="39" t="n"/>
      <c r="E150" s="38" t="n"/>
      <c r="F150" s="543">
        <f>IF(A150="Taglio Plotter al MTL",+N150*0.15,IF(B150="", "", IF(B150&gt;'Formato de estoque'!$O$5, VLOOKUP(calcolo!A150,FUSTELLATURA[],3,FALSE), IF(calcolo!B150&lt;'Formato de estoque'!$P$5, VLOOKUP(calcolo!A150, FUSTELLATURA[],4,FALSE)))))</f>
        <v/>
      </c>
      <c r="G150" s="545">
        <f>IF(H150=50, "min","")</f>
        <v/>
      </c>
      <c r="H150" s="517">
        <f>IF(B150="",0,MAXA(B150*F150,IF(A150="Taglio Plotter AL MTL",15,50)))</f>
        <v/>
      </c>
      <c r="I150" s="194">
        <f t="array" ref="I150">IFERROR(INDIRECT("I"&amp;VALUE(LEFT(MID(_xlfn.FORMULATEXT(B150),FIND("B",_xlfn.FORMULATEXT(B150))+1,10),MATCH(FALSE,ISNUMBER(--MID(MID(_xlfn.FORMULATEXT(B150),FIND("B",_xlfn.FORMULATEXT(B150))+1,10),_xlfn.SEQUENCE(10),1)),0)-1))),"")</f>
        <v/>
      </c>
      <c r="J150" s="445" t="n">
        <v>11.93</v>
      </c>
      <c r="K150" s="445" t="n">
        <v>18</v>
      </c>
      <c r="L150" s="445">
        <f>IF(A150="Taglio Plotter AL MTL",0,240)</f>
        <v/>
      </c>
      <c r="M150" s="445">
        <f>IF(A150="Taglio Plotter al MTL",0,IF(AND(J150&gt;0,O150="NO"),_xlfn.CEILING.MATH(((J150*K150)+L150),5),0))</f>
        <v/>
      </c>
      <c r="N150" s="445">
        <f>+J150</f>
        <v/>
      </c>
      <c r="O150" s="445" t="inlineStr">
        <is>
          <t>NO</t>
        </is>
      </c>
      <c r="P150" s="823" t="n"/>
      <c r="Q150" s="823" t="n"/>
    </row>
    <row r="151" outlineLevel="1" ht="15" customHeight="1">
      <c r="A151" s="153" t="inlineStr">
        <is>
          <t>Fustellatura Std PASS.</t>
        </is>
      </c>
      <c r="B151" s="513">
        <f>+B114*0.99</f>
        <v/>
      </c>
      <c r="C151" s="39" t="n"/>
      <c r="D151" s="39" t="n"/>
      <c r="E151" s="38" t="n"/>
      <c r="F151" s="543">
        <f>IF(A151="Taglio Plotter al MTL",+N151*0.15,IF(B151="", "", IF(B151&gt;'Formato de estoque'!$O$5, VLOOKUP(calcolo!A151,FUSTELLATURA[],3,FALSE), IF(calcolo!B151&lt;'Formato de estoque'!$P$5, VLOOKUP(calcolo!A151, FUSTELLATURA[],4,FALSE)))))</f>
        <v/>
      </c>
      <c r="G151" s="545">
        <f>IF(H151=50, "min","")</f>
        <v/>
      </c>
      <c r="H151" s="517">
        <f>IF(B151="",0,MAXA(B151*F151,IF(A151="Taglio Plotter AL MTL",15,50)))</f>
        <v/>
      </c>
      <c r="I151" s="194">
        <f t="array" ref="I151">IFERROR(INDIRECT("I"&amp;VALUE(LEFT(MID(_xlfn.FORMULATEXT(B151),FIND("B",_xlfn.FORMULATEXT(B151))+1,10),MATCH(FALSE,ISNUMBER(--MID(MID(_xlfn.FORMULATEXT(B151),FIND("B",_xlfn.FORMULATEXT(B151))+1,10),_xlfn.SEQUENCE(10),1)),0)-1))),"")</f>
        <v/>
      </c>
      <c r="J151" s="445" t="n">
        <v>23.25</v>
      </c>
      <c r="K151" s="445" t="n">
        <v>18</v>
      </c>
      <c r="L151" s="445">
        <f>IF(A151="Taglio Plotter AL MTL",0,240)</f>
        <v/>
      </c>
      <c r="M151" s="445">
        <f>IF(A151="Taglio Plotter al MTL",0,IF(AND(J151&gt;0,O151="NO"),_xlfn.CEILING.MATH(((J151*K151)+L151),5),0))</f>
        <v/>
      </c>
      <c r="N151" s="445">
        <f>+J151</f>
        <v/>
      </c>
      <c r="O151" s="445" t="inlineStr">
        <is>
          <t>NO</t>
        </is>
      </c>
      <c r="P151" s="823" t="n"/>
      <c r="Q151" s="823" t="n"/>
    </row>
    <row r="152" outlineLevel="1" ht="15" customHeight="1">
      <c r="A152" s="153" t="inlineStr">
        <is>
          <t>Fustellatura Std PASS.</t>
        </is>
      </c>
      <c r="B152" s="513">
        <f>+B115*0.99</f>
        <v/>
      </c>
      <c r="C152" s="39" t="n"/>
      <c r="D152" s="39" t="n"/>
      <c r="E152" s="38" t="n"/>
      <c r="F152" s="543">
        <f>IF(A152="Taglio Plotter al MTL",+N152*0.15,IF(B152="", "", IF(B152&gt;'Formato de estoque'!$O$5, VLOOKUP(calcolo!A152,FUSTELLATURA[],3,FALSE), IF(calcolo!B152&lt;'Formato de estoque'!$P$5, VLOOKUP(calcolo!A152, FUSTELLATURA[],4,FALSE)))))</f>
        <v/>
      </c>
      <c r="G152" s="545">
        <f>IF(H152=50, "min","")</f>
        <v/>
      </c>
      <c r="H152" s="517">
        <f>IF(B152="",0,MAXA(B152*F152,IF(A152="Taglio Plotter AL MTL",15,50)))</f>
        <v/>
      </c>
      <c r="I152" s="194">
        <f t="array" ref="I152">IFERROR(INDIRECT("I"&amp;VALUE(LEFT(MID(_xlfn.FORMULATEXT(B152),FIND("B",_xlfn.FORMULATEXT(B152))+1,10),MATCH(FALSE,ISNUMBER(--MID(MID(_xlfn.FORMULATEXT(B152),FIND("B",_xlfn.FORMULATEXT(B152))+1,10),_xlfn.SEQUENCE(10),1)),0)-1))),"")</f>
        <v/>
      </c>
      <c r="J152" s="445" t="n">
        <v>20.24</v>
      </c>
      <c r="K152" s="445" t="n">
        <v>18</v>
      </c>
      <c r="L152" s="445">
        <f>IF(A152="Taglio Plotter AL MTL",0,240)</f>
        <v/>
      </c>
      <c r="M152" s="445">
        <f>IF(A152="Taglio Plotter al MTL",0,IF(AND(J152&gt;0,O152="NO"),_xlfn.CEILING.MATH(((J152*K152)+L152),5),0))</f>
        <v/>
      </c>
      <c r="N152" s="445">
        <f>+J152</f>
        <v/>
      </c>
      <c r="O152" s="445" t="inlineStr">
        <is>
          <t>NO</t>
        </is>
      </c>
      <c r="P152" s="823" t="n"/>
      <c r="Q152" s="823" t="n"/>
    </row>
    <row r="153" outlineLevel="1" ht="15" customHeight="1">
      <c r="A153" s="153" t="inlineStr">
        <is>
          <t>Fustellatura Std PASS.</t>
        </is>
      </c>
      <c r="B153" s="513">
        <f>+B116*0.99</f>
        <v/>
      </c>
      <c r="C153" s="39" t="n"/>
      <c r="D153" s="39" t="n"/>
      <c r="E153" s="38" t="n"/>
      <c r="F153" s="543">
        <f>IF(A153="Taglio Plotter al MTL",+N153*0.15,IF(B153="", "", IF(B153&gt;'Formato de estoque'!$O$5, VLOOKUP(calcolo!A153,FUSTELLATURA[],3,FALSE), IF(calcolo!B153&lt;'Formato de estoque'!$P$5, VLOOKUP(calcolo!A153, FUSTELLATURA[],4,FALSE)))))</f>
        <v/>
      </c>
      <c r="G153" s="545">
        <f>IF(H153=50, "min","")</f>
        <v/>
      </c>
      <c r="H153" s="517">
        <f>IF(B153="",0,MAXA(B153*F153,IF(A153="Taglio Plotter AL MTL",15,50)))</f>
        <v/>
      </c>
      <c r="I153" s="194">
        <f t="array" ref="I153">IFERROR(INDIRECT("I"&amp;VALUE(LEFT(MID(_xlfn.FORMULATEXT(B153),FIND("B",_xlfn.FORMULATEXT(B153))+1,10),MATCH(FALSE,ISNUMBER(--MID(MID(_xlfn.FORMULATEXT(B153),FIND("B",_xlfn.FORMULATEXT(B153))+1,10),_xlfn.SEQUENCE(10),1)),0)-1))),"")</f>
        <v/>
      </c>
      <c r="J153" s="445" t="n">
        <v>13.99</v>
      </c>
      <c r="K153" s="445" t="n">
        <v>18</v>
      </c>
      <c r="L153" s="445">
        <f>IF(A153="Taglio Plotter AL MTL",0,240)</f>
        <v/>
      </c>
      <c r="M153" s="445">
        <f>IF(A153="Taglio Plotter al MTL",0,IF(AND(J153&gt;0,O153="NO"),_xlfn.CEILING.MATH(((J153*K153)+L153),5),0))</f>
        <v/>
      </c>
      <c r="N153" s="445">
        <f>+J153</f>
        <v/>
      </c>
      <c r="O153" s="445" t="inlineStr">
        <is>
          <t>NO</t>
        </is>
      </c>
      <c r="P153" s="823" t="n"/>
      <c r="Q153" s="823" t="n"/>
    </row>
    <row r="154" outlineLevel="1" ht="15" customHeight="1">
      <c r="A154" s="153" t="inlineStr">
        <is>
          <t>Fustellatura Std PASS.</t>
        </is>
      </c>
      <c r="B154" s="513">
        <f>+B117*0.99</f>
        <v/>
      </c>
      <c r="C154" s="39" t="n"/>
      <c r="D154" s="39" t="n"/>
      <c r="E154" s="38" t="n"/>
      <c r="F154" s="543">
        <f>IF(A154="Taglio Plotter al MTL",+N154*0.15,IF(B154="", "", IF(B154&gt;'Formato de estoque'!$O$5, VLOOKUP(calcolo!A154,FUSTELLATURA[],3,FALSE), IF(calcolo!B154&lt;'Formato de estoque'!$P$5, VLOOKUP(calcolo!A154, FUSTELLATURA[],4,FALSE)))))</f>
        <v/>
      </c>
      <c r="G154" s="545">
        <f>IF(H154=50, "min","")</f>
        <v/>
      </c>
      <c r="H154" s="517">
        <f>IF(B154="",0,MAXA(B154*F154,IF(A154="Taglio Plotter AL MTL",15,50)))</f>
        <v/>
      </c>
      <c r="I154" s="194">
        <f t="array" ref="I154">IFERROR(INDIRECT("I"&amp;VALUE(LEFT(MID(_xlfn.FORMULATEXT(B154),FIND("B",_xlfn.FORMULATEXT(B154))+1,10),MATCH(FALSE,ISNUMBER(--MID(MID(_xlfn.FORMULATEXT(B154),FIND("B",_xlfn.FORMULATEXT(B154))+1,10),_xlfn.SEQUENCE(10),1)),0)-1))),"")</f>
        <v/>
      </c>
      <c r="J154" s="445" t="n">
        <v>26.24</v>
      </c>
      <c r="K154" s="445" t="n">
        <v>18</v>
      </c>
      <c r="L154" s="445">
        <f>IF(A154="Taglio Plotter AL MTL",0,240)</f>
        <v/>
      </c>
      <c r="M154" s="445">
        <f>IF(A154="Taglio Plotter al MTL",0,IF(AND(J154&gt;0,O154="NO"),_xlfn.CEILING.MATH(((J154*K154)+L154),5),0))</f>
        <v/>
      </c>
      <c r="N154" s="445">
        <f>+J154</f>
        <v/>
      </c>
      <c r="O154" s="445" t="inlineStr">
        <is>
          <t>NO</t>
        </is>
      </c>
      <c r="P154" s="823" t="n"/>
      <c r="Q154" s="823" t="n"/>
    </row>
    <row r="155" outlineLevel="1" ht="15" customHeight="1">
      <c r="A155" s="153" t="inlineStr">
        <is>
          <t>Fustellatura Std PASS.</t>
        </is>
      </c>
      <c r="B155" s="513">
        <f>+B141*0.99</f>
        <v/>
      </c>
      <c r="C155" s="39" t="n"/>
      <c r="D155" s="39" t="n"/>
      <c r="E155" s="38" t="n"/>
      <c r="F155" s="543">
        <f>IF(A155="Taglio Plotter al MTL",+N155*0.15,IF(B155="", "", IF(B155&gt;'Formato de estoque'!$O$5, VLOOKUP(calcolo!A155,FUSTELLATURA[],3,FALSE), IF(calcolo!B155&lt;'Formato de estoque'!$P$5, VLOOKUP(calcolo!A155, FUSTELLATURA[],4,FALSE)))))</f>
        <v/>
      </c>
      <c r="G155" s="545">
        <f>IF(H155=50, "min","")</f>
        <v/>
      </c>
      <c r="H155" s="517">
        <f>IF(B155="",0,MAXA(B155*F155,IF(A155="Taglio Plotter AL MTL",15,50)))</f>
        <v/>
      </c>
      <c r="I155" s="194">
        <f t="array" ref="I155">IFERROR(INDIRECT("I"&amp;VALUE(LEFT(MID(_xlfn.FORMULATEXT(B155),FIND("B",_xlfn.FORMULATEXT(B155))+1,10),MATCH(FALSE,ISNUMBER(--MID(MID(_xlfn.FORMULATEXT(B155),FIND("B",_xlfn.FORMULATEXT(B155))+1,10),_xlfn.SEQUENCE(10),1)),0)-1))),"")</f>
        <v/>
      </c>
      <c r="J155" s="445" t="n">
        <v>14.01</v>
      </c>
      <c r="K155" s="445" t="n">
        <v>18</v>
      </c>
      <c r="L155" s="445">
        <f>IF(A155="Taglio Plotter AL MTL",0,240)</f>
        <v/>
      </c>
      <c r="M155" s="445">
        <f>IF(A155="Taglio Plotter al MTL",0,IF(AND(J155&gt;0,O155="NO"),_xlfn.CEILING.MATH(((J155*K155)+L155),5),0))</f>
        <v/>
      </c>
      <c r="N155" s="445">
        <f>+J155</f>
        <v/>
      </c>
      <c r="O155" s="445" t="inlineStr">
        <is>
          <t>NO</t>
        </is>
      </c>
      <c r="P155" s="823" t="n"/>
      <c r="Q155" s="823" t="n"/>
    </row>
    <row r="156" hidden="1" outlineLevel="1" ht="15" customHeight="1">
      <c r="A156" s="153" t="inlineStr">
        <is>
          <t>Fustellatura Std PASS.</t>
        </is>
      </c>
      <c r="B156" s="513" t="n"/>
      <c r="C156" s="39" t="n"/>
      <c r="D156" s="39" t="n"/>
      <c r="E156" s="38" t="n"/>
      <c r="F156" s="543">
        <f>IF(A156="Taglio Plotter al MTL",+N156*0.15,IF(B156="", "", IF(B156&gt;'Formato de estoque'!$O$5, VLOOKUP(calcolo!A156,FUSTELLATURA[],3,FALSE), IF(calcolo!B156&lt;'Formato de estoque'!$P$5, VLOOKUP(calcolo!A156, FUSTELLATURA[],4,FALSE)))))</f>
        <v/>
      </c>
      <c r="G156" s="545">
        <f>IF(H156=50, "min","")</f>
        <v/>
      </c>
      <c r="H156" s="517">
        <f>IF(B156="",0,MAXA(B156*F156,IF(A156="Taglio Plotter AL MTL",15,50)))</f>
        <v/>
      </c>
      <c r="I156" s="194">
        <f t="array" ref="I156">IFERROR(INDIRECT("I"&amp;VALUE(LEFT(MID(_xlfn.FORMULATEXT(B156),FIND("B",_xlfn.FORMULATEXT(B156))+1,10),MATCH(FALSE,ISNUMBER(--MID(MID(_xlfn.FORMULATEXT(B156),FIND("B",_xlfn.FORMULATEXT(B156))+1,10),_xlfn.SEQUENCE(10),1)),0)-1))),"")</f>
        <v/>
      </c>
      <c r="J156" s="445" t="n"/>
      <c r="K156" s="445" t="n">
        <v>18</v>
      </c>
      <c r="L156" s="445">
        <f>IF(A156="Taglio Plotter AL MTL",0,240)</f>
        <v/>
      </c>
      <c r="M156" s="445">
        <f>IF(A156="Taglio Plotter al MTL",0,IF(AND(J156&gt;0,O156="NO"),_xlfn.CEILING.MATH(((J156*K156)+L156),5),0))</f>
        <v/>
      </c>
      <c r="N156" s="445">
        <f>+J156</f>
        <v/>
      </c>
      <c r="O156" s="445" t="inlineStr">
        <is>
          <t>NO</t>
        </is>
      </c>
      <c r="P156" s="823" t="n"/>
      <c r="Q156" s="823" t="n"/>
    </row>
    <row r="157" hidden="1" outlineLevel="1" ht="15" customHeight="1">
      <c r="A157" s="153" t="inlineStr">
        <is>
          <t>Fustellatura Std PASS.</t>
        </is>
      </c>
      <c r="B157" s="513" t="n"/>
      <c r="C157" s="39" t="n"/>
      <c r="D157" s="39" t="n"/>
      <c r="E157" s="38" t="n"/>
      <c r="F157" s="543">
        <f>IF(A157="Taglio Plotter al MTL",+N157*0.15,IF(B157="", "", IF(B157&gt;'Formato de estoque'!$O$5, VLOOKUP(calcolo!A157,FUSTELLATURA[],3,FALSE), IF(calcolo!B157&lt;'Formato de estoque'!$P$5, VLOOKUP(calcolo!A157, FUSTELLATURA[],4,FALSE)))))</f>
        <v/>
      </c>
      <c r="G157" s="545">
        <f>IF(H157=50, "min","")</f>
        <v/>
      </c>
      <c r="H157" s="517">
        <f>IF(B157="",0,MAXA(B157*F157,IF(A157="Taglio Plotter AL MTL",15,50)))</f>
        <v/>
      </c>
      <c r="I157" s="194">
        <f t="array" ref="I157">IFERROR(INDIRECT("I"&amp;VALUE(LEFT(MID(_xlfn.FORMULATEXT(B157),FIND("B",_xlfn.FORMULATEXT(B157))+1,10),MATCH(FALSE,ISNUMBER(--MID(MID(_xlfn.FORMULATEXT(B157),FIND("B",_xlfn.FORMULATEXT(B157))+1,10),_xlfn.SEQUENCE(10),1)),0)-1))),"")</f>
        <v/>
      </c>
      <c r="J157" s="445" t="n"/>
      <c r="K157" s="445" t="n">
        <v>18</v>
      </c>
      <c r="L157" s="445">
        <f>IF(A157="Taglio Plotter AL MTL",0,240)</f>
        <v/>
      </c>
      <c r="M157" s="445">
        <f>IF(A157="Taglio Plotter al MTL",0,IF(AND(J157&gt;0,O157="NO"),_xlfn.CEILING.MATH(((J157*K157)+L157),5),0))</f>
        <v/>
      </c>
      <c r="N157" s="445">
        <f>+J157</f>
        <v/>
      </c>
      <c r="O157" s="445" t="inlineStr">
        <is>
          <t>NO</t>
        </is>
      </c>
      <c r="P157" s="823" t="n"/>
      <c r="Q157" s="823" t="n"/>
    </row>
    <row r="158" hidden="1" outlineLevel="1" ht="15" customHeight="1">
      <c r="A158" s="153" t="inlineStr">
        <is>
          <t>Fustellatura Std PASS.</t>
        </is>
      </c>
      <c r="B158" s="513" t="n"/>
      <c r="C158" s="39" t="n"/>
      <c r="D158" s="39" t="n"/>
      <c r="E158" s="38" t="n"/>
      <c r="F158" s="543">
        <f>IF(A158="Taglio Plotter al MTL",+N158*0.15,IF(B158="", "", IF(B158&gt;'Formato de estoque'!$O$5, VLOOKUP(calcolo!A158,FUSTELLATURA[],3,FALSE), IF(calcolo!B158&lt;'Formato de estoque'!$P$5, VLOOKUP(calcolo!A158, FUSTELLATURA[],4,FALSE)))))</f>
        <v/>
      </c>
      <c r="G158" s="545">
        <f>IF(H158=50, "min","")</f>
        <v/>
      </c>
      <c r="H158" s="517">
        <f>IF(B158="",0,MAXA(B158*F158,IF(A158="Taglio Plotter AL MTL",15,50)))</f>
        <v/>
      </c>
      <c r="I158" s="194">
        <f t="array" ref="I158">IFERROR(INDIRECT("I"&amp;VALUE(LEFT(MID(_xlfn.FORMULATEXT(B158),FIND("B",_xlfn.FORMULATEXT(B158))+1,10),MATCH(FALSE,ISNUMBER(--MID(MID(_xlfn.FORMULATEXT(B158),FIND("B",_xlfn.FORMULATEXT(B158))+1,10),_xlfn.SEQUENCE(10),1)),0)-1))),"")</f>
        <v/>
      </c>
      <c r="J158" s="445" t="n"/>
      <c r="K158" s="445" t="n">
        <v>18</v>
      </c>
      <c r="L158" s="445">
        <f>IF(A158="Taglio Plotter AL MTL",0,240)</f>
        <v/>
      </c>
      <c r="M158" s="445">
        <f>IF(A158="Taglio Plotter al MTL",0,IF(AND(J158&gt;0,O158="NO"),_xlfn.CEILING.MATH(((J158*K158)+L158),5),0))</f>
        <v/>
      </c>
      <c r="N158" s="445">
        <f>+J158</f>
        <v/>
      </c>
      <c r="O158" s="445" t="inlineStr">
        <is>
          <t>NO</t>
        </is>
      </c>
      <c r="P158" s="823" t="n"/>
      <c r="Q158" s="823" t="n"/>
    </row>
    <row r="159" hidden="1" outlineLevel="1" ht="15" customHeight="1">
      <c r="A159" s="153" t="inlineStr">
        <is>
          <t>Fustellatura Std PASS.</t>
        </is>
      </c>
      <c r="B159" s="513" t="n"/>
      <c r="C159" s="39" t="n"/>
      <c r="D159" s="39" t="n"/>
      <c r="E159" s="38" t="n"/>
      <c r="F159" s="543">
        <f>IF(A159="Taglio Plotter al MTL",+N159*0.15,IF(B159="", "", IF(B159&gt;'Formato de estoque'!$O$5, VLOOKUP(calcolo!A159,FUSTELLATURA[],3,FALSE), IF(calcolo!B159&lt;'Formato de estoque'!$P$5, VLOOKUP(calcolo!A159, FUSTELLATURA[],4,FALSE)))))</f>
        <v/>
      </c>
      <c r="G159" s="545">
        <f>IF(H159=50, "min","")</f>
        <v/>
      </c>
      <c r="H159" s="517">
        <f>IF(B159="",0,MAXA(B159*F159,IF(A159="Taglio Plotter AL MTL",15,50)))</f>
        <v/>
      </c>
      <c r="I159" s="194">
        <f t="array" ref="I159">IFERROR(INDIRECT("I"&amp;VALUE(LEFT(MID(_xlfn.FORMULATEXT(B159),FIND("B",_xlfn.FORMULATEXT(B159))+1,10),MATCH(FALSE,ISNUMBER(--MID(MID(_xlfn.FORMULATEXT(B159),FIND("B",_xlfn.FORMULATEXT(B159))+1,10),_xlfn.SEQUENCE(10),1)),0)-1))),"")</f>
        <v/>
      </c>
      <c r="J159" s="445" t="n"/>
      <c r="K159" s="445" t="n">
        <v>18</v>
      </c>
      <c r="L159" s="445">
        <f>IF(A159="Taglio Plotter AL MTL",0,240)</f>
        <v/>
      </c>
      <c r="M159" s="445">
        <f>IF(A159="Taglio Plotter al MTL",0,IF(AND(J159&gt;0,O159="NO"),_xlfn.CEILING.MATH(((J159*K159)+L159),5),0))</f>
        <v/>
      </c>
      <c r="N159" s="445">
        <f>+J159</f>
        <v/>
      </c>
      <c r="O159" s="445" t="inlineStr">
        <is>
          <t>NO</t>
        </is>
      </c>
      <c r="P159" s="823" t="n"/>
      <c r="Q159" s="823" t="n"/>
    </row>
    <row r="160" hidden="1" outlineLevel="1" ht="15" customHeight="1">
      <c r="A160" s="153" t="inlineStr">
        <is>
          <t>Fustellatura Std PASS.</t>
        </is>
      </c>
      <c r="B160" s="513" t="n"/>
      <c r="C160" s="39" t="n"/>
      <c r="D160" s="39" t="n"/>
      <c r="E160" s="38" t="n"/>
      <c r="F160" s="543">
        <f>IF(A160="Taglio Plotter al MTL",+N160*0.15,IF(B160="", "", IF(B160&gt;'Formato de estoque'!$O$5, VLOOKUP(calcolo!A160,FUSTELLATURA[],3,FALSE), IF(calcolo!B160&lt;'Formato de estoque'!$P$5, VLOOKUP(calcolo!A160, FUSTELLATURA[],4,FALSE)))))</f>
        <v/>
      </c>
      <c r="G160" s="545">
        <f>IF(H160=50, "min","")</f>
        <v/>
      </c>
      <c r="H160" s="517">
        <f>IF(B160="",0,MAXA(B160*F160,IF(A160="Taglio Plotter AL MTL",15,50)))</f>
        <v/>
      </c>
      <c r="I160" s="194">
        <f t="array" ref="I160">IFERROR(INDIRECT("I"&amp;VALUE(LEFT(MID(_xlfn.FORMULATEXT(B160),FIND("B",_xlfn.FORMULATEXT(B160))+1,10),MATCH(FALSE,ISNUMBER(--MID(MID(_xlfn.FORMULATEXT(B160),FIND("B",_xlfn.FORMULATEXT(B160))+1,10),_xlfn.SEQUENCE(10),1)),0)-1))),"")</f>
        <v/>
      </c>
      <c r="J160" s="445" t="n"/>
      <c r="K160" s="445" t="n">
        <v>18</v>
      </c>
      <c r="L160" s="445">
        <f>IF(A160="Taglio Plotter AL MTL",0,240)</f>
        <v/>
      </c>
      <c r="M160" s="445">
        <f>IF(A160="Taglio Plotter al MTL",0,IF(AND(J160&gt;0,O160="NO"),_xlfn.CEILING.MATH(((J160*K160)+L160),5),0))</f>
        <v/>
      </c>
      <c r="N160" s="445">
        <f>+J160</f>
        <v/>
      </c>
      <c r="O160" s="445" t="inlineStr">
        <is>
          <t>NO</t>
        </is>
      </c>
      <c r="P160" s="823" t="n"/>
      <c r="Q160" s="823" t="n"/>
    </row>
    <row r="161" hidden="1" outlineLevel="1" ht="15" customHeight="1">
      <c r="A161" s="153" t="inlineStr">
        <is>
          <t>Fustellatura Std PASS.</t>
        </is>
      </c>
      <c r="B161" s="513" t="n"/>
      <c r="C161" s="39" t="n"/>
      <c r="D161" s="39" t="n"/>
      <c r="E161" s="38" t="n"/>
      <c r="F161" s="543">
        <f>IF(A161="Taglio Plotter al MTL",+N161*0.15,IF(B161="", "", IF(B161&gt;'Formato de estoque'!$O$5, VLOOKUP(calcolo!A161,FUSTELLATURA[],3,FALSE), IF(calcolo!B161&lt;'Formato de estoque'!$P$5, VLOOKUP(calcolo!A161, FUSTELLATURA[],4,FALSE)))))</f>
        <v/>
      </c>
      <c r="G161" s="545">
        <f>IF(H161=50, "min","")</f>
        <v/>
      </c>
      <c r="H161" s="517">
        <f>IF(B161="",0,MAXA(B161*F161,IF(A161="Taglio Plotter AL MTL",15,50)))</f>
        <v/>
      </c>
      <c r="I161" s="194">
        <f t="array" ref="I161">IFERROR(INDIRECT("I"&amp;VALUE(LEFT(MID(_xlfn.FORMULATEXT(B161),FIND("B",_xlfn.FORMULATEXT(B161))+1,10),MATCH(FALSE,ISNUMBER(--MID(MID(_xlfn.FORMULATEXT(B161),FIND("B",_xlfn.FORMULATEXT(B161))+1,10),_xlfn.SEQUENCE(10),1)),0)-1))),"")</f>
        <v/>
      </c>
      <c r="J161" s="445" t="n"/>
      <c r="K161" s="445" t="n">
        <v>18</v>
      </c>
      <c r="L161" s="445">
        <f>IF(A161="Taglio Plotter AL MTL",0,240)</f>
        <v/>
      </c>
      <c r="M161" s="445">
        <f>IF(A161="Taglio Plotter al MTL",0,IF(AND(J161&gt;0,O161="NO"),_xlfn.CEILING.MATH(((J161*K161)+L161),5),0))</f>
        <v/>
      </c>
      <c r="N161" s="445">
        <f>+J161</f>
        <v/>
      </c>
      <c r="O161" s="445" t="inlineStr">
        <is>
          <t>NO</t>
        </is>
      </c>
      <c r="P161" s="823" t="n"/>
      <c r="Q161" s="823" t="n"/>
    </row>
    <row r="162">
      <c r="A162" s="387" t="n"/>
      <c r="B162" s="541" t="n"/>
      <c r="C162" s="385" t="n"/>
      <c r="D162" s="385" t="n"/>
      <c r="E162" s="386" t="n"/>
      <c r="F162" s="547" t="n"/>
      <c r="G162" s="548" t="n"/>
      <c r="H162" s="549" t="n">
        <v>0</v>
      </c>
      <c r="I162" s="145" t="n"/>
      <c r="J162" s="145" t="n"/>
      <c r="K162" s="145" t="n"/>
      <c r="N162" s="331" t="n"/>
      <c r="O162" s="332" t="n"/>
      <c r="P162" s="823" t="n"/>
      <c r="Q162" s="823" t="n"/>
    </row>
    <row r="163" hidden="1" outlineLevel="1" ht="15" customHeight="1">
      <c r="A163" s="153" t="inlineStr">
        <is>
          <t>finestratura AVVTO base</t>
        </is>
      </c>
      <c r="B163" s="513" t="n"/>
      <c r="C163" s="39" t="n"/>
      <c r="D163" s="38" t="n"/>
      <c r="E163" s="38" t="n"/>
      <c r="F163" s="543" t="n">
        <v>200</v>
      </c>
      <c r="G163" s="545" t="n"/>
      <c r="H163" s="517">
        <f>B163*F163</f>
        <v/>
      </c>
      <c r="I163" s="145" t="n"/>
      <c r="J163" s="145" t="n"/>
      <c r="K163" s="145" t="n"/>
      <c r="N163" s="331" t="n"/>
      <c r="O163" s="332" t="n"/>
      <c r="P163" s="823" t="n"/>
      <c r="Q163" s="823" t="n"/>
    </row>
    <row r="164" hidden="1" outlineLevel="1" ht="15" customHeight="1">
      <c r="A164" s="153" t="inlineStr">
        <is>
          <t>finestratura PASSAGGIO</t>
        </is>
      </c>
      <c r="B164" s="513" t="n"/>
      <c r="C164" s="39" t="n"/>
      <c r="D164" s="38" t="n"/>
      <c r="E164" s="38" t="n"/>
      <c r="F164" s="543" t="n">
        <v>0.035</v>
      </c>
      <c r="G164" s="545">
        <f>IF(H164=100*B163, "min","")</f>
        <v/>
      </c>
      <c r="H164" s="517">
        <f>MAXA(B164*F164, 100*B163)</f>
        <v/>
      </c>
      <c r="I164" s="194">
        <f t="array" ref="I164">IFERROR(INDIRECT("I"&amp;VALUE(LEFT(MID(_xlfn.FORMULATEXT(B164),FIND("B",_xlfn.FORMULATEXT(B164))+1,10),MATCH(FALSE,ISNUMBER(--MID(MID(_xlfn.FORMULATEXT(B164),FIND("B",_xlfn.FORMULATEXT(B164))+1,10),_xlfn.SEQUENCE(10),1)),0)-1))),"")</f>
        <v/>
      </c>
      <c r="J164" s="145" t="n"/>
      <c r="K164" s="145" t="n"/>
      <c r="N164" s="336" t="n"/>
      <c r="O164" s="337" t="n"/>
      <c r="P164" s="824" t="n"/>
      <c r="Q164" s="824" t="n"/>
    </row>
    <row r="165" collapsed="1" ht="15" customHeight="1">
      <c r="A165" s="153" t="inlineStr">
        <is>
          <t>Incollaggio lamina/plotter AVV.TO</t>
        </is>
      </c>
      <c r="B165" s="513">
        <f>COUNTA(B169:B176)*produzioni</f>
        <v/>
      </c>
      <c r="C165" s="39" t="n"/>
      <c r="D165" s="38" t="n"/>
      <c r="E165" s="38" t="n"/>
      <c r="F165" s="543">
        <f>IF(B165&gt;0,50,0)</f>
        <v/>
      </c>
      <c r="G165" s="545" t="n"/>
      <c r="H165" s="517">
        <f>B165*F165</f>
        <v/>
      </c>
      <c r="I165" s="145" t="n"/>
      <c r="J165" s="145" t="n"/>
      <c r="K165" s="145" t="n"/>
      <c r="N165" s="331" t="n"/>
      <c r="O165" s="332" t="n"/>
      <c r="P165" s="823" t="n"/>
      <c r="Q165" s="823" t="n"/>
    </row>
    <row r="166" ht="15" customFormat="1" customHeight="1" s="4">
      <c r="A166" s="153" t="inlineStr">
        <is>
          <t>Incollaggio lamina/plotter PASS</t>
        </is>
      </c>
      <c r="B166" s="513">
        <f>IF(F166&gt;0,+QTA*1.01,0)</f>
        <v/>
      </c>
      <c r="C166" s="39" t="n"/>
      <c r="D166" s="38" t="n"/>
      <c r="E166" s="38" t="n"/>
      <c r="F166" s="543">
        <f>+F176</f>
        <v/>
      </c>
      <c r="G166" s="545">
        <f>IF(H166=50*B165, "min","")</f>
        <v/>
      </c>
      <c r="H166" s="517">
        <f>MAXA(B166*F166, 50*B165)</f>
        <v/>
      </c>
      <c r="I166" s="194">
        <f t="array" ref="I166">IFERROR(INDIRECT("I"&amp;VALUE(LEFT(MID(_xlfn.FORMULATEXT(B166),FIND("B",_xlfn.FORMULATEXT(B166))+1,10),MATCH(FALSE,ISNUMBER(--MID(MID(_xlfn.FORMULATEXT(B166),FIND("B",_xlfn.FORMULATEXT(B166))+1,10),_xlfn.SEQUENCE(10),1)),0)-1))),"")</f>
        <v/>
      </c>
      <c r="J166" s="146" t="n"/>
      <c r="K166" s="146" t="n"/>
      <c r="N166" s="331" t="n"/>
      <c r="O166" s="332" t="n"/>
      <c r="P166" s="823" t="n"/>
      <c r="Q166" s="823" t="n"/>
    </row>
    <row r="167" hidden="1" outlineLevel="1" ht="15" customFormat="1" customHeight="1" s="4" thickBot="1">
      <c r="A167" s="825" t="inlineStr">
        <is>
          <t>conteggio incollaggi lamina/plotter</t>
        </is>
      </c>
      <c r="B167" s="826" t="n"/>
      <c r="C167" s="826" t="n"/>
      <c r="D167" s="827" t="n"/>
      <c r="E167" s="38" t="n"/>
      <c r="F167" s="543" t="n"/>
      <c r="G167" s="545" t="n"/>
      <c r="H167" s="517" t="n">
        <v>0</v>
      </c>
      <c r="I167" s="146" t="n"/>
      <c r="J167" s="146" t="n"/>
      <c r="K167" s="146" t="n"/>
      <c r="N167" s="331" t="n"/>
      <c r="O167" s="332" t="n"/>
      <c r="P167" s="823" t="n"/>
      <c r="Q167" s="823" t="n"/>
    </row>
    <row r="168" hidden="1" outlineLevel="1" ht="15" customFormat="1" customHeight="1" s="4">
      <c r="A168" s="317" t="inlineStr">
        <is>
          <t>componente</t>
        </is>
      </c>
      <c r="B168" s="318" t="inlineStr">
        <is>
          <t>occorrenza</t>
        </is>
      </c>
      <c r="C168" s="318" t="inlineStr">
        <is>
          <t>€/cad.</t>
        </is>
      </c>
      <c r="D168" s="319" t="inlineStr">
        <is>
          <t>€/tot</t>
        </is>
      </c>
      <c r="E168" s="38" t="n"/>
      <c r="F168" s="543" t="n"/>
      <c r="G168" s="545" t="n"/>
      <c r="H168" s="517" t="n">
        <v>0</v>
      </c>
      <c r="I168" s="146" t="n"/>
      <c r="J168" s="146" t="n"/>
      <c r="K168" s="146" t="n"/>
      <c r="N168" s="331" t="n"/>
      <c r="O168" s="332" t="n"/>
      <c r="P168" s="823" t="n"/>
      <c r="Q168" s="823" t="n"/>
    </row>
    <row r="169" hidden="1" outlineLevel="1" ht="15" customFormat="1" customHeight="1" s="4">
      <c r="A169" s="320" t="inlineStr">
        <is>
          <t>Crowner</t>
        </is>
      </c>
      <c r="B169" s="321" t="n">
        <v>1</v>
      </c>
      <c r="C169" s="828" t="n">
        <v>0.25</v>
      </c>
      <c r="D169" s="829">
        <f>+C169*B169</f>
        <v/>
      </c>
      <c r="E169" s="38" t="n"/>
      <c r="F169" s="543" t="n"/>
      <c r="G169" s="545" t="n"/>
      <c r="H169" s="517" t="n">
        <v>0</v>
      </c>
      <c r="I169" s="146" t="n"/>
      <c r="J169" s="146" t="n"/>
      <c r="K169" s="146" t="n"/>
      <c r="N169" s="331" t="n"/>
      <c r="O169" s="332" t="n"/>
      <c r="P169" s="823" t="n"/>
      <c r="Q169" s="823" t="n"/>
    </row>
    <row r="170" hidden="1" outlineLevel="1" ht="15" customFormat="1" customHeight="1" s="4">
      <c r="A170" s="320" t="inlineStr">
        <is>
          <t>Retro con parte sx + ribordi</t>
        </is>
      </c>
      <c r="B170" s="321" t="n">
        <v>1</v>
      </c>
      <c r="C170" s="828" t="n">
        <v>0.45</v>
      </c>
      <c r="D170" s="829">
        <f>+C170*B170</f>
        <v/>
      </c>
      <c r="E170" s="38" t="n"/>
      <c r="F170" s="543" t="n"/>
      <c r="G170" s="545" t="n"/>
      <c r="H170" s="517" t="n">
        <v>0</v>
      </c>
      <c r="I170" s="146" t="n"/>
      <c r="J170" s="146" t="n"/>
      <c r="K170" s="146" t="n"/>
      <c r="N170" s="331" t="n"/>
      <c r="O170" s="332" t="n"/>
      <c r="P170" s="823" t="n"/>
      <c r="Q170" s="823" t="n"/>
    </row>
    <row r="171" hidden="1" outlineLevel="1" ht="15" customFormat="1" customHeight="1" s="4">
      <c r="A171" s="320" t="inlineStr">
        <is>
          <t>Vassoi</t>
        </is>
      </c>
      <c r="B171" s="321" t="n">
        <v>8</v>
      </c>
      <c r="C171" s="828" t="n">
        <v>0.25</v>
      </c>
      <c r="D171" s="829">
        <f>+C171*B171</f>
        <v/>
      </c>
      <c r="E171" s="38" t="n"/>
      <c r="F171" s="543" t="n"/>
      <c r="G171" s="545" t="n"/>
      <c r="H171" s="517" t="n">
        <v>0</v>
      </c>
      <c r="I171" s="146" t="n"/>
      <c r="J171" s="146" t="n"/>
      <c r="K171" s="146" t="n"/>
      <c r="N171" s="331" t="n"/>
      <c r="O171" s="332" t="n"/>
      <c r="P171" s="823" t="n"/>
      <c r="Q171" s="823" t="n"/>
    </row>
    <row r="172" hidden="1" outlineLevel="1" ht="15" customFormat="1" customHeight="1" s="4">
      <c r="A172" s="320" t="inlineStr">
        <is>
          <t>Struttura fronte con retro e vassoi</t>
        </is>
      </c>
      <c r="B172" s="321" t="n">
        <v>1</v>
      </c>
      <c r="C172" s="828" t="n">
        <v>0.5</v>
      </c>
      <c r="D172" s="829">
        <f>+C172*B172</f>
        <v/>
      </c>
      <c r="E172" s="38" t="n"/>
      <c r="F172" s="543" t="n"/>
      <c r="G172" s="545" t="n"/>
      <c r="H172" s="517" t="n">
        <v>0</v>
      </c>
      <c r="I172" s="146" t="n"/>
      <c r="J172" s="146" t="n"/>
      <c r="K172" s="146" t="n"/>
      <c r="N172" s="331" t="n"/>
      <c r="O172" s="332" t="n"/>
      <c r="P172" s="823" t="n"/>
      <c r="Q172" s="823" t="n"/>
    </row>
    <row r="173" hidden="1" outlineLevel="1" ht="15" customFormat="1" customHeight="1" s="4">
      <c r="A173" s="320" t="inlineStr">
        <is>
          <t>componente 5</t>
        </is>
      </c>
      <c r="B173" s="321" t="n"/>
      <c r="C173" s="828" t="n"/>
      <c r="D173" s="829">
        <f>+C173*B173</f>
        <v/>
      </c>
      <c r="E173" s="38" t="n"/>
      <c r="F173" s="543" t="n"/>
      <c r="G173" s="545" t="n"/>
      <c r="H173" s="517" t="n">
        <v>0</v>
      </c>
      <c r="I173" s="146" t="n"/>
      <c r="J173" s="146" t="n"/>
      <c r="K173" s="146" t="n"/>
      <c r="N173" s="331" t="n"/>
      <c r="O173" s="332" t="n"/>
      <c r="P173" s="823" t="n"/>
      <c r="Q173" s="823" t="n"/>
    </row>
    <row r="174" hidden="1" outlineLevel="1" ht="15" customFormat="1" customHeight="1" s="4">
      <c r="A174" s="320" t="inlineStr">
        <is>
          <t>componente 6</t>
        </is>
      </c>
      <c r="B174" s="321" t="n"/>
      <c r="C174" s="828" t="n"/>
      <c r="D174" s="829">
        <f>+C174*B174</f>
        <v/>
      </c>
      <c r="E174" s="38" t="n"/>
      <c r="F174" s="543" t="n"/>
      <c r="G174" s="545" t="n"/>
      <c r="H174" s="517" t="n">
        <v>0</v>
      </c>
      <c r="I174" s="146" t="n"/>
      <c r="J174" s="146" t="n"/>
      <c r="K174" s="146" t="n"/>
      <c r="N174" s="331" t="n"/>
      <c r="O174" s="332" t="n"/>
      <c r="P174" s="823" t="n"/>
      <c r="Q174" s="823" t="n"/>
    </row>
    <row r="175" hidden="1" outlineLevel="1" ht="15" customFormat="1" customHeight="1" s="4" thickBot="1">
      <c r="A175" s="320" t="inlineStr">
        <is>
          <t>componente 7</t>
        </is>
      </c>
      <c r="B175" s="321" t="n"/>
      <c r="C175" s="828" t="n"/>
      <c r="D175" s="829">
        <f>+C175*B175</f>
        <v/>
      </c>
      <c r="E175" s="38" t="n"/>
      <c r="F175" s="543" t="n"/>
      <c r="G175" s="545" t="n"/>
      <c r="H175" s="517" t="n">
        <v>0</v>
      </c>
      <c r="I175" s="146" t="n"/>
      <c r="J175" s="146" t="n"/>
      <c r="K175" s="146" t="n"/>
      <c r="N175" s="331" t="n"/>
      <c r="O175" s="332" t="n"/>
      <c r="P175" s="823" t="n"/>
      <c r="Q175" s="823" t="n"/>
    </row>
    <row r="176" hidden="1" outlineLevel="1" ht="15" customFormat="1" customHeight="1" s="4" thickBot="1">
      <c r="A176" s="324" t="inlineStr">
        <is>
          <t>componente 8</t>
        </is>
      </c>
      <c r="B176" s="325" t="n"/>
      <c r="C176" s="830" t="n"/>
      <c r="D176" s="831">
        <f>+C176*B176</f>
        <v/>
      </c>
      <c r="E176" s="328" t="inlineStr">
        <is>
          <t>totale</t>
        </is>
      </c>
      <c r="F176" s="832">
        <f>+SUM(D169:D176)</f>
        <v/>
      </c>
      <c r="G176" s="545" t="n"/>
      <c r="H176" s="517" t="n">
        <v>0</v>
      </c>
      <c r="I176" s="146" t="n"/>
      <c r="J176" s="146" t="n"/>
      <c r="K176" s="146" t="n"/>
      <c r="N176" s="331" t="n"/>
      <c r="O176" s="332" t="n"/>
      <c r="P176" s="823" t="n"/>
      <c r="Q176" s="823" t="n"/>
    </row>
    <row r="177" collapsed="1" ht="15" customFormat="1" customHeight="1" s="4">
      <c r="A177" s="38" t="inlineStr">
        <is>
          <t>Colagem manual de peça</t>
        </is>
      </c>
      <c r="B177" s="117">
        <f>IF(F177&gt;0,QTA*1.01,0)</f>
        <v/>
      </c>
      <c r="C177" s="39" t="n"/>
      <c r="D177" s="38" t="n"/>
      <c r="E177" s="38" t="n"/>
      <c r="F177" s="543">
        <f>+F187</f>
        <v/>
      </c>
      <c r="G177" s="545" t="n"/>
      <c r="H177" s="517">
        <f>B177*F177</f>
        <v/>
      </c>
      <c r="I177" s="146" t="n"/>
      <c r="J177" s="146" t="n"/>
      <c r="K177" s="146" t="n"/>
      <c r="N177" s="331" t="n"/>
      <c r="O177" s="332" t="n"/>
      <c r="P177" s="823" t="n"/>
      <c r="Q177" s="823" t="n"/>
    </row>
    <row r="178" hidden="1" outlineLevel="1" ht="15" customFormat="1" customHeight="1" s="4" thickBot="1">
      <c r="A178" s="825" t="inlineStr">
        <is>
          <t>conteggio incollaggi manuali</t>
        </is>
      </c>
      <c r="B178" s="826" t="n"/>
      <c r="C178" s="826" t="n"/>
      <c r="D178" s="827" t="n"/>
      <c r="E178" s="6" t="n"/>
      <c r="F178" s="535" t="n"/>
      <c r="G178" s="545" t="n"/>
      <c r="H178" s="517" t="n">
        <v>0</v>
      </c>
      <c r="I178" s="146" t="n"/>
      <c r="J178" s="146" t="n"/>
      <c r="K178" s="146" t="n"/>
      <c r="N178" s="331" t="n"/>
      <c r="O178" s="332" t="n"/>
      <c r="P178" s="823" t="n"/>
      <c r="Q178" s="823" t="n"/>
    </row>
    <row r="179" hidden="1" outlineLevel="1" ht="15" customFormat="1" customHeight="1" s="4">
      <c r="A179" s="317" t="inlineStr">
        <is>
          <t>componente</t>
        </is>
      </c>
      <c r="B179" s="318" t="inlineStr">
        <is>
          <t>occorrenza</t>
        </is>
      </c>
      <c r="C179" s="318" t="inlineStr">
        <is>
          <t>€/cad.</t>
        </is>
      </c>
      <c r="D179" s="319" t="inlineStr">
        <is>
          <t>€/tot</t>
        </is>
      </c>
      <c r="E179" s="6" t="n"/>
      <c r="F179" s="535" t="n"/>
      <c r="G179" s="545" t="n"/>
      <c r="H179" s="517" t="n">
        <v>0</v>
      </c>
      <c r="I179" s="146" t="n"/>
      <c r="J179" s="146" t="n"/>
      <c r="K179" s="146" t="n"/>
      <c r="N179" s="331" t="n"/>
      <c r="O179" s="332" t="n"/>
      <c r="P179" s="823" t="n"/>
      <c r="Q179" s="823" t="n"/>
    </row>
    <row r="180" hidden="1" outlineLevel="1" ht="15" customFormat="1" customHeight="1" s="4">
      <c r="A180" s="320" t="inlineStr">
        <is>
          <t>componente 1</t>
        </is>
      </c>
      <c r="B180" s="321" t="n">
        <v>1</v>
      </c>
      <c r="C180" s="828" t="n"/>
      <c r="D180" s="829">
        <f>+C180*B180</f>
        <v/>
      </c>
      <c r="E180" s="6" t="n"/>
      <c r="F180" s="535" t="n"/>
      <c r="G180" s="545" t="n"/>
      <c r="H180" s="517" t="n">
        <v>0</v>
      </c>
      <c r="I180" s="146" t="n"/>
      <c r="J180" s="146" t="n"/>
      <c r="K180" s="146" t="n"/>
      <c r="N180" s="331" t="n"/>
      <c r="O180" s="332" t="n"/>
      <c r="P180" s="823" t="n"/>
      <c r="Q180" s="823" t="n"/>
    </row>
    <row r="181" hidden="1" outlineLevel="1" ht="15" customFormat="1" customHeight="1" s="4">
      <c r="A181" s="320" t="inlineStr">
        <is>
          <t>componente 2</t>
        </is>
      </c>
      <c r="B181" s="321" t="n">
        <v>1</v>
      </c>
      <c r="C181" s="828" t="n"/>
      <c r="D181" s="829">
        <f>+C181*B181</f>
        <v/>
      </c>
      <c r="E181" s="6" t="n"/>
      <c r="F181" s="535" t="n"/>
      <c r="G181" s="545" t="n"/>
      <c r="H181" s="517" t="n">
        <v>0</v>
      </c>
      <c r="I181" s="146" t="n"/>
      <c r="J181" s="146" t="n"/>
      <c r="K181" s="146" t="n"/>
      <c r="N181" s="331" t="n"/>
      <c r="O181" s="332" t="n"/>
      <c r="P181" s="823" t="n"/>
      <c r="Q181" s="823" t="n"/>
    </row>
    <row r="182" hidden="1" outlineLevel="1" ht="15" customFormat="1" customHeight="1" s="4">
      <c r="A182" s="320" t="inlineStr">
        <is>
          <t>componente 3</t>
        </is>
      </c>
      <c r="B182" s="321" t="n">
        <v>1</v>
      </c>
      <c r="C182" s="828" t="n"/>
      <c r="D182" s="829">
        <f>+C182*B182</f>
        <v/>
      </c>
      <c r="E182" s="6" t="n"/>
      <c r="F182" s="535" t="n"/>
      <c r="G182" s="545" t="n"/>
      <c r="H182" s="517" t="n">
        <v>0</v>
      </c>
      <c r="I182" s="146" t="n"/>
      <c r="J182" s="146" t="n"/>
      <c r="K182" s="146" t="n"/>
      <c r="N182" s="331" t="n"/>
      <c r="O182" s="332" t="n"/>
      <c r="P182" s="823" t="n"/>
      <c r="Q182" s="823" t="n"/>
    </row>
    <row r="183" hidden="1" outlineLevel="1" ht="15" customFormat="1" customHeight="1" s="4">
      <c r="A183" s="320" t="inlineStr">
        <is>
          <t>componente 4</t>
        </is>
      </c>
      <c r="B183" s="321" t="n">
        <v>1</v>
      </c>
      <c r="C183" s="828" t="n"/>
      <c r="D183" s="829">
        <f>+C183*B183</f>
        <v/>
      </c>
      <c r="E183" s="6" t="n"/>
      <c r="F183" s="535" t="n"/>
      <c r="G183" s="545" t="n"/>
      <c r="H183" s="517" t="n">
        <v>0</v>
      </c>
      <c r="I183" s="146" t="n"/>
      <c r="J183" s="146" t="n"/>
      <c r="K183" s="146" t="n"/>
      <c r="N183" s="331" t="n"/>
      <c r="O183" s="332" t="n"/>
      <c r="P183" s="823" t="n"/>
      <c r="Q183" s="823" t="n"/>
    </row>
    <row r="184" hidden="1" outlineLevel="1" ht="15" customFormat="1" customHeight="1" s="4">
      <c r="A184" s="320" t="inlineStr">
        <is>
          <t>componente 5</t>
        </is>
      </c>
      <c r="B184" s="321" t="n">
        <v>1</v>
      </c>
      <c r="C184" s="828" t="n"/>
      <c r="D184" s="829">
        <f>+C184*B184</f>
        <v/>
      </c>
      <c r="E184" s="6" t="n"/>
      <c r="F184" s="535" t="n"/>
      <c r="G184" s="545" t="n"/>
      <c r="H184" s="517" t="n">
        <v>0</v>
      </c>
      <c r="I184" s="146" t="n"/>
      <c r="J184" s="146" t="n"/>
      <c r="K184" s="146" t="n"/>
      <c r="N184" s="331" t="n"/>
      <c r="O184" s="332" t="n"/>
      <c r="P184" s="823" t="n"/>
      <c r="Q184" s="823" t="n"/>
    </row>
    <row r="185" hidden="1" outlineLevel="1" ht="15" customFormat="1" customHeight="1" s="4">
      <c r="A185" s="320" t="inlineStr">
        <is>
          <t>componente 6</t>
        </is>
      </c>
      <c r="B185" s="321" t="n">
        <v>1</v>
      </c>
      <c r="C185" s="828" t="n"/>
      <c r="D185" s="829">
        <f>+C185*B185</f>
        <v/>
      </c>
      <c r="E185" s="6" t="n"/>
      <c r="F185" s="535" t="n"/>
      <c r="G185" s="545" t="n"/>
      <c r="H185" s="517" t="n">
        <v>0</v>
      </c>
      <c r="I185" s="146" t="n"/>
      <c r="J185" s="146" t="n"/>
      <c r="K185" s="146" t="n"/>
      <c r="N185" s="331" t="n"/>
      <c r="O185" s="332" t="n"/>
      <c r="P185" s="823" t="n"/>
      <c r="Q185" s="823" t="n"/>
    </row>
    <row r="186" hidden="1" outlineLevel="1" ht="15" customFormat="1" customHeight="1" s="4" thickBot="1">
      <c r="A186" s="320" t="inlineStr">
        <is>
          <t>componente 7</t>
        </is>
      </c>
      <c r="B186" s="321" t="n">
        <v>1</v>
      </c>
      <c r="C186" s="828" t="n"/>
      <c r="D186" s="829">
        <f>+C186*B186</f>
        <v/>
      </c>
      <c r="E186" s="6" t="n"/>
      <c r="F186" s="535" t="n"/>
      <c r="G186" s="545" t="n"/>
      <c r="H186" s="517" t="n">
        <v>0</v>
      </c>
      <c r="I186" s="146" t="n"/>
      <c r="J186" s="146" t="n"/>
      <c r="K186" s="146" t="n"/>
      <c r="N186" s="331" t="n"/>
      <c r="O186" s="332" t="n"/>
      <c r="P186" s="823" t="n"/>
      <c r="Q186" s="823" t="n"/>
    </row>
    <row r="187" hidden="1" outlineLevel="1" ht="15" customFormat="1" customHeight="1" s="4" thickBot="1">
      <c r="A187" s="324" t="inlineStr">
        <is>
          <t>componente 8</t>
        </is>
      </c>
      <c r="B187" s="325" t="n">
        <v>1</v>
      </c>
      <c r="C187" s="830" t="n"/>
      <c r="D187" s="831">
        <f>+C187*B187</f>
        <v/>
      </c>
      <c r="E187" s="329" t="inlineStr">
        <is>
          <t>totale</t>
        </is>
      </c>
      <c r="F187" s="832">
        <f>+SUM(D180:D187)</f>
        <v/>
      </c>
      <c r="G187" s="545" t="n"/>
      <c r="H187" s="517" t="n">
        <v>0</v>
      </c>
      <c r="I187" s="146" t="n"/>
      <c r="J187" s="146" t="n"/>
      <c r="K187" s="146" t="n"/>
      <c r="N187" s="331" t="n"/>
      <c r="O187" s="332" t="n"/>
      <c r="P187" s="823" t="n"/>
      <c r="Q187" s="823" t="n"/>
    </row>
    <row r="188" collapsed="1" ht="15" customHeight="1">
      <c r="A188" s="38" t="inlineStr">
        <is>
          <t>Aplicação de biadesivo</t>
        </is>
      </c>
      <c r="B188" s="513">
        <f>+B59*0.99</f>
        <v/>
      </c>
      <c r="C188" s="39" t="n"/>
      <c r="D188" s="38" t="n"/>
      <c r="E188" s="38" t="n"/>
      <c r="F188" s="543">
        <f>IF(K59=0,0,(0.055*(D59/1000))+0.1)</f>
        <v/>
      </c>
      <c r="G188" s="545">
        <f>IF(B188*F188&gt;40, B188*F188, 30)</f>
        <v/>
      </c>
      <c r="H188" s="517">
        <f>MAXA(B188*F188,15)</f>
        <v/>
      </c>
      <c r="I188" s="145" t="n"/>
      <c r="J188" s="145" t="n"/>
      <c r="K188" s="145" t="n"/>
      <c r="N188" s="331" t="n"/>
      <c r="O188" s="332" t="n"/>
      <c r="P188" s="823" t="n"/>
      <c r="Q188" s="823" t="n"/>
      <c r="R188" s="334" t="n"/>
      <c r="S188" s="833" t="n"/>
    </row>
    <row r="189" ht="15" customHeight="1">
      <c r="A189" s="38" t="inlineStr">
        <is>
          <t>casemaker avulso BEN 4200 + Fust. 1 colors</t>
        </is>
      </c>
      <c r="B189" s="513">
        <f>IF(B190&gt;0,produzioni,0)</f>
        <v/>
      </c>
      <c r="C189" s="39" t="n"/>
      <c r="D189" s="38" t="n"/>
      <c r="E189" s="38" t="n"/>
      <c r="F189" s="543">
        <f>IFERROR(VLOOKUP(A189,'LISTINO MACCHINARI'!F31:G48,2,FALSE),"")</f>
        <v/>
      </c>
      <c r="G189" s="545" t="n"/>
      <c r="H189" s="517">
        <f>IFERROR(B189*F189,0)</f>
        <v/>
      </c>
      <c r="I189" s="145" t="n"/>
      <c r="J189" s="145" t="n"/>
      <c r="K189" s="145" t="n"/>
      <c r="N189" s="339" t="n"/>
      <c r="O189" s="339" t="n"/>
      <c r="P189" s="339" t="n"/>
      <c r="Q189" s="339" t="n"/>
    </row>
    <row r="190" ht="15" customHeight="1">
      <c r="A190" s="38" t="inlineStr">
        <is>
          <t>casemaker por passagem</t>
        </is>
      </c>
      <c r="B190" s="513">
        <f>B62*0.99</f>
        <v/>
      </c>
      <c r="C190" s="117" t="n"/>
      <c r="D190" s="117" t="n"/>
      <c r="E190" s="38" t="n"/>
      <c r="F190" s="543" t="n">
        <v>0.66</v>
      </c>
      <c r="G190" s="545">
        <f>IF(H190=80*B189, "min","")</f>
        <v/>
      </c>
      <c r="H190" s="517">
        <f>MAXA(B190*F190, 80*B189)</f>
        <v/>
      </c>
      <c r="I190" s="194">
        <f t="array" ref="I190">IFERROR(INDIRECT("I"&amp;VALUE(LEFT(MID(_xlfn.FORMULATEXT(B190),FIND("B",_xlfn.FORMULATEXT(B190))+1,10),MATCH(FALSE,ISNUMBER(--MID(MID(_xlfn.FORMULATEXT(B190),FIND("B",_xlfn.FORMULATEXT(B190))+1,10),_xlfn.SEQUENCE(10),1)),0)-1))),"")</f>
        <v/>
      </c>
      <c r="J190" s="445" t="n">
        <v>14.95</v>
      </c>
      <c r="K190" s="445" t="n">
        <v>18</v>
      </c>
      <c r="L190" s="445" t="n">
        <v>240</v>
      </c>
      <c r="M190" s="445">
        <f>+IF(J190="",0,_xlfn.CEILING.MATH(((J190*K190)+L190),5))</f>
        <v/>
      </c>
      <c r="N190" s="445">
        <f>+J190</f>
        <v/>
      </c>
      <c r="O190" s="330" t="n"/>
      <c r="P190" s="330" t="n"/>
      <c r="Q190" s="330" t="n"/>
    </row>
    <row r="191" ht="15" customHeight="1">
      <c r="A191" s="153" t="inlineStr">
        <is>
          <t>trasporto master MB</t>
        </is>
      </c>
      <c r="B191" s="513" t="n"/>
      <c r="C191" s="133" t="n"/>
      <c r="D191" s="117" t="n"/>
      <c r="E191" s="38" t="n"/>
      <c r="F191" s="543" t="n"/>
      <c r="G191" s="545" t="n"/>
      <c r="H191" s="517">
        <f>B191*F191</f>
        <v/>
      </c>
      <c r="I191" s="145" t="n"/>
      <c r="J191" s="145" t="n"/>
      <c r="K191" s="145" t="n"/>
      <c r="N191" s="331" t="n"/>
      <c r="O191" s="332" t="n"/>
      <c r="P191" s="823" t="n"/>
      <c r="Q191" s="823" t="n"/>
    </row>
    <row r="192" hidden="1" outlineLevel="1" ht="15" customHeight="1">
      <c r="A192" s="153" t="inlineStr">
        <is>
          <t>Formadeira HS avulso</t>
        </is>
      </c>
      <c r="B192" s="513" t="n"/>
      <c r="C192" s="133" t="n"/>
      <c r="D192" s="117" t="n"/>
      <c r="E192" s="38" t="n"/>
      <c r="F192" s="543" t="n"/>
      <c r="G192" s="545" t="n"/>
      <c r="H192" s="517">
        <f>B192*F192</f>
        <v/>
      </c>
      <c r="I192" s="145" t="n"/>
      <c r="J192" s="145" t="n"/>
      <c r="K192" s="145" t="n"/>
      <c r="N192" s="331" t="n"/>
      <c r="O192" s="332" t="n"/>
      <c r="P192" s="823" t="n"/>
      <c r="Q192" s="823" t="n"/>
    </row>
    <row r="193" hidden="1" outlineLevel="1" ht="15" customHeight="1">
      <c r="A193" s="38" t="inlineStr">
        <is>
          <t>Formadeira HS por passagem</t>
        </is>
      </c>
      <c r="B193" s="513" t="n"/>
      <c r="C193" s="133" t="n"/>
      <c r="D193" s="117" t="n"/>
      <c r="E193" s="38" t="n"/>
      <c r="F193" s="543" t="n"/>
      <c r="G193" s="545">
        <f>IF(H193=75*B192, "min","")</f>
        <v/>
      </c>
      <c r="H193" s="517">
        <f>MAXA(B193*F193, 75*B192)</f>
        <v/>
      </c>
      <c r="I193" s="194">
        <f t="array" ref="I193">IFERROR(INDIRECT("I"&amp;VALUE(LEFT(MID(_xlfn.FORMULATEXT(B193),FIND("B",_xlfn.FORMULATEXT(B193))+1,10),MATCH(FALSE,ISNUMBER(--MID(MID(_xlfn.FORMULATEXT(B193),FIND("B",_xlfn.FORMULATEXT(B193))+1,10),_xlfn.SEQUENCE(10),1)),0)-1))),"")</f>
        <v/>
      </c>
      <c r="J193" s="145" t="n"/>
      <c r="K193" s="145" t="n"/>
      <c r="N193" s="331" t="n"/>
      <c r="O193" s="332" t="n"/>
      <c r="P193" s="823" t="n"/>
      <c r="Q193" s="823" t="n"/>
    </row>
    <row r="194" collapsed="1" ht="12.75" customHeight="1">
      <c r="A194" s="153" t="inlineStr">
        <is>
          <t>Embalagem em caixa</t>
        </is>
      </c>
      <c r="B194" s="513">
        <f>+(+Scatola_Mag)+(MASTER*0.99)</f>
        <v/>
      </c>
      <c r="C194" s="39" t="n"/>
      <c r="D194" s="38" t="n"/>
      <c r="E194" s="38" t="n"/>
      <c r="F194" s="543" t="n">
        <v>0.5</v>
      </c>
      <c r="G194" s="545" t="n"/>
      <c r="H194" s="517">
        <f>B194*F194</f>
        <v/>
      </c>
      <c r="I194" s="145" t="n"/>
      <c r="J194" s="145" t="n"/>
      <c r="K194" s="145" t="n"/>
      <c r="N194" s="331">
        <f>IF(A60&lt;&gt;"CAIXA DE ESTOQUE",_xlfn.CEILING.MATH(Scatola_Mag/VLOOKUP(calcolo!A60,'Formato de estoque'!D19:H24,5,FALSE)),0)</f>
        <v/>
      </c>
      <c r="O194" s="332" t="n"/>
      <c r="P194" s="823" t="n"/>
      <c r="Q194" s="823" t="n"/>
    </row>
    <row r="195" ht="15" customHeight="1">
      <c r="A195" s="38" t="inlineStr">
        <is>
          <t>PLT 80X120</t>
        </is>
      </c>
      <c r="B195" s="514">
        <f>_xlfn.CEILING.MATH(QTA/23)</f>
        <v/>
      </c>
      <c r="C195" s="39" t="n"/>
      <c r="D195" s="38" t="n"/>
      <c r="E195" s="38" t="n"/>
      <c r="F195" s="543">
        <f>IF(+B195=0,0,VLOOKUP(A195,COSTO_PLT[],2,FALSE))</f>
        <v/>
      </c>
      <c r="G195" s="545" t="n"/>
      <c r="H195" s="523">
        <f>IF(+B195=0,0,+B195*F195)</f>
        <v/>
      </c>
      <c r="I195" s="582" t="inlineStr">
        <is>
          <t>23 master messe una sopra l'altra per arrivare ad h max 2 mt incluso plt</t>
        </is>
      </c>
      <c r="J195" s="145" t="n"/>
      <c r="K195" s="145" t="n"/>
      <c r="N195" s="331" t="n"/>
      <c r="O195" s="332" t="n"/>
      <c r="P195" s="823" t="n"/>
      <c r="Q195" s="823" t="n"/>
    </row>
    <row r="196" hidden="1" outlineLevel="1" ht="15" customHeight="1">
      <c r="A196" s="38" t="n"/>
      <c r="B196" s="513" t="n"/>
      <c r="C196" s="39" t="n"/>
      <c r="D196" s="38" t="n"/>
      <c r="E196" s="38" t="n"/>
      <c r="F196" s="543">
        <f>IF(+B196=0,0,VLOOKUP(A196,COSTO_PLT[],2,FALSE))</f>
        <v/>
      </c>
      <c r="G196" s="545" t="n"/>
      <c r="H196" s="523">
        <f>IF(+B196=0,0,+B196*F196)</f>
        <v/>
      </c>
      <c r="I196" s="145" t="n"/>
      <c r="J196" s="145" t="n"/>
      <c r="K196" s="145" t="n"/>
      <c r="N196" s="331" t="n"/>
      <c r="O196" s="332" t="n"/>
      <c r="P196" s="823" t="n"/>
      <c r="Q196" s="823" t="n"/>
    </row>
    <row r="197" hidden="1" outlineLevel="1" ht="15" customHeight="1">
      <c r="A197" s="38" t="n"/>
      <c r="B197" s="513" t="n"/>
      <c r="C197" s="39" t="n"/>
      <c r="D197" s="38" t="n"/>
      <c r="E197" s="38" t="n"/>
      <c r="F197" s="543">
        <f>IF(+B197=0,0,VLOOKUP(A197,COSTO_PLT[],2,FALSE))</f>
        <v/>
      </c>
      <c r="G197" s="545" t="n"/>
      <c r="H197" s="523">
        <f>IF(+B197=0,0,+B197*F197)</f>
        <v/>
      </c>
      <c r="I197" s="145" t="n"/>
      <c r="J197" s="145" t="n"/>
      <c r="K197" s="145" t="n"/>
      <c r="N197" s="331" t="n"/>
      <c r="O197" s="332" t="n"/>
      <c r="P197" s="823" t="n"/>
      <c r="Q197" s="823" t="n"/>
    </row>
    <row r="198" hidden="1" outlineLevel="1" ht="15" customHeight="1">
      <c r="A198" s="38" t="n"/>
      <c r="B198" s="542" t="n"/>
      <c r="C198" s="39" t="n"/>
      <c r="D198" s="38" t="n"/>
      <c r="E198" s="38" t="n"/>
      <c r="F198" s="543">
        <f>IF(+B198=0,0,VLOOKUP(A198,COSTO_PLT[],2,FALSE))</f>
        <v/>
      </c>
      <c r="G198" s="545" t="n"/>
      <c r="H198" s="523">
        <f>IF(+B198=0,0,+B198*F198)</f>
        <v/>
      </c>
      <c r="I198" s="145" t="n"/>
      <c r="J198" s="145" t="n"/>
      <c r="K198" s="145" t="n"/>
      <c r="M198" s="200" t="n"/>
      <c r="N198" s="331" t="n"/>
      <c r="O198" s="332" t="n"/>
      <c r="P198" s="823" t="n"/>
      <c r="Q198" s="823" t="n"/>
      <c r="R198" s="334" t="n"/>
      <c r="S198" s="833" t="n"/>
    </row>
    <row r="199" collapsed="1" ht="15" customHeight="1">
      <c r="A199" s="38" t="inlineStr">
        <is>
          <t>Embalagem em pallet</t>
        </is>
      </c>
      <c r="B199" s="513">
        <f>SUM(B195:B198)</f>
        <v/>
      </c>
      <c r="C199" s="39" t="n"/>
      <c r="D199" s="38" t="n"/>
      <c r="E199" s="38" t="n"/>
      <c r="F199" s="546" t="n">
        <v>5</v>
      </c>
      <c r="G199" s="545" t="n"/>
      <c r="H199" s="517">
        <f>B199*F199</f>
        <v/>
      </c>
      <c r="I199" s="145" t="n"/>
      <c r="J199" s="145" t="n"/>
      <c r="K199" s="145" t="n"/>
      <c r="M199" s="200" t="n"/>
    </row>
    <row r="200" ht="15" customHeight="1" thickBot="1">
      <c r="A200" s="278" t="inlineStr">
        <is>
          <t>KERPEN (D)</t>
        </is>
      </c>
      <c r="B200" s="513" t="n"/>
      <c r="C200" s="834" t="inlineStr">
        <is>
          <t>MEZZAGO</t>
        </is>
      </c>
      <c r="D200" s="835" t="n"/>
      <c r="E200" s="802" t="n"/>
      <c r="F200" s="836">
        <f>IF(part1="GRAFCOLOR (A preventivo)",VLOOKUP(QTA,FORNITORE[],3,FALSE),IF(B195&gt;10,CEILING(IF(dest1="",0,IF(+B195=0,0,CEILING((VLOOKUP(A195,PARTENZA1[#All],8,FALSE)*(_xlfn.CEILING.MATH(+B195/VLOOKUP(+A195,COSTO_PLT[#All],4,FALSE))))+(((+B195-((_xlfn.CEILING.MATH(+B195/VLOOKUP(+A195,COSTO_PLT[#All],4,FALSE)))))*VLOOKUP(+A195,PARTENZA1[#All],9,0))),25))+IF(+B196=0,0,CEILING((VLOOKUP(A196,PARTENZA1[#All],8,FALSE)*(_xlfn.CEILING.MATH(+B196/VLOOKUP(+A196,COSTO_PLT[#All],4,FALSE))))+(((+B196-((_xlfn.CEILING.MATH(+B196/VLOOKUP(+A196,COSTO_PLT[#All],4,FALSE)))))*VLOOKUP(+A196,PARTENZA1[#All],9,0))),25))+IF(+B197=0,0,CEILING((VLOOKUP(A197,PARTENZA1[#All],8,FALSE)*(_xlfn.CEILING.MATH(+B197/VLOOKUP(+A197,COSTO_PLT[#All],4,FALSE))))+(((+B197-((_xlfn.CEILING.MATH(+B197/VLOOKUP(+A197,COSTO_PLT[#All],4,FALSE)))))*VLOOKUP(+A197,PARTENZA1[#All],9,0))),25))+IF(+B198=0,0,CEILING((VLOOKUP(A198,PARTENZA1[#All],8,FALSE)*(_xlfn.CEILING.MATH(+B198/VLOOKUP(+A198,COSTO_PLT[#All],4,FALSE))))+(((+B198-((_xlfn.CEILING.MATH(+B198/VLOOKUP(+A198,COSTO_PLT[#All],4,FALSE)))))*VLOOKUP(+A198,PARTENZA1[#All],9,0))),25))),25),CEILING(IF(dest1="",0,IF(+B195=0,0,CEILING((VLOOKUP(A195,PARTENZA1[#All],8,FALSE)*(_xlfn.CEILING.MATH(+B195/VLOOKUP(+A195,COSTO_PLT[#All],4,FALSE))))+(((+B195-((_xlfn.CEILING.MATH(+B195/VLOOKUP(+A195,COSTO_PLT[#All],4,FALSE)))))*VLOOKUP(+A195,PARTENZA1[#All],9,0))),25))+IF(+B196=0,0,CEILING((VLOOKUP(A196,PARTENZA1[#All],8,FALSE)*(_xlfn.CEILING.MATH(+B196/VLOOKUP(+A196,COSTO_PLT[#All],4,FALSE))))+(((+B196-((_xlfn.CEILING.MATH(+B196/VLOOKUP(+A196,COSTO_PLT[#All],4,FALSE)))))*VLOOKUP(+A196,PARTENZA1[#All],9,0))),25))+IF(+B197=0,0,CEILING((VLOOKUP(A197,PARTENZA1[#All],8,FALSE)*(_xlfn.CEILING.MATH(+B197/VLOOKUP(+A197,COSTO_PLT[#All],4,FALSE))))+(((+B197-((_xlfn.CEILING.MATH(+B197/VLOOKUP(+A197,COSTO_PLT[#All],4,FALSE)))))*VLOOKUP(+A197,PARTENZA1[#All],9,0))),25))+IF(+B198=0,0,CEILING((VLOOKUP(A198,PARTENZA1[#All],8,FALSE)*(_xlfn.CEILING.MATH(+B198/VLOOKUP(+A198,COSTO_PLT[#All],4,FALSE))))+(((+B198-((_xlfn.CEILING.MATH(+B198/VLOOKUP(+A198,COSTO_PLT[#All],4,FALSE)))))*VLOOKUP(+A198,PARTENZA1[#All],9,0))),25)))*1,1)))</f>
        <v/>
      </c>
      <c r="G200" s="545" t="n"/>
      <c r="H200" s="517">
        <f>+IF(B200="",0,B200*F200)</f>
        <v/>
      </c>
      <c r="I200" s="403" t="n"/>
      <c r="J200" s="145" t="n"/>
      <c r="K200" s="145" t="n"/>
      <c r="M200" s="200" t="n"/>
    </row>
    <row r="201" hidden="1" outlineLevel="1" ht="15" customHeight="1">
      <c r="A201" s="278" t="n"/>
      <c r="B201" s="117" t="n"/>
      <c r="C201" s="837" t="n"/>
      <c r="D201" s="835" t="n"/>
      <c r="E201" s="802" t="n"/>
      <c r="F201" s="836">
        <f>IF(part2="GRAFCOLOR (A preventivo)",VLOOKUP(QTA,FORNITORE[],3,FALSE),IF(B195&gt;10,CEILING(IF(dest2="",0,IF(+B195=0,0,CEILING((VLOOKUP(A195,PARTENZA2[#All],8,FALSE)*(_xlfn.CEILING.MATH(+B195/VLOOKUP(+A195,COSTO_PLT[#All],4,FALSE))))+(((+B195-((_xlfn.CEILING.MATH(+B195/VLOOKUP(+A195,COSTO_PLT[#All],4,FALSE)))))*VLOOKUP(+A195,PARTENZA2[#All],9,0))),25))+IF(+B196=0,0,CEILING((VLOOKUP(A196,PARTENZA2[#All],8,FALSE)*(_xlfn.CEILING.MATH(+B196/VLOOKUP(+A196,COSTO_PLT[#All],4,FALSE))))+(((+B196-((_xlfn.CEILING.MATH(+B196/VLOOKUP(+A196,COSTO_PLT[#All],4,FALSE)))))*VLOOKUP(+A196,PARTENZA2[#All],9,0))),25))+IF(+B197=0,0,CEILING((VLOOKUP(A197,PARTENZA2[#All],8,FALSE)*(_xlfn.CEILING.MATH(+B197/VLOOKUP(+A197,COSTO_PLT[#All],4,FALSE))))+(((+B197-((_xlfn.CEILING.MATH(+B197/VLOOKUP(+A197,COSTO_PLT[#All],4,FALSE)))))*VLOOKUP(+A197,PARTENZA2[#All],9,0))),25))+IF(+B198=0,0,CEILING((VLOOKUP(A198,PARTENZA2[#All],8,FALSE)*(_xlfn.CEILING.MATH(+B198/VLOOKUP(+A198,COSTO_PLT[#All],4,FALSE))))+(((+B198-((_xlfn.CEILING.MATH(+B198/VLOOKUP(+A198,COSTO_PLT[#All],4,FALSE)))))*VLOOKUP(+A198,PARTENZA2[#All],9,0))),25))),25),CEILING(IF(dest2="",0,IF(+B195=0,0,CEILING((VLOOKUP(A195,PARTENZA2[#All],8,FALSE)*(_xlfn.CEILING.MATH(+B195/VLOOKUP(+A195,COSTO_PLT[#All],4,FALSE))))+(((+B195-((_xlfn.CEILING.MATH(+B195/VLOOKUP(+A195,COSTO_PLT[#All],4,FALSE)))))*VLOOKUP(+A195,PARTENZA2[#All],9,0))),25))+IF(+B196=0,0,CEILING((VLOOKUP(A196,PARTENZA2[#All],8,FALSE)*(_xlfn.CEILING.MATH(+B196/VLOOKUP(+A196,COSTO_PLT[#All],4,FALSE))))+(((+B196-((_xlfn.CEILING.MATH(+B196/VLOOKUP(+A196,COSTO_PLT[#All],4,FALSE)))))*VLOOKUP(+A196,PARTENZA2[#All],9,0))),25))+IF(+B197=0,0,CEILING((VLOOKUP(A197,PARTENZA2[#All],8,FALSE)*(_xlfn.CEILING.MATH(+B197/VLOOKUP(+A197,COSTO_PLT[#All],4,FALSE))))+(((+B197-((_xlfn.CEILING.MATH(+B197/VLOOKUP(+A197,COSTO_PLT[#All],4,FALSE)))))*VLOOKUP(+A197,PARTENZA2[#All],9,0))),25))+IF(+B198=0,0,CEILING((VLOOKUP(A198,PARTENZA2[#All],8,FALSE)*(_xlfn.CEILING.MATH(+B198/VLOOKUP(+A198,COSTO_PLT[#All],4,FALSE))))+(((+B198-((_xlfn.CEILING.MATH(+B198/VLOOKUP(+A198,COSTO_PLT[#All],4,FALSE)))))*VLOOKUP(+A198,PARTENZA2[#All],9,0))),25)))*1,1)))</f>
        <v/>
      </c>
      <c r="G201" s="545" t="n"/>
      <c r="H201" s="517">
        <f>+IF(B201="",0,B201*F201)</f>
        <v/>
      </c>
      <c r="I201" s="403" t="n"/>
      <c r="J201" s="145" t="n"/>
      <c r="K201" s="145" t="n"/>
      <c r="M201" s="200" t="n"/>
    </row>
    <row r="202" hidden="1" outlineLevel="1" ht="15" customHeight="1" thickBot="1">
      <c r="A202" s="278" t="n"/>
      <c r="B202" s="117" t="n"/>
      <c r="C202" s="838" t="n"/>
      <c r="D202" s="835" t="n"/>
      <c r="E202" s="802" t="n"/>
      <c r="F202" s="836">
        <f>IF(part3="GRAFCOLOR (A preventivo)",VLOOKUP(QTA,FORNITORE[],3,FALSE),IF(B195&gt;10,CEILING(IF(dest2="",0,IF(+B195=0,0,CEILING((VLOOKUP(A195,PARTENZA3[#All],8,FALSE)*(_xlfn.CEILING.MATH(+B195/VLOOKUP(+A195,COSTO_PLT[#All],4,FALSE))))+(((+B195-((_xlfn.CEILING.MATH(+B195/VLOOKUP(+A195,COSTO_PLT[#All],4,FALSE)))))*VLOOKUP(+A195,PARTENZA3[#All],9,0))),25))+IF(+B196=0,0,CEILING((VLOOKUP(A196,PARTENZA3[#All],8,FALSE)*(_xlfn.CEILING.MATH(+B196/VLOOKUP(+A196,COSTO_PLT[#All],4,FALSE))))+(((+B196-((_xlfn.CEILING.MATH(+B196/VLOOKUP(+A196,COSTO_PLT[#All],4,FALSE)))))*VLOOKUP(+A196,PARTENZA3[#All],9,0))),25))+IF(+B197=0,0,CEILING((VLOOKUP(A197,PARTENZA3[#All],8,FALSE)*(_xlfn.CEILING.MATH(+B197/VLOOKUP(+A197,COSTO_PLT[#All],4,FALSE))))+(((+B197-((_xlfn.CEILING.MATH(+B197/VLOOKUP(+A197,COSTO_PLT[#All],4,FALSE)))))*VLOOKUP(+A197,PARTENZA3[#All],9,0))),25))+IF(+B198=0,0,CEILING((VLOOKUP(A198,PARTENZA3[#All],8,FALSE)*(_xlfn.CEILING.MATH(+B198/VLOOKUP(+A198,COSTO_PLT[#All],4,FALSE))))+(((+B198-((_xlfn.CEILING.MATH(+B198/VLOOKUP(+A198,COSTO_PLT[#All],4,FALSE)))))*VLOOKUP(+A198,PARTENZA3[#All],9,0))),25))),25),CEILING(IF(dest2="",0,IF(+B195=0,0,CEILING((VLOOKUP(A195,PARTENZA3[#All],8,FALSE)*(_xlfn.CEILING.MATH(+B195/VLOOKUP(+A195,COSTO_PLT[#All],4,FALSE))))+(((+B195-((_xlfn.CEILING.MATH(+B195/VLOOKUP(+A195,COSTO_PLT[#All],4,FALSE)))))*VLOOKUP(+A195,PARTENZA3[#All],9,0))),25))+IF(+B196=0,0,CEILING((VLOOKUP(A196,PARTENZA3[#All],8,FALSE)*(_xlfn.CEILING.MATH(+B196/VLOOKUP(+A196,COSTO_PLT[#All],4,FALSE))))+(((+B196-((_xlfn.CEILING.MATH(+B196/VLOOKUP(+A196,COSTO_PLT[#All],4,FALSE)))))*VLOOKUP(+A196,PARTENZA3[#All],9,0))),25))+IF(+B197=0,0,CEILING((VLOOKUP(A197,PARTENZA3[#All],8,FALSE)*(_xlfn.CEILING.MATH(+B197/VLOOKUP(+A197,COSTO_PLT[#All],4,FALSE))))+(((+B197-((_xlfn.CEILING.MATH(+B197/VLOOKUP(+A197,COSTO_PLT[#All],4,FALSE)))))*VLOOKUP(+A197,PARTENZA3[#All],9,0))),25))+IF(+B198=0,0,CEILING((VLOOKUP(A198,PARTENZA3[#All],8,FALSE)*(_xlfn.CEILING.MATH(+B198/VLOOKUP(+A198,COSTO_PLT[#All],4,FALSE))))+(((+B198-((_xlfn.CEILING.MATH(+B198/VLOOKUP(+A198,COSTO_PLT[#All],4,FALSE)))))*VLOOKUP(+A198,PARTENZA3[#All],9,0))),25)))*1,1)))</f>
        <v/>
      </c>
      <c r="G202" s="545" t="n"/>
      <c r="H202" s="517">
        <f>+IF(B202="",0,B202*F202)</f>
        <v/>
      </c>
      <c r="I202" s="403" t="n"/>
      <c r="J202" s="145" t="n"/>
      <c r="K202" s="145" t="n"/>
      <c r="M202" s="200" t="n"/>
      <c r="N202" s="219" t="n"/>
    </row>
    <row r="203" collapsed="1" ht="12.75" customHeight="1" thickBot="1">
      <c r="A203" s="839" t="n"/>
      <c r="B203" s="8" t="n"/>
      <c r="C203" s="200" t="n"/>
      <c r="D203" s="200" t="n"/>
      <c r="E203" s="200" t="n"/>
      <c r="H203" s="119">
        <f>SUM(H111:H202)</f>
        <v/>
      </c>
      <c r="I203" s="89">
        <f>H203*1.25</f>
        <v/>
      </c>
    </row>
    <row r="204" ht="12.75" customHeight="1" thickBot="1">
      <c r="C204" s="130" t="inlineStr">
        <is>
          <t>Quantidade</t>
        </is>
      </c>
      <c r="D204" s="130" t="inlineStr">
        <is>
          <t>Quantidade</t>
        </is>
      </c>
      <c r="E204" s="130" t="inlineStr">
        <is>
          <t>Quantidade</t>
        </is>
      </c>
      <c r="H204" s="840" t="n"/>
    </row>
    <row r="205" ht="13.5" customHeight="1" thickBot="1">
      <c r="A205" s="841" t="inlineStr">
        <is>
          <t>INCIDÊNCIA DE CUSTOS</t>
        </is>
      </c>
      <c r="B205" s="842" t="n"/>
      <c r="C205" s="555" t="n"/>
      <c r="D205" s="555" t="n"/>
      <c r="E205" s="555" t="n"/>
      <c r="F205" s="843" t="inlineStr">
        <is>
          <t>Custos totais</t>
        </is>
      </c>
      <c r="G205" s="218" t="n"/>
      <c r="H205" s="844">
        <f>H23+H63+H100+H203</f>
        <v/>
      </c>
      <c r="I205" s="89">
        <f>I203+I100+I63+I23</f>
        <v/>
      </c>
    </row>
    <row r="206" ht="12.75" customHeight="1" thickBot="1">
      <c r="A206" s="143" t="inlineStr">
        <is>
          <t xml:space="preserve">MATERIAIS </t>
        </is>
      </c>
      <c r="B206" s="141">
        <f>(H23+H63)/H205</f>
        <v/>
      </c>
      <c r="C206" s="556" t="n"/>
      <c r="D206" s="555" t="n"/>
      <c r="E206" s="555" t="n"/>
      <c r="H206" s="845" t="n"/>
    </row>
    <row r="207" ht="12.75" customHeight="1" thickBot="1">
      <c r="A207" s="143" t="inlineStr">
        <is>
          <t xml:space="preserve">SERVIÇOS EXTERNOS </t>
        </is>
      </c>
      <c r="B207" s="141">
        <f>H100/H205</f>
        <v/>
      </c>
      <c r="C207" s="557" t="n"/>
      <c r="D207" s="557" t="n"/>
      <c r="E207" s="558" t="n"/>
      <c r="F207" s="73" t="inlineStr">
        <is>
          <t>Custo Unitário</t>
        </is>
      </c>
      <c r="G207" s="57" t="n"/>
      <c r="H207" s="279">
        <f>H205/G6</f>
        <v/>
      </c>
    </row>
    <row r="208" ht="12.75" customHeight="1" thickBot="1">
      <c r="A208" s="144" t="inlineStr">
        <is>
          <t>SERVIÇOS INTERNOS</t>
        </is>
      </c>
      <c r="B208" s="142">
        <f>H203/H205</f>
        <v/>
      </c>
      <c r="C208" s="846" t="n"/>
      <c r="D208" s="847" t="n"/>
      <c r="E208" s="847" t="n"/>
      <c r="F208" s="8" t="n"/>
      <c r="G208" s="80" t="n"/>
      <c r="H208" s="848" t="n"/>
    </row>
    <row r="209" ht="12.75" customHeight="1" thickBot="1">
      <c r="C209" s="849">
        <f>+C205*C208</f>
        <v/>
      </c>
      <c r="D209" s="849">
        <f>+D205*D208</f>
        <v/>
      </c>
      <c r="E209" s="849">
        <f>+E205*E208</f>
        <v/>
      </c>
      <c r="F209" s="8" t="n"/>
      <c r="G209" s="80" t="n"/>
      <c r="H209" s="848" t="n"/>
    </row>
    <row r="210" ht="12.75" customHeight="1" thickBot="1">
      <c r="A210" s="850">
        <f>ROUNDUP(IF(((D219*QTA)+H226)&gt;('calcolo digitale'!D103*QTA),'calcolo digitale'!D103),3)</f>
        <v/>
      </c>
      <c r="C210" s="16" t="n"/>
      <c r="D210" s="16" t="n"/>
      <c r="E210" s="16" t="n"/>
      <c r="F210" s="16" t="n"/>
      <c r="G210" s="16" t="n"/>
      <c r="H210" s="16" t="n"/>
    </row>
    <row r="211" ht="12.75" customHeight="1" thickBot="1">
      <c r="A211" s="261">
        <f>IFERROR(IF((SUM(J149:J161)+J190)=0,"",IF(((D219*QTA)+H226)&gt;('calcolo digitale'!D103*QTA),"CONVIENE DIGITALE","")),"")</f>
        <v/>
      </c>
      <c r="F211" s="6" t="n"/>
    </row>
    <row r="212" ht="12.75" customHeight="1" thickBot="1">
      <c r="C212" s="851" t="n"/>
      <c r="D212" s="851" t="n"/>
      <c r="E212" s="852" t="n"/>
      <c r="F212" s="852" t="n"/>
      <c r="G212" s="852" t="n"/>
      <c r="H212" s="852" t="n"/>
      <c r="N212" s="404" t="n"/>
      <c r="O212" s="405" t="n"/>
    </row>
    <row r="213">
      <c r="C213" s="61" t="n"/>
      <c r="D213" s="18" t="inlineStr">
        <is>
          <t>Quantidade</t>
        </is>
      </c>
      <c r="E213" s="18" t="inlineStr">
        <is>
          <t>Quantidade</t>
        </is>
      </c>
      <c r="F213" s="20" t="inlineStr">
        <is>
          <t>Quantidade</t>
        </is>
      </c>
      <c r="G213" s="20" t="inlineStr">
        <is>
          <t>Quantidade</t>
        </is>
      </c>
      <c r="H213" s="18" t="inlineStr">
        <is>
          <t>Quantidade</t>
        </is>
      </c>
      <c r="N213" s="16" t="n"/>
      <c r="O213" s="16" t="n"/>
      <c r="P213" s="16" t="n"/>
      <c r="Q213" s="16" t="n"/>
    </row>
    <row r="214" ht="12.75" customHeight="1">
      <c r="C214" s="19" t="n"/>
      <c r="D214" s="74">
        <f>QTA</f>
        <v/>
      </c>
      <c r="E214" s="553" t="n">
        <v>4400</v>
      </c>
      <c r="F214" s="553" t="n">
        <v>4000</v>
      </c>
      <c r="G214" s="553" t="n"/>
      <c r="H214" s="553" t="n"/>
      <c r="N214" s="219" t="n"/>
      <c r="O214" s="219" t="n"/>
      <c r="P214" s="219" t="n"/>
      <c r="Q214" s="219" t="n"/>
    </row>
    <row r="215">
      <c r="A215" s="39" t="inlineStr">
        <is>
          <t xml:space="preserve">Preço de Venda      </t>
        </is>
      </c>
      <c r="B215" s="65" t="n">
        <v>0.3</v>
      </c>
      <c r="C215" s="131">
        <f>+D215*$G$6</f>
        <v/>
      </c>
      <c r="D215" s="853">
        <f>H207*B215+H207</f>
        <v/>
      </c>
      <c r="E215" s="562" t="n"/>
      <c r="F215" s="562" t="n"/>
      <c r="G215" s="562" t="n"/>
      <c r="H215" s="562" t="n"/>
      <c r="N215" s="219" t="n"/>
      <c r="O215" s="219" t="n"/>
      <c r="P215" s="219" t="n"/>
      <c r="Q215" s="219" t="n"/>
    </row>
    <row r="216">
      <c r="A216" s="195" t="inlineStr">
        <is>
          <t>trasporto f.co destino a %</t>
        </is>
      </c>
      <c r="B216" s="65">
        <f>IF(A216="trasporto f.co destino a %",J216,+C216/C215)</f>
        <v/>
      </c>
      <c r="C216" s="131">
        <f>+IF(A216="trasporto f.co destino a %", D216*G6, +(+trasporto1+trasporto2+trasporto3)*1.1)</f>
        <v/>
      </c>
      <c r="D216" s="854">
        <f>B216*D215</f>
        <v/>
      </c>
      <c r="E216" s="562" t="n"/>
      <c r="F216" s="562" t="n"/>
      <c r="G216" s="562" t="n"/>
      <c r="H216" s="562" t="n"/>
      <c r="N216" s="219" t="n"/>
      <c r="O216" s="219" t="n"/>
      <c r="P216" s="219" t="n"/>
      <c r="Q216" s="219" t="n"/>
    </row>
    <row r="217">
      <c r="A217" s="39" t="inlineStr">
        <is>
          <t>Comissão</t>
        </is>
      </c>
      <c r="B217" s="66" t="n">
        <v>0.04</v>
      </c>
      <c r="C217" s="131">
        <f>+D217*$G$6</f>
        <v/>
      </c>
      <c r="D217" s="854">
        <f>B217*D215</f>
        <v/>
      </c>
      <c r="E217" s="562" t="n"/>
      <c r="F217" s="562" t="n"/>
      <c r="G217" s="562" t="n"/>
      <c r="H217" s="562" t="n"/>
      <c r="N217" s="219" t="n"/>
      <c r="O217" s="219" t="n"/>
      <c r="P217" s="219" t="n"/>
      <c r="Q217" s="219" t="n"/>
    </row>
    <row r="218" ht="12.75" customHeight="1" thickBot="1">
      <c r="A218" s="39" t="inlineStr">
        <is>
          <t>ENCARGOS FINANCEIROS</t>
        </is>
      </c>
      <c r="B218" s="66" t="n">
        <v>0</v>
      </c>
      <c r="C218" s="131">
        <f>+D218*$G$6</f>
        <v/>
      </c>
      <c r="D218" s="855">
        <f>B218*D215</f>
        <v/>
      </c>
      <c r="E218" s="562" t="n"/>
      <c r="F218" s="562" t="n"/>
      <c r="G218" s="562" t="n"/>
      <c r="H218" s="562" t="n"/>
      <c r="N218" s="852" t="n"/>
      <c r="O218" s="852" t="n"/>
      <c r="P218" s="852" t="n"/>
      <c r="Q218" s="852" t="n"/>
    </row>
    <row r="219" ht="15" customHeight="1" thickBot="1">
      <c r="A219" s="58" t="inlineStr">
        <is>
          <t>PREÇO DE VENDA UNITÁRIO TOTAL</t>
        </is>
      </c>
      <c r="B219" s="59" t="n"/>
      <c r="C219" s="60" t="n"/>
      <c r="D219" s="856">
        <f>D218+D217+D216+D215</f>
        <v/>
      </c>
      <c r="E219" s="847" t="n">
        <v>26</v>
      </c>
      <c r="F219" s="857" t="n">
        <v>27</v>
      </c>
      <c r="G219" s="857" t="n"/>
      <c r="H219" s="857" t="n"/>
      <c r="I219" s="858">
        <f>I205/G6</f>
        <v/>
      </c>
      <c r="J219" s="858" t="n"/>
      <c r="K219" s="858" t="n"/>
      <c r="N219" s="127" t="n"/>
      <c r="O219" s="127" t="n"/>
      <c r="P219" s="127" t="n"/>
      <c r="Q219" s="127" t="n"/>
    </row>
    <row r="220" ht="13.5" customHeight="1" thickBot="1">
      <c r="A220" s="75" t="inlineStr">
        <is>
          <t xml:space="preserve">PREÇO DE VENDA TOTAL GERAL </t>
        </is>
      </c>
      <c r="B220" s="76" t="n"/>
      <c r="C220" s="77" t="n"/>
      <c r="D220" s="127">
        <f>D214*D219</f>
        <v/>
      </c>
      <c r="E220" s="859">
        <f>E214*E219</f>
        <v/>
      </c>
      <c r="F220" s="859">
        <f>F214*F219</f>
        <v/>
      </c>
      <c r="G220" s="859">
        <f>G214*G219</f>
        <v/>
      </c>
      <c r="H220" s="859">
        <f>H214*H219</f>
        <v/>
      </c>
      <c r="I220" s="132">
        <f>I219+D216+D217+D218</f>
        <v/>
      </c>
      <c r="J220" s="132" t="n"/>
      <c r="K220" s="132" t="n"/>
      <c r="N220" s="16" t="n"/>
      <c r="O220" s="16" t="n"/>
      <c r="P220" s="16" t="n"/>
    </row>
    <row r="221" ht="13.5" customHeight="1" thickBot="1">
      <c r="A221" s="300" t="inlineStr">
        <is>
          <t>DIFERENÇA CUSTOS/P.V</t>
        </is>
      </c>
      <c r="B221" s="860">
        <f>C215-H205</f>
        <v/>
      </c>
      <c r="C221" s="190" t="n"/>
      <c r="D221" s="191" t="n"/>
      <c r="E221" s="191" t="n"/>
      <c r="F221" s="191" t="n"/>
      <c r="G221" s="191" t="n"/>
      <c r="H221" s="191" t="n"/>
      <c r="I221" s="132" t="n"/>
      <c r="J221" s="132" t="n"/>
      <c r="K221" s="132" t="n"/>
      <c r="N221" s="200" t="n"/>
      <c r="O221" s="200" t="n"/>
      <c r="P221" s="200" t="n"/>
    </row>
    <row r="222" ht="13.5" customHeight="1">
      <c r="A222" s="147" t="inlineStr">
        <is>
          <t>Último preço de venda</t>
        </is>
      </c>
      <c r="B222" s="148" t="n"/>
      <c r="C222" s="190" t="n"/>
      <c r="D222" s="191" t="n"/>
      <c r="E222" s="191" t="n"/>
      <c r="F222" s="191" t="n"/>
      <c r="G222" s="191" t="n"/>
      <c r="H222" s="191" t="n"/>
      <c r="N222" s="406" t="n"/>
      <c r="O222" s="200" t="n"/>
      <c r="P222" s="200" t="n"/>
    </row>
    <row r="223" ht="13.5" customHeight="1" thickBot="1">
      <c r="A223" s="83" t="inlineStr">
        <is>
          <t>Data últ. Venda    Quantidade</t>
        </is>
      </c>
      <c r="B223" s="861" t="n"/>
      <c r="C223" s="192" t="n"/>
      <c r="D223" s="193" t="n"/>
      <c r="E223" s="193" t="n"/>
      <c r="F223" s="193" t="n"/>
      <c r="G223" s="193" t="n"/>
      <c r="H223" s="193" t="n"/>
      <c r="N223" s="407" t="n"/>
      <c r="O223" s="407" t="n"/>
      <c r="P223" s="408" t="n"/>
    </row>
    <row r="224">
      <c r="A224" s="28" t="n"/>
      <c r="B224" s="82" t="inlineStr">
        <is>
          <t>Quantidade</t>
        </is>
      </c>
      <c r="C224" s="53" t="n"/>
      <c r="D224" s="54" t="n"/>
      <c r="E224" s="55" t="n"/>
      <c r="F224" s="862" t="inlineStr">
        <is>
          <t>Prezzo</t>
        </is>
      </c>
      <c r="G224" s="33" t="n"/>
      <c r="H224" s="863" t="n"/>
      <c r="N224" s="852" t="n"/>
      <c r="O224" s="852" t="n"/>
      <c r="P224" s="852" t="n"/>
    </row>
    <row r="225">
      <c r="A225" s="37" t="inlineStr">
        <is>
          <t>FERRAMENTAS/ACESSÓRIOS</t>
        </is>
      </c>
      <c r="B225" s="47" t="n"/>
      <c r="C225" s="29" t="n"/>
      <c r="D225" s="32" t="n"/>
      <c r="E225" s="35" t="n"/>
      <c r="F225" s="864" t="inlineStr">
        <is>
          <t>Unitario</t>
        </is>
      </c>
      <c r="G225" s="35" t="n"/>
      <c r="H225" s="865" t="inlineStr">
        <is>
          <t>Valor</t>
        </is>
      </c>
      <c r="N225" s="866" t="n"/>
      <c r="O225" s="866" t="n"/>
      <c r="P225" s="866" t="n"/>
    </row>
    <row r="226">
      <c r="A226" s="153" t="inlineStr">
        <is>
          <t>RATEIO DE FACA</t>
        </is>
      </c>
      <c r="B226" s="564">
        <f>IF(COUNTA(J149:J161)="","",COUNTIFS(M149:M161,"&gt;0",O149:O161,"no"))</f>
        <v/>
      </c>
      <c r="C226" s="525" t="n"/>
      <c r="D226" s="565" t="n"/>
      <c r="E226" s="524" t="n"/>
      <c r="F226" s="543">
        <f>IFERROR(MAXA(IF(AVERAGEIFS(M149:M161,M149:M161,"&gt;0",J149:J161,"&lt;&gt;",O149:O161,"NO")*1.35&lt;1000,CEILING(AVERAGEIFS(M149:M161,M149:M161,"&gt;0",J149:J161,"&lt;&gt;",O149:O161,"NO")*1.35,50),CEILING(AVERAGEIFS(M149:M161,M149:M161,"&gt;0",J149:J161,"&lt;&gt;",O149:O161,"NO")*1.35,100)),50),0)</f>
        <v/>
      </c>
      <c r="G226" s="524" t="n"/>
      <c r="H226" s="867">
        <f>IF(B226="","",IF(ISTEXT(B226),"",+B226*F226))</f>
        <v/>
      </c>
      <c r="N226" s="200" t="n"/>
    </row>
    <row r="227" ht="12.75" customHeight="1">
      <c r="A227" s="38" t="inlineStr">
        <is>
          <t>CHAPA DE IMPRESSÃO (se previsto)</t>
        </is>
      </c>
      <c r="B227" s="48" t="inlineStr">
        <is>
          <t>AL COSTO DOPO VISIONE GRAFICA</t>
        </is>
      </c>
      <c r="C227" s="39" t="n"/>
      <c r="D227" s="40" t="n"/>
      <c r="E227" s="38" t="n"/>
      <c r="F227" s="543" t="n"/>
      <c r="G227" s="524" t="n"/>
      <c r="H227" s="867">
        <f>IF(ISTEXT(B227),"",+B227*F227)</f>
        <v/>
      </c>
    </row>
    <row r="228" ht="12.75" customHeight="1">
      <c r="A228" s="153" t="inlineStr">
        <is>
          <t>CLICHÈ</t>
        </is>
      </c>
      <c r="B228" s="567" t="n"/>
      <c r="C228" s="525" t="n"/>
      <c r="D228" s="565" t="n"/>
      <c r="E228" s="524" t="n"/>
      <c r="F228" s="543" t="n"/>
      <c r="G228" s="524" t="n"/>
      <c r="H228" s="867">
        <f>IF(ISTEXT(B228),"",+B228*F228)</f>
        <v/>
      </c>
    </row>
    <row r="229" ht="12.75" customHeight="1">
      <c r="A229" s="153">
        <f>CONCATENATE("TRASPORTO ",IF(dest1="","EX-WORKS",CONCATENATE("F.CO ",dest1)))</f>
        <v/>
      </c>
      <c r="B229" s="567" t="n">
        <v>4400</v>
      </c>
      <c r="C229" s="525" t="n"/>
      <c r="D229" s="565" t="n"/>
      <c r="E229" s="524" t="n"/>
      <c r="F229" s="543" t="n"/>
      <c r="G229" s="524" t="n"/>
      <c r="H229" s="867" t="n">
        <v>17500</v>
      </c>
    </row>
    <row r="230" ht="12.75" customHeight="1">
      <c r="A230" s="153">
        <f>CONCATENATE("TRASPORTO ",IF(dest1="","EX-WORKS",CONCATENATE("F.CO ",dest1)))</f>
        <v/>
      </c>
      <c r="B230" s="567" t="n">
        <v>4000</v>
      </c>
      <c r="C230" s="525" t="n"/>
      <c r="D230" s="565" t="n"/>
      <c r="E230" s="524" t="n"/>
      <c r="F230" s="543" t="n"/>
      <c r="G230" s="524" t="n"/>
      <c r="H230" s="867" t="n">
        <v>16000</v>
      </c>
    </row>
    <row r="231">
      <c r="A231" s="868" t="inlineStr">
        <is>
          <t>Validità preventivo: 7 gg. DISPONIBILITÀ MATERIALE DA CONFERMARE AL MOMENTO DELL'ORDINE</t>
        </is>
      </c>
      <c r="B231" s="835" t="n"/>
      <c r="C231" s="835" t="n"/>
      <c r="D231" s="835" t="n"/>
      <c r="E231" s="835" t="n"/>
      <c r="F231" s="835" t="n"/>
      <c r="G231" s="835" t="n"/>
      <c r="H231" s="802" t="n"/>
    </row>
    <row r="232" ht="13.5" customHeight="1" thickBot="1">
      <c r="A232" s="1" t="n"/>
      <c r="H232" s="869">
        <f>SUM(H226:H231)</f>
        <v/>
      </c>
    </row>
    <row r="233">
      <c r="A233" s="6" t="inlineStr">
        <is>
          <t>Condições de fornecimento:</t>
        </is>
      </c>
      <c r="C233" s="6" t="inlineStr">
        <is>
          <t>Total do pedido</t>
        </is>
      </c>
      <c r="E233" s="870">
        <f>E220+$H$232</f>
        <v/>
      </c>
      <c r="F233" s="870">
        <f>F220+$H$232</f>
        <v/>
      </c>
      <c r="G233" s="870">
        <f>G220+$H$232</f>
        <v/>
      </c>
      <c r="H233" s="870">
        <f>H220+$H$232</f>
        <v/>
      </c>
    </row>
    <row r="234">
      <c r="A234" s="38" t="inlineStr">
        <is>
          <t>Prazo de entrega</t>
        </is>
      </c>
      <c r="B234" s="62" t="inlineStr">
        <is>
          <t>VARIÁVEL CONFORME DATA DE CONFIRMAÇÃO DO PEDIDO</t>
        </is>
      </c>
      <c r="C234" s="62" t="n"/>
      <c r="D234" s="62" t="n"/>
      <c r="E234" s="62" t="n"/>
      <c r="F234" s="871" t="n"/>
      <c r="G234" s="62" t="n"/>
      <c r="H234" s="40" t="n"/>
    </row>
    <row r="235">
      <c r="A235" s="38" t="inlineStr">
        <is>
          <t>Local de entrega</t>
        </is>
      </c>
      <c r="B235" s="186">
        <f>IF(AND(dest1="",B216=0,B229=0),"EX-WORKS",_xlfn.CONCAT(dest1,IF(dest2="",""," - "),dest2,IF(dest3="",""," - "),dest3))</f>
        <v/>
      </c>
      <c r="C235" s="62" t="n"/>
      <c r="D235" s="62" t="n"/>
      <c r="E235" s="62" t="n"/>
      <c r="F235" s="871" t="n"/>
      <c r="G235" s="62" t="n"/>
      <c r="H235" s="40" t="n"/>
    </row>
    <row r="236">
      <c r="A236" s="38" t="inlineStr">
        <is>
          <t>Transporte</t>
        </is>
      </c>
      <c r="B236" s="62">
        <f>+IF(+B200+C216=0,"NON INCLUSO NEL PREZZO","INCLUSO NEL PREZZO")</f>
        <v/>
      </c>
      <c r="C236" s="62" t="n"/>
      <c r="D236" s="62" t="n"/>
      <c r="E236" s="62" t="n"/>
      <c r="F236" s="871" t="n"/>
      <c r="G236" s="62" t="n"/>
      <c r="H236" s="40" t="n"/>
    </row>
    <row r="237">
      <c r="A237" s="38" t="inlineStr">
        <is>
          <t>Pagamento</t>
        </is>
      </c>
      <c r="B237" s="62" t="inlineStr">
        <is>
          <t>HABITUAL</t>
        </is>
      </c>
    </row>
    <row r="238" ht="18" customHeight="1">
      <c r="A238" s="38" t="inlineStr">
        <is>
          <t>Orçamento realizado por</t>
        </is>
      </c>
      <c r="B238" s="872" t="inlineStr">
        <is>
          <t>Assinatura Responsável Comercial</t>
        </is>
      </c>
      <c r="C238" s="835" t="n"/>
      <c r="D238" s="835" t="n"/>
      <c r="E238" s="835" t="n"/>
      <c r="F238" s="802" t="n"/>
      <c r="G238" s="872" t="inlineStr">
        <is>
          <t>Data</t>
        </is>
      </c>
      <c r="H238" s="802" t="n"/>
    </row>
    <row r="239" ht="25.5" customHeight="1">
      <c r="A239" s="451">
        <f>'Parametri Macro'!L1</f>
        <v/>
      </c>
      <c r="B239" s="873" t="inlineStr">
        <is>
          <t>Diego</t>
        </is>
      </c>
      <c r="C239" s="835" t="n"/>
      <c r="D239" s="835" t="n"/>
      <c r="E239" s="835" t="n"/>
      <c r="F239" s="802" t="n"/>
      <c r="G239" s="874">
        <f>IF(A239=0,"",'Parametri Macro'!L2)</f>
        <v/>
      </c>
      <c r="H239" s="802" t="n"/>
    </row>
  </sheetData>
  <mergeCells count="83">
    <mergeCell ref="C202:E202"/>
    <mergeCell ref="L66:M66"/>
    <mergeCell ref="S24:T25"/>
    <mergeCell ref="L75:M75"/>
    <mergeCell ref="B238:F238"/>
    <mergeCell ref="J68:K68"/>
    <mergeCell ref="L68:M68"/>
    <mergeCell ref="A178:D178"/>
    <mergeCell ref="P64:Q65"/>
    <mergeCell ref="B64:B65"/>
    <mergeCell ref="F64:F65"/>
    <mergeCell ref="N24:N25"/>
    <mergeCell ref="H24:H25"/>
    <mergeCell ref="L72:M72"/>
    <mergeCell ref="B6:F6"/>
    <mergeCell ref="L24:M25"/>
    <mergeCell ref="J71:K71"/>
    <mergeCell ref="J73:K73"/>
    <mergeCell ref="E64:E65"/>
    <mergeCell ref="B17:B18"/>
    <mergeCell ref="J77:K77"/>
    <mergeCell ref="A167:D167"/>
    <mergeCell ref="H17:H18"/>
    <mergeCell ref="G64:G65"/>
    <mergeCell ref="F109:F110"/>
    <mergeCell ref="H109:H110"/>
    <mergeCell ref="C24:D25"/>
    <mergeCell ref="C64:D65"/>
    <mergeCell ref="J75:K75"/>
    <mergeCell ref="L69:M69"/>
    <mergeCell ref="B239:F239"/>
    <mergeCell ref="H4:H5"/>
    <mergeCell ref="F24:F25"/>
    <mergeCell ref="L70:M70"/>
    <mergeCell ref="G238:H238"/>
    <mergeCell ref="L64:M65"/>
    <mergeCell ref="A205:B205"/>
    <mergeCell ref="J24:J25"/>
    <mergeCell ref="F17:F18"/>
    <mergeCell ref="A11:H15"/>
    <mergeCell ref="N58:O58"/>
    <mergeCell ref="G24:G25"/>
    <mergeCell ref="J74:K74"/>
    <mergeCell ref="I24:I25"/>
    <mergeCell ref="L74:M74"/>
    <mergeCell ref="L58:M58"/>
    <mergeCell ref="A4:A5"/>
    <mergeCell ref="L76:M76"/>
    <mergeCell ref="J66:K66"/>
    <mergeCell ref="A231:H231"/>
    <mergeCell ref="L77:M77"/>
    <mergeCell ref="B109:B110"/>
    <mergeCell ref="A24:A25"/>
    <mergeCell ref="J4:K5"/>
    <mergeCell ref="J67:K67"/>
    <mergeCell ref="L67:M67"/>
    <mergeCell ref="J72:K72"/>
    <mergeCell ref="O24:O25"/>
    <mergeCell ref="H64:H65"/>
    <mergeCell ref="C201:E201"/>
    <mergeCell ref="J69:K69"/>
    <mergeCell ref="J6:K6"/>
    <mergeCell ref="N64:N65"/>
    <mergeCell ref="L71:M71"/>
    <mergeCell ref="P24:Q25"/>
    <mergeCell ref="B24:B25"/>
    <mergeCell ref="B4:F5"/>
    <mergeCell ref="J70:K70"/>
    <mergeCell ref="G239:H239"/>
    <mergeCell ref="C1:G3"/>
    <mergeCell ref="J64:K65"/>
    <mergeCell ref="L73:M73"/>
    <mergeCell ref="G4:G5"/>
    <mergeCell ref="I4:I5"/>
    <mergeCell ref="A109:A110"/>
    <mergeCell ref="E109:E110"/>
    <mergeCell ref="G109:G110"/>
    <mergeCell ref="A64:A65"/>
    <mergeCell ref="J76:K76"/>
    <mergeCell ref="K24:K25"/>
    <mergeCell ref="C200:E200"/>
    <mergeCell ref="E24:E25"/>
    <mergeCell ref="C109:D110"/>
  </mergeCells>
  <conditionalFormatting sqref="A210">
    <cfRule type="expression" priority="60" dxfId="247">
      <formula>+$A$211="CONVIENE DIGITALE"</formula>
    </cfRule>
  </conditionalFormatting>
  <conditionalFormatting sqref="B38:B49 K57:K59">
    <cfRule type="cellIs" priority="53" operator="equal" dxfId="179">
      <formula>0</formula>
    </cfRule>
  </conditionalFormatting>
  <conditionalFormatting sqref="B206:B208">
    <cfRule type="dataBar" priority="59">
      <dataBar>
        <cfvo type="min"/>
        <cfvo type="num" val="1"/>
        <color rgb="FF638EC6"/>
      </dataBar>
    </cfRule>
  </conditionalFormatting>
  <conditionalFormatting sqref="E38:E49">
    <cfRule type="expression" priority="62" dxfId="189">
      <formula>AND(+B38&gt;0,E38=0)</formula>
    </cfRule>
    <cfRule type="expression" priority="63" dxfId="189">
      <formula>"SE(E(+B30&gt;0;F30=0))"</formula>
    </cfRule>
  </conditionalFormatting>
  <conditionalFormatting sqref="E66:E77">
    <cfRule type="cellIs" priority="54" operator="equal" dxfId="179">
      <formula>0</formula>
    </cfRule>
  </conditionalFormatting>
  <conditionalFormatting sqref="F26:F37">
    <cfRule type="containsErrors" priority="88" dxfId="184">
      <formula>ISERROR(F26)</formula>
    </cfRule>
  </conditionalFormatting>
  <conditionalFormatting sqref="F38:F49">
    <cfRule type="expression" priority="71" dxfId="241">
      <formula>+F38=0</formula>
    </cfRule>
  </conditionalFormatting>
  <conditionalFormatting sqref="F62">
    <cfRule type="containsErrors" priority="50" dxfId="184">
      <formula>ISERROR(F62)</formula>
    </cfRule>
  </conditionalFormatting>
  <conditionalFormatting sqref="F112:F147">
    <cfRule type="cellIs" priority="37" operator="notEqual" dxfId="239" stopIfTrue="1">
      <formula>0</formula>
    </cfRule>
    <cfRule type="expression" priority="38" dxfId="189">
      <formula>B112&lt;&gt;0</formula>
    </cfRule>
  </conditionalFormatting>
  <conditionalFormatting sqref="F163:F164 F200:F202">
    <cfRule type="expression" priority="69" dxfId="179">
      <formula>+B163=0</formula>
    </cfRule>
  </conditionalFormatting>
  <conditionalFormatting sqref="F189:F190">
    <cfRule type="cellIs" priority="42" operator="greaterThan" stopIfTrue="1">
      <formula>0</formula>
    </cfRule>
    <cfRule type="expression" priority="43" dxfId="189">
      <formula>B189&gt;0</formula>
    </cfRule>
  </conditionalFormatting>
  <conditionalFormatting sqref="F226">
    <cfRule type="cellIs" priority="45" operator="equal" dxfId="179">
      <formula>0</formula>
    </cfRule>
  </conditionalFormatting>
  <conditionalFormatting sqref="F229:F230">
    <cfRule type="expression" priority="56" dxfId="179">
      <formula>+$B$229=0</formula>
    </cfRule>
  </conditionalFormatting>
  <conditionalFormatting sqref="G26:G37">
    <cfRule type="cellIs" priority="97" operator="lessThan" dxfId="181" stopIfTrue="1">
      <formula>250</formula>
    </cfRule>
  </conditionalFormatting>
  <conditionalFormatting sqref="G38:G49">
    <cfRule type="cellIs" priority="98" operator="lessThan" dxfId="181" stopIfTrue="1">
      <formula>500</formula>
    </cfRule>
  </conditionalFormatting>
  <conditionalFormatting sqref="G62">
    <cfRule type="cellIs" priority="87" operator="lessThan" dxfId="181" stopIfTrue="1">
      <formula>250</formula>
    </cfRule>
  </conditionalFormatting>
  <conditionalFormatting sqref="G66:G77">
    <cfRule type="expression" priority="80" dxfId="179">
      <formula>+B66=""</formula>
    </cfRule>
  </conditionalFormatting>
  <conditionalFormatting sqref="G112:G135">
    <cfRule type="cellIs" priority="105" operator="lessThan" dxfId="181" stopIfTrue="1">
      <formula>40</formula>
    </cfRule>
    <cfRule type="cellIs" priority="106" operator="lessThan" dxfId="181" stopIfTrue="1">
      <formula>41</formula>
    </cfRule>
    <cfRule type="cellIs" priority="107" operator="lessThan" dxfId="181" stopIfTrue="1">
      <formula>40</formula>
    </cfRule>
    <cfRule type="expression" priority="108" dxfId="226" stopIfTrue="1">
      <formula>"SE(B72*C72/1000*D72/1000*F72&gt;40; B72*C72/1000*D72/1000*F72; 40)"</formula>
    </cfRule>
  </conditionalFormatting>
  <conditionalFormatting sqref="G137:G146">
    <cfRule type="expression" priority="79" dxfId="179">
      <formula>+B137=""</formula>
    </cfRule>
  </conditionalFormatting>
  <conditionalFormatting sqref="G137:G147 G166:G188">
    <cfRule type="cellIs" priority="93" operator="lessThan" dxfId="181" stopIfTrue="1">
      <formula>101</formula>
    </cfRule>
  </conditionalFormatting>
  <conditionalFormatting sqref="G149:G162">
    <cfRule type="expression" priority="78" dxfId="179">
      <formula>+B149=""</formula>
    </cfRule>
    <cfRule type="cellIs" priority="94" operator="lessThan" dxfId="181" stopIfTrue="1">
      <formula>101</formula>
    </cfRule>
  </conditionalFormatting>
  <conditionalFormatting sqref="G164">
    <cfRule type="expression" priority="77" dxfId="179">
      <formula>+B164=""</formula>
    </cfRule>
    <cfRule type="cellIs" priority="85" operator="lessThan" dxfId="181" stopIfTrue="1">
      <formula>101</formula>
    </cfRule>
  </conditionalFormatting>
  <conditionalFormatting sqref="G166:G169">
    <cfRule type="expression" priority="76" dxfId="179">
      <formula>+B164=""</formula>
    </cfRule>
  </conditionalFormatting>
  <conditionalFormatting sqref="G170">
    <cfRule type="expression" priority="118" dxfId="179">
      <formula>+B165=""</formula>
    </cfRule>
  </conditionalFormatting>
  <conditionalFormatting sqref="G171:G173">
    <cfRule type="expression" priority="119" dxfId="179">
      <formula>+B165=""</formula>
    </cfRule>
  </conditionalFormatting>
  <conditionalFormatting sqref="G174">
    <cfRule type="expression" priority="114" dxfId="179">
      <formula>+B165=""</formula>
    </cfRule>
  </conditionalFormatting>
  <conditionalFormatting sqref="G175">
    <cfRule type="expression" priority="112" dxfId="179">
      <formula>+B165=""</formula>
    </cfRule>
  </conditionalFormatting>
  <conditionalFormatting sqref="G176">
    <cfRule type="expression" priority="110" dxfId="179">
      <formula>+B165=""</formula>
    </cfRule>
  </conditionalFormatting>
  <conditionalFormatting sqref="G190">
    <cfRule type="expression" priority="75" dxfId="179">
      <formula>+B190=""</formula>
    </cfRule>
    <cfRule type="cellIs" priority="83" operator="lessThan" dxfId="181" stopIfTrue="1">
      <formula>101</formula>
    </cfRule>
  </conditionalFormatting>
  <conditionalFormatting sqref="G193">
    <cfRule type="expression" priority="74" dxfId="179">
      <formula>+B193=""</formula>
    </cfRule>
    <cfRule type="cellIs" priority="81" operator="lessThan" dxfId="181" stopIfTrue="1">
      <formula>101</formula>
    </cfRule>
  </conditionalFormatting>
  <conditionalFormatting sqref="G201:G202">
    <cfRule type="cellIs" priority="82" operator="lessThan" dxfId="181" stopIfTrue="1">
      <formula>101</formula>
    </cfRule>
  </conditionalFormatting>
  <conditionalFormatting sqref="J149:J161">
    <cfRule type="expression" priority="46" dxfId="205" stopIfTrue="1">
      <formula>J149&gt;0</formula>
    </cfRule>
    <cfRule type="expression" priority="47" dxfId="205" stopIfTrue="1">
      <formula>O149="SI"</formula>
    </cfRule>
    <cfRule type="expression" priority="49" dxfId="204">
      <formula>B149&gt;0</formula>
    </cfRule>
  </conditionalFormatting>
  <conditionalFormatting sqref="J190">
    <cfRule type="cellIs" priority="44" operator="greaterThan" dxfId="205" stopIfTrue="1">
      <formula>0</formula>
    </cfRule>
    <cfRule type="expression" priority="48" dxfId="204">
      <formula>B190&gt;0</formula>
    </cfRule>
  </conditionalFormatting>
  <conditionalFormatting sqref="J38:L38 J39:M49">
    <cfRule type="cellIs" priority="68" operator="equal" dxfId="179">
      <formula>0</formula>
    </cfRule>
  </conditionalFormatting>
  <conditionalFormatting sqref="K51:K55">
    <cfRule type="cellIs" priority="61" operator="equal" dxfId="179">
      <formula>0</formula>
    </cfRule>
  </conditionalFormatting>
  <conditionalFormatting sqref="N26:N49">
    <cfRule type="cellIs" priority="91" operator="lessThan" dxfId="181" stopIfTrue="1">
      <formula>250</formula>
    </cfRule>
  </conditionalFormatting>
  <conditionalFormatting sqref="N62">
    <cfRule type="cellIs" priority="89" operator="lessThan" dxfId="181" stopIfTrue="1">
      <formula>250</formula>
    </cfRule>
  </conditionalFormatting>
  <conditionalFormatting sqref="L26:M37">
    <cfRule type="cellIs" priority="21" operator="greaterThan" stopIfTrue="1">
      <formula>0</formula>
    </cfRule>
    <cfRule type="expression" priority="22" dxfId="189">
      <formula>$J26&gt;0</formula>
    </cfRule>
  </conditionalFormatting>
  <conditionalFormatting sqref="P26:Q37">
    <cfRule type="cellIs" priority="19" operator="greaterThan" stopIfTrue="1">
      <formula>0</formula>
    </cfRule>
    <cfRule type="expression" priority="20" dxfId="189">
      <formula>$L26&gt;0</formula>
    </cfRule>
  </conditionalFormatting>
  <conditionalFormatting sqref="L38:M49">
    <cfRule type="cellIs" priority="13" operator="greaterThan" stopIfTrue="1">
      <formula>0</formula>
    </cfRule>
    <cfRule type="cellIs" priority="14" operator="equal" dxfId="179">
      <formula>0</formula>
    </cfRule>
    <cfRule type="expression" priority="15" dxfId="189">
      <formula>$J38&gt;0</formula>
    </cfRule>
  </conditionalFormatting>
  <conditionalFormatting sqref="P38:Q49">
    <cfRule type="cellIs" priority="10" operator="equal" dxfId="179">
      <formula>0</formula>
    </cfRule>
    <cfRule type="cellIs" priority="11" operator="greaterThan" stopIfTrue="1">
      <formula>0</formula>
    </cfRule>
    <cfRule type="expression" priority="12" dxfId="189">
      <formula>$L38&gt;0</formula>
    </cfRule>
  </conditionalFormatting>
  <conditionalFormatting sqref="P67:Q77">
    <cfRule type="cellIs" priority="7" operator="equal" dxfId="179">
      <formula>0</formula>
    </cfRule>
    <cfRule type="cellIs" priority="8" operator="greaterThan" stopIfTrue="1">
      <formula>0</formula>
    </cfRule>
    <cfRule type="expression" priority="9" dxfId="189">
      <formula>$L67&gt;0</formula>
    </cfRule>
  </conditionalFormatting>
  <conditionalFormatting sqref="S26:T49">
    <cfRule type="cellIs" priority="5" operator="greaterThan" stopIfTrue="1">
      <formula>0</formula>
    </cfRule>
    <cfRule type="expression" priority="6" dxfId="189">
      <formula>$L26&gt;0</formula>
    </cfRule>
  </conditionalFormatting>
  <conditionalFormatting sqref="S62:T62">
    <cfRule type="cellIs" priority="3" operator="greaterThan" stopIfTrue="1">
      <formula>0</formula>
    </cfRule>
    <cfRule type="expression" priority="4" dxfId="189">
      <formula>$L62&gt;0</formula>
    </cfRule>
  </conditionalFormatting>
  <conditionalFormatting sqref="P62:Q62">
    <cfRule type="cellIs" priority="1" operator="greaterThan" stopIfTrue="1">
      <formula>0</formula>
    </cfRule>
    <cfRule type="expression" priority="2" dxfId="189">
      <formula>$L62&gt;0</formula>
    </cfRule>
  </conditionalFormatting>
  <dataValidations count="6">
    <dataValidation sqref="A136" showDropDown="0" showInputMessage="1" showErrorMessage="1" allowBlank="1" type="list">
      <formula1>"Flexo HD AVV. ,Flexo AVV.,"</formula1>
    </dataValidation>
    <dataValidation sqref="A137:A146" showDropDown="0" showInputMessage="1" showErrorMessage="1" allowBlank="1" type="list">
      <formula1>"Flexo HD PASS., Flexo PASS.,"</formula1>
    </dataValidation>
    <dataValidation sqref="A165" showDropDown="0" showInputMessage="1" showErrorMessage="1" allowBlank="1" type="list">
      <formula1>"Incollaggio lamina AVV.TO, Incollaggio plotter AVV.TO, Incollaggio piega incolla AVV.TO, Incollaggio lamina/plotter AVV.TO"</formula1>
    </dataValidation>
    <dataValidation sqref="A166" showDropDown="0" showInputMessage="1" showErrorMessage="1" allowBlank="1" type="list">
      <formula1>"Incollaggio lamina PASS., Incollaggio plotter PASS, Incollaggio piega incolla PASS, Incollaggio lamina/plotter PASS"</formula1>
    </dataValidation>
    <dataValidation sqref="A216" showDropDown="0" showInputMessage="1" showErrorMessage="1" allowBlank="1" type="list">
      <formula1>"trasporto f.co destino a %, trasporto f.co destino a costo"</formula1>
    </dataValidation>
    <dataValidation sqref="O149:O161" showDropDown="0" showInputMessage="1" showErrorMessage="1" allowBlank="1" type="list">
      <formula1>"NO,SI"</formula1>
    </dataValidation>
  </dataValidations>
  <pageMargins left="0" right="0" top="0.1968503937007874" bottom="0" header="0.1181102362204725" footer="0"/>
  <pageSetup orientation="portrait" paperSize="9" scale="85" fitToHeight="0"/>
  <headerFooter alignWithMargins="0">
    <oddHeader/>
    <oddFooter>&amp;LMacp-mp rev.0&amp;CPagina &amp;P di &amp;N</oddFooter>
    <evenHeader/>
    <evenFooter/>
    <firstHeader/>
    <firstFooter/>
  </headerFooter>
  <rowBreaks count="1" manualBreakCount="1">
    <brk id="100" min="0" max="16383" man="1"/>
  </rowBreaks>
  <drawing xmlns:r="http://schemas.openxmlformats.org/officeDocument/2006/relationships" r:id="rId1"/>
  <legacyDrawing xmlns:r="http://schemas.openxmlformats.org/officeDocument/2006/relationships" r:id="anysvml"/>
  <tableParts count="1">
    <tablePart xmlns:r="http://schemas.openxmlformats.org/officeDocument/2006/relationships" r:id="rId2"/>
  </tableParts>
</worksheet>
</file>

<file path=xl/worksheets/sheet3.xml><?xml version="1.0" encoding="utf-8"?>
<worksheet xmlns="http://schemas.openxmlformats.org/spreadsheetml/2006/main">
  <sheetPr codeName="Sheet2">
    <tabColor rgb="FF7030A0"/>
    <outlinePr summaryBelow="1" summaryRight="1"/>
    <pageSetUpPr/>
  </sheetPr>
  <dimension ref="A1:I103"/>
  <sheetViews>
    <sheetView showGridLines="0" workbookViewId="0">
      <selection activeCell="A1" sqref="A1:I1"/>
    </sheetView>
  </sheetViews>
  <sheetFormatPr baseColWidth="8" defaultRowHeight="12.75"/>
  <cols>
    <col width="36.5703125" bestFit="1" customWidth="1" min="1" max="1"/>
    <col width="10" bestFit="1" customWidth="1" min="2" max="4"/>
    <col width="10" bestFit="1" customWidth="1" min="7" max="7"/>
    <col width="10.140625" bestFit="1" customWidth="1" min="8" max="8"/>
    <col width="10.85546875" bestFit="1" customWidth="1" min="9" max="9"/>
  </cols>
  <sheetData>
    <row r="1">
      <c r="A1" s="682" t="inlineStr">
        <is>
          <t>DIGITALE</t>
        </is>
      </c>
      <c r="B1" s="776" t="n"/>
      <c r="C1" s="776" t="n"/>
      <c r="D1" s="776" t="n"/>
      <c r="E1" s="776" t="n"/>
      <c r="F1" s="776" t="n"/>
      <c r="G1" s="776" t="n"/>
      <c r="H1" s="776" t="n"/>
      <c r="I1" s="776" t="n"/>
    </row>
    <row r="2">
      <c r="A2" s="223" t="n"/>
      <c r="B2" s="224" t="n"/>
      <c r="C2" s="225" t="n"/>
      <c r="D2" s="226" t="n"/>
      <c r="E2" s="223" t="n"/>
      <c r="F2" s="862" t="inlineStr">
        <is>
          <t>Prezzo</t>
        </is>
      </c>
      <c r="G2" s="875" t="n"/>
      <c r="H2" s="228" t="n"/>
      <c r="I2" s="614" t="inlineStr">
        <is>
          <t>DESCRIÇÃO</t>
        </is>
      </c>
    </row>
    <row r="3">
      <c r="A3" s="42" t="inlineStr">
        <is>
          <t>MATERIAIS</t>
        </is>
      </c>
      <c r="B3" s="42" t="inlineStr">
        <is>
          <t>Quantidade</t>
        </is>
      </c>
      <c r="C3" s="50" t="inlineStr">
        <is>
          <t xml:space="preserve">                Formato</t>
        </is>
      </c>
      <c r="D3" s="229" t="n"/>
      <c r="E3" s="51" t="inlineStr">
        <is>
          <t xml:space="preserve">Gr </t>
        </is>
      </c>
      <c r="F3" s="864" t="inlineStr">
        <is>
          <t>Unitario</t>
        </is>
      </c>
      <c r="G3" s="876" t="inlineStr">
        <is>
          <t>Peso - m²</t>
        </is>
      </c>
      <c r="H3" s="116" t="inlineStr">
        <is>
          <t>Valor</t>
        </is>
      </c>
      <c r="I3" s="788" t="n"/>
    </row>
    <row r="4">
      <c r="A4" s="153">
        <f>++IF(calcolo!A26&lt;&gt;"",VLOOKUP(calcolo!A26,Tabella118[[#All],[composizione concatenata]:[Composizione alternativa per digitale]],4,FALSE),"")</f>
        <v/>
      </c>
      <c r="B4" s="204">
        <f>+IF(A4="","",QTA/calcolo!J26*calcolo!K26+3)</f>
        <v/>
      </c>
      <c r="C4" s="195">
        <f>+calcolo!C26</f>
        <v/>
      </c>
      <c r="D4" s="195">
        <f>+calcolo!D26</f>
        <v/>
      </c>
      <c r="E4" s="230" t="n"/>
      <c r="F4" s="877">
        <f>+VLOOKUP(A4,'Listino Ondulato-Durevole'!E:F,2,FALSE)</f>
        <v/>
      </c>
      <c r="G4" s="878">
        <f>+IF(B4="", 0, ((C4/1000)*(D4/1000))*B4)</f>
        <v/>
      </c>
      <c r="H4" s="233">
        <f>IF(B4="", 0, B4*C4/1000*D4/1000*F4)</f>
        <v/>
      </c>
      <c r="I4" s="194">
        <f>+calcolo!I26</f>
        <v/>
      </c>
    </row>
    <row r="5">
      <c r="A5" s="153">
        <f>++IF(calcolo!A27&lt;&gt;"",VLOOKUP(calcolo!A27,Tabella118[[#All],[composizione concatenata]:[Composizione alternativa per digitale]],4,FALSE),"")</f>
        <v/>
      </c>
      <c r="B5" s="204">
        <f>+IF(A5="","",QTA/calcolo!J27*calcolo!K27+3)</f>
        <v/>
      </c>
      <c r="C5" s="195">
        <f>+calcolo!C27</f>
        <v/>
      </c>
      <c r="D5" s="195">
        <f>+calcolo!D27</f>
        <v/>
      </c>
      <c r="E5" s="230" t="n"/>
      <c r="F5" s="877">
        <f>+VLOOKUP(A5,'Listino Ondulato-Durevole'!E:F,2,FALSE)</f>
        <v/>
      </c>
      <c r="G5" s="878">
        <f>+IF(B5="", 0, ((C5/1000)*(D5/1000))*B5)</f>
        <v/>
      </c>
      <c r="H5" s="233">
        <f>IF(B5="", 0, B5*C5/1000*D5/1000*F5)</f>
        <v/>
      </c>
      <c r="I5" s="194">
        <f>+calcolo!I27</f>
        <v/>
      </c>
    </row>
    <row r="6">
      <c r="A6" s="153">
        <f>++IF(calcolo!A28&lt;&gt;"",VLOOKUP(calcolo!A28,Tabella118[[#All],[composizione concatenata]:[Composizione alternativa per digitale]],4,FALSE),"")</f>
        <v/>
      </c>
      <c r="B6" s="204">
        <f>+IF(A6="","",QTA/calcolo!J28*calcolo!K28+3)</f>
        <v/>
      </c>
      <c r="C6" s="195">
        <f>+calcolo!C28</f>
        <v/>
      </c>
      <c r="D6" s="195">
        <f>+calcolo!D28</f>
        <v/>
      </c>
      <c r="E6" s="230" t="n"/>
      <c r="F6" s="877">
        <f>+VLOOKUP(A6,'Listino Ondulato-Durevole'!E:F,2,FALSE)</f>
        <v/>
      </c>
      <c r="G6" s="878">
        <f>+IF(B6="", 0, ((C6/1000)*(D6/1000))*B6)</f>
        <v/>
      </c>
      <c r="H6" s="233">
        <f>IF(B6="", 0, B6*C6/1000*D6/1000*F6)</f>
        <v/>
      </c>
      <c r="I6" s="194">
        <f>+calcolo!I28</f>
        <v/>
      </c>
    </row>
    <row r="7">
      <c r="A7" s="153">
        <f>++IF(calcolo!A29&lt;&gt;"",VLOOKUP(calcolo!A29,Tabella118[[#All],[composizione concatenata]:[Composizione alternativa per digitale]],4,FALSE),"")</f>
        <v/>
      </c>
      <c r="B7" s="204">
        <f>+IF(A7="","",QTA/calcolo!J29*calcolo!K29+3)</f>
        <v/>
      </c>
      <c r="C7" s="195">
        <f>+calcolo!C29</f>
        <v/>
      </c>
      <c r="D7" s="195">
        <f>+calcolo!D29</f>
        <v/>
      </c>
      <c r="E7" s="153" t="n"/>
      <c r="F7" s="877">
        <f>+VLOOKUP(A7,'Listino Ondulato-Durevole'!E:F,2,FALSE)</f>
        <v/>
      </c>
      <c r="G7" s="878">
        <f>+IF(B7="", 0, ((C7/1000)*(D7/1000))*B7)</f>
        <v/>
      </c>
      <c r="H7" s="233">
        <f>IF(B7="", 0, B7*C7/1000*D7/1000*F7)</f>
        <v/>
      </c>
      <c r="I7" s="194">
        <f>+calcolo!I29</f>
        <v/>
      </c>
    </row>
    <row r="8">
      <c r="A8" s="153">
        <f>++IF(calcolo!A30&lt;&gt;"",VLOOKUP(calcolo!A30,Tabella118[[#All],[composizione concatenata]:[Composizione alternativa per digitale]],4,FALSE),"")</f>
        <v/>
      </c>
      <c r="B8" s="204">
        <f>+IF(A8="","",QTA/calcolo!J30*calcolo!K30+3)</f>
        <v/>
      </c>
      <c r="C8" s="195">
        <f>+calcolo!C30</f>
        <v/>
      </c>
      <c r="D8" s="195">
        <f>+calcolo!D30</f>
        <v/>
      </c>
      <c r="E8" s="153" t="n"/>
      <c r="F8" s="877">
        <f>+VLOOKUP(A8,'Listino Ondulato-Durevole'!E:F,2,FALSE)</f>
        <v/>
      </c>
      <c r="G8" s="878">
        <f>+IF(B8="", 0, ((C8/1000)*(D8/1000))*B8)</f>
        <v/>
      </c>
      <c r="H8" s="233">
        <f>IF(B8="", 0, B8*C8/1000*D8/1000*F8)</f>
        <v/>
      </c>
      <c r="I8" s="194">
        <f>+calcolo!I30</f>
        <v/>
      </c>
    </row>
    <row r="9" ht="16.5" customHeight="1">
      <c r="A9" s="153">
        <f>++IF(calcolo!A31&lt;&gt;"",VLOOKUP(calcolo!A31,Tabella118[[#All],[composizione concatenata]:[Composizione alternativa per digitale]],4,FALSE),"")</f>
        <v/>
      </c>
      <c r="B9" s="204">
        <f>+IF(A9="","",QTA/calcolo!J31*calcolo!K31+3)</f>
        <v/>
      </c>
      <c r="C9" s="195">
        <f>+calcolo!C31</f>
        <v/>
      </c>
      <c r="D9" s="195">
        <f>+calcolo!D31</f>
        <v/>
      </c>
      <c r="E9" s="153" t="n"/>
      <c r="F9" s="877">
        <f>+VLOOKUP(A9,'Listino Ondulato-Durevole'!E:F,2,FALSE)</f>
        <v/>
      </c>
      <c r="G9" s="878">
        <f>+IF(B9="", 0, ((C9/1000)*(D9/1000))*B9)</f>
        <v/>
      </c>
      <c r="H9" s="233">
        <f>IF(B9="", 0, B9*C9/1000*D9/1000*F9)</f>
        <v/>
      </c>
      <c r="I9" s="194">
        <f>+calcolo!I31</f>
        <v/>
      </c>
    </row>
    <row r="10">
      <c r="A10" s="153">
        <f>++IF(calcolo!A32&lt;&gt;"",VLOOKUP(calcolo!A32,Tabella118[[#All],[composizione concatenata]:[Composizione alternativa per digitale]],4,FALSE),"")</f>
        <v/>
      </c>
      <c r="B10" s="204">
        <f>+IF(A10="","",QTA/calcolo!J32*calcolo!K32+3)</f>
        <v/>
      </c>
      <c r="C10" s="195">
        <f>+calcolo!C32</f>
        <v/>
      </c>
      <c r="D10" s="195">
        <f>+calcolo!D32</f>
        <v/>
      </c>
      <c r="E10" s="153" t="n"/>
      <c r="F10" s="877">
        <f>+VLOOKUP(A10,'Listino Ondulato-Durevole'!E:F,2,FALSE)</f>
        <v/>
      </c>
      <c r="G10" s="878">
        <f>+IF(B10="", 0, ((C10/1000)*(D10/1000))*B10)</f>
        <v/>
      </c>
      <c r="H10" s="233">
        <f>IF(B10="", 0, B10*C10/1000*D10/1000*F10)</f>
        <v/>
      </c>
      <c r="I10" s="194">
        <f>+calcolo!I32</f>
        <v/>
      </c>
    </row>
    <row r="11">
      <c r="A11" s="153">
        <f>++IF(calcolo!A33&lt;&gt;"",VLOOKUP(calcolo!A33,Tabella118[[#All],[composizione concatenata]:[Composizione alternativa per digitale]],4,FALSE),"")</f>
        <v/>
      </c>
      <c r="B11" s="204">
        <f>+IF(A11="","",QTA/calcolo!J33*calcolo!K33+3)</f>
        <v/>
      </c>
      <c r="C11" s="195">
        <f>+calcolo!C33</f>
        <v/>
      </c>
      <c r="D11" s="195">
        <f>+calcolo!D33</f>
        <v/>
      </c>
      <c r="E11" s="153" t="n"/>
      <c r="F11" s="877">
        <f>+VLOOKUP(A11,'Listino Ondulato-Durevole'!E:F,2,FALSE)</f>
        <v/>
      </c>
      <c r="G11" s="878">
        <f>+IF(B11="", 0, ((C11/1000)*(D11/1000))*B11)</f>
        <v/>
      </c>
      <c r="H11" s="233">
        <f>IF(B11="", 0, B11*C11/1000*D11/1000*F11)</f>
        <v/>
      </c>
      <c r="I11" s="194">
        <f>+calcolo!I33</f>
        <v/>
      </c>
    </row>
    <row r="12">
      <c r="A12" s="153">
        <f>++IF(calcolo!A34&lt;&gt;"",VLOOKUP(calcolo!A34,Tabella118[[#All],[composizione concatenata]:[Composizione alternativa per digitale]],4,FALSE),"")</f>
        <v/>
      </c>
      <c r="B12" s="204">
        <f>+IF(A12="","",QTA/calcolo!J34*calcolo!K34+3)</f>
        <v/>
      </c>
      <c r="C12" s="195">
        <f>+calcolo!C34</f>
        <v/>
      </c>
      <c r="D12" s="195">
        <f>+calcolo!D34</f>
        <v/>
      </c>
      <c r="E12" s="153" t="n"/>
      <c r="F12" s="877">
        <f>+VLOOKUP(A12,'Listino Ondulato-Durevole'!E:F,2,FALSE)</f>
        <v/>
      </c>
      <c r="G12" s="878">
        <f>+IF(B12="", 0, ((C12/1000)*(D12/1000))*B12)</f>
        <v/>
      </c>
      <c r="H12" s="233">
        <f>IF(B12="", 0, B12*C12/1000*D12/1000*F12)</f>
        <v/>
      </c>
      <c r="I12" s="194">
        <f>+calcolo!I34</f>
        <v/>
      </c>
    </row>
    <row r="13">
      <c r="A13" s="153">
        <f>++IF(calcolo!A35&lt;&gt;"",VLOOKUP(calcolo!A35,Tabella118[[#All],[composizione concatenata]:[Composizione alternativa per digitale]],4,FALSE),"")</f>
        <v/>
      </c>
      <c r="B13" s="204">
        <f>+IF(A13="","",QTA/calcolo!J35*calcolo!K35+3)</f>
        <v/>
      </c>
      <c r="C13" s="195">
        <f>+calcolo!C35</f>
        <v/>
      </c>
      <c r="D13" s="195">
        <f>+calcolo!D35</f>
        <v/>
      </c>
      <c r="E13" s="153" t="n"/>
      <c r="F13" s="877">
        <f>+VLOOKUP(A13,'Listino Ondulato-Durevole'!E:F,2,FALSE)</f>
        <v/>
      </c>
      <c r="G13" s="878">
        <f>+IF(B13="", 0, ((C13/1000)*(D13/1000))*B13)</f>
        <v/>
      </c>
      <c r="H13" s="233">
        <f>IF(B13="", 0, B13*C13/1000*D13/1000*F13)</f>
        <v/>
      </c>
      <c r="I13" s="194">
        <f>+calcolo!I35</f>
        <v/>
      </c>
    </row>
    <row r="14">
      <c r="A14" s="153">
        <f>++IF(calcolo!A36&lt;&gt;"",VLOOKUP(calcolo!A36,Tabella118[[#All],[composizione concatenata]:[Composizione alternativa per digitale]],4,FALSE),"")</f>
        <v/>
      </c>
      <c r="B14" s="204">
        <f>+IF(A14="","",QTA/calcolo!J36*calcolo!K36+3)</f>
        <v/>
      </c>
      <c r="C14" s="195">
        <f>+calcolo!C36</f>
        <v/>
      </c>
      <c r="D14" s="195">
        <f>+calcolo!D36</f>
        <v/>
      </c>
      <c r="E14" s="153" t="n"/>
      <c r="F14" s="877">
        <f>+VLOOKUP(A14,'Listino Ondulato-Durevole'!E:F,2,FALSE)</f>
        <v/>
      </c>
      <c r="G14" s="878">
        <f>+IF(B14="", 0, ((C14/1000)*(D14/1000))*B14)</f>
        <v/>
      </c>
      <c r="H14" s="233">
        <f>IF(B14="", 0, B14*C14/1000*D14/1000*F14)</f>
        <v/>
      </c>
      <c r="I14" s="194">
        <f>+calcolo!I36</f>
        <v/>
      </c>
    </row>
    <row r="15">
      <c r="A15" s="153">
        <f>++IF(calcolo!A37&lt;&gt;"",VLOOKUP(calcolo!A37,Tabella118[[#All],[composizione concatenata]:[Composizione alternativa per digitale]],4,FALSE),"")</f>
        <v/>
      </c>
      <c r="B15" s="204">
        <f>+IF(A15="","",QTA/calcolo!J37*calcolo!K37+3)</f>
        <v/>
      </c>
      <c r="C15" s="195">
        <f>+calcolo!C37</f>
        <v/>
      </c>
      <c r="D15" s="195">
        <f>+calcolo!D37</f>
        <v/>
      </c>
      <c r="E15" s="153" t="n"/>
      <c r="F15" s="877">
        <f>+VLOOKUP(A15,'Listino Ondulato-Durevole'!E:F,2,FALSE)</f>
        <v/>
      </c>
      <c r="G15" s="878">
        <f>+IF(B15="", 0, ((C15/1000)*(D15/1000))*B15)</f>
        <v/>
      </c>
      <c r="H15" s="233">
        <f>IF(B15="", 0, B15*C15/1000*D15/1000*F15)</f>
        <v/>
      </c>
      <c r="I15" s="194">
        <f>+calcolo!I37</f>
        <v/>
      </c>
    </row>
    <row r="16">
      <c r="A16" s="153">
        <f>IF(calcolo!A38="","",IF(calcolo!I38=calcolo!I26,calcolo!A38,""))</f>
        <v/>
      </c>
      <c r="B16" s="204">
        <f>+IF(A16="","",QTA/calcolo!J38*calcolo!K38+3)</f>
        <v/>
      </c>
      <c r="C16" s="195">
        <f>+IF(A16="","",calcolo!C38)</f>
        <v/>
      </c>
      <c r="D16" s="195">
        <f>+IF(A16="","",calcolo!D38)</f>
        <v/>
      </c>
      <c r="E16" s="153">
        <f>+IF(A16="","",calcolo!E38)</f>
        <v/>
      </c>
      <c r="F16" s="877">
        <f>+IF(A16="","",calcolo!F38)</f>
        <v/>
      </c>
      <c r="G16" s="879" t="n"/>
      <c r="H16" s="233">
        <f>+IF(A16="",0,B16*(C16/1000)*(D16/1000)*(E16/1000)*F16)</f>
        <v/>
      </c>
      <c r="I16" s="194">
        <f>+IF(calcolo!A38="","",IF(calcolo!I38=calcolo!I26,"",calcolo!I38))</f>
        <v/>
      </c>
    </row>
    <row r="17">
      <c r="A17" s="153">
        <f>IF(calcolo!A39="","",IF(calcolo!I39=calcolo!I27,calcolo!A39,""))</f>
        <v/>
      </c>
      <c r="B17" s="204">
        <f>+IF(A17="","",QTA/calcolo!J39*calcolo!K39+3)</f>
        <v/>
      </c>
      <c r="C17" s="195">
        <f>+IF(A17="","",calcolo!C39)</f>
        <v/>
      </c>
      <c r="D17" s="195">
        <f>+IF(A17="","",calcolo!D39)</f>
        <v/>
      </c>
      <c r="E17" s="153">
        <f>+IF(A17="","",calcolo!E39)</f>
        <v/>
      </c>
      <c r="F17" s="877">
        <f>+IF(A17="","",calcolo!F39)</f>
        <v/>
      </c>
      <c r="G17" s="879" t="n"/>
      <c r="H17" s="233">
        <f>+IF(A17="",0,B17*(C17/1000)*(D17/1000)*(E17/1000)*F17)</f>
        <v/>
      </c>
      <c r="I17" s="194" t="n"/>
    </row>
    <row r="18">
      <c r="A18" s="153">
        <f>IF(calcolo!A40="","",IF(calcolo!I40=calcolo!I28,calcolo!A40,""))</f>
        <v/>
      </c>
      <c r="B18" s="204">
        <f>+IF(A18="","",QTA/calcolo!J40*calcolo!K40+3)</f>
        <v/>
      </c>
      <c r="C18" s="195">
        <f>+IF(A18="","",calcolo!C40)</f>
        <v/>
      </c>
      <c r="D18" s="195">
        <f>+IF(A18="","",calcolo!D40)</f>
        <v/>
      </c>
      <c r="E18" s="153">
        <f>+IF(A18="","",calcolo!E40)</f>
        <v/>
      </c>
      <c r="F18" s="877">
        <f>+IF(A18="","",calcolo!F40)</f>
        <v/>
      </c>
      <c r="G18" s="879" t="n"/>
      <c r="H18" s="233">
        <f>+IF(A18="",0,B18*(C18/1000)*(D18/1000)*(E18/1000)*F18)</f>
        <v/>
      </c>
      <c r="I18" s="194" t="n"/>
    </row>
    <row r="19">
      <c r="A19" s="153">
        <f>IF(calcolo!A41="","",IF(calcolo!I41=calcolo!I29,calcolo!A41,""))</f>
        <v/>
      </c>
      <c r="B19" s="204">
        <f>+IF(A19="","",QTA/calcolo!J41*calcolo!K41+3)</f>
        <v/>
      </c>
      <c r="C19" s="195">
        <f>+IF(A19="","",calcolo!C41)</f>
        <v/>
      </c>
      <c r="D19" s="195">
        <f>+IF(A19="","",calcolo!D41)</f>
        <v/>
      </c>
      <c r="E19" s="153">
        <f>+IF(A19="","",calcolo!E41)</f>
        <v/>
      </c>
      <c r="F19" s="877">
        <f>+IF(A19="","",calcolo!F41)</f>
        <v/>
      </c>
      <c r="G19" s="879" t="n"/>
      <c r="H19" s="233">
        <f>+IF(A19="",0,B19*(C19/1000)*(D19/1000)*(E19/1000)*F19)</f>
        <v/>
      </c>
      <c r="I19" s="194" t="n"/>
    </row>
    <row r="20">
      <c r="A20" s="153">
        <f>IF(calcolo!A42="","",IF(calcolo!I42=calcolo!I30,calcolo!A42,""))</f>
        <v/>
      </c>
      <c r="B20" s="204">
        <f>+IF(A20="","",QTA/calcolo!J42*calcolo!K42+3)</f>
        <v/>
      </c>
      <c r="C20" s="195">
        <f>+IF(A20="","",calcolo!C42)</f>
        <v/>
      </c>
      <c r="D20" s="195">
        <f>+IF(A20="","",calcolo!D42)</f>
        <v/>
      </c>
      <c r="E20" s="153">
        <f>+IF(A20="","",calcolo!E42)</f>
        <v/>
      </c>
      <c r="F20" s="877">
        <f>+IF(A20="","",calcolo!F42)</f>
        <v/>
      </c>
      <c r="G20" s="879" t="n"/>
      <c r="H20" s="233">
        <f>+IF(A20="",0,B20*(C20/1000)*(D20/1000)*(E20/1000)*F20)</f>
        <v/>
      </c>
      <c r="I20" s="194" t="n"/>
    </row>
    <row r="21">
      <c r="A21" s="153">
        <f>IF(calcolo!A43="","",IF(calcolo!I43=calcolo!I31,calcolo!A43,""))</f>
        <v/>
      </c>
      <c r="B21" s="204">
        <f>+IF(A21="","",QTA/calcolo!J43*calcolo!K43+3)</f>
        <v/>
      </c>
      <c r="C21" s="195">
        <f>+IF(A21="","",calcolo!C43)</f>
        <v/>
      </c>
      <c r="D21" s="195">
        <f>+IF(A21="","",calcolo!D43)</f>
        <v/>
      </c>
      <c r="E21" s="153">
        <f>+IF(A21="","",calcolo!E43)</f>
        <v/>
      </c>
      <c r="F21" s="877">
        <f>+IF(A21="","",calcolo!F43)</f>
        <v/>
      </c>
      <c r="G21" s="879" t="n"/>
      <c r="H21" s="233">
        <f>+IF(A21="",0,B21*(C21/1000)*(D21/1000)*(E21/1000)*F21)</f>
        <v/>
      </c>
      <c r="I21" s="194" t="n"/>
    </row>
    <row r="22">
      <c r="A22" s="153">
        <f>IF(calcolo!A44="","",IF(calcolo!I44=calcolo!I32,calcolo!A44,""))</f>
        <v/>
      </c>
      <c r="B22" s="204">
        <f>+IF(A22="","",QTA/calcolo!J44*calcolo!K44+3)</f>
        <v/>
      </c>
      <c r="C22" s="195">
        <f>+IF(A22="","",calcolo!C44)</f>
        <v/>
      </c>
      <c r="D22" s="195">
        <f>+IF(A22="","",calcolo!D44)</f>
        <v/>
      </c>
      <c r="E22" s="153">
        <f>+IF(A22="","",calcolo!E44)</f>
        <v/>
      </c>
      <c r="F22" s="877">
        <f>+IF(A22="","",calcolo!F44)</f>
        <v/>
      </c>
      <c r="G22" s="879" t="n"/>
      <c r="H22" s="233">
        <f>+IF(A22="",0,B22*(C22/1000)*(D22/1000)*(E22/1000)*F22)</f>
        <v/>
      </c>
      <c r="I22" s="194" t="n"/>
    </row>
    <row r="23">
      <c r="A23" s="153">
        <f>IF(calcolo!A45="","",IF(calcolo!I45=calcolo!I33,calcolo!A45,""))</f>
        <v/>
      </c>
      <c r="B23" s="204">
        <f>+IF(A23="","",QTA/calcolo!J45*calcolo!K45+3)</f>
        <v/>
      </c>
      <c r="C23" s="195">
        <f>+IF(A23="","",calcolo!C45)</f>
        <v/>
      </c>
      <c r="D23" s="195">
        <f>+IF(A23="","",calcolo!D45)</f>
        <v/>
      </c>
      <c r="E23" s="153">
        <f>+IF(A23="","",calcolo!E45)</f>
        <v/>
      </c>
      <c r="F23" s="877">
        <f>+IF(A23="","",calcolo!F45)</f>
        <v/>
      </c>
      <c r="G23" s="879" t="n"/>
      <c r="H23" s="233">
        <f>+IF(A23="",0,B23*(C23/1000)*(D23/1000)*(E23/1000)*F23)</f>
        <v/>
      </c>
      <c r="I23" s="194" t="n"/>
    </row>
    <row r="24">
      <c r="A24" s="153">
        <f>IF(calcolo!A46="","",IF(calcolo!I46=calcolo!I34,calcolo!A46,""))</f>
        <v/>
      </c>
      <c r="B24" s="204">
        <f>+IF(A24="","",QTA/calcolo!J46*calcolo!K46+3)</f>
        <v/>
      </c>
      <c r="C24" s="195">
        <f>+IF(A24="","",calcolo!C46)</f>
        <v/>
      </c>
      <c r="D24" s="195">
        <f>+IF(A24="","",calcolo!D46)</f>
        <v/>
      </c>
      <c r="E24" s="153">
        <f>+IF(A24="","",calcolo!E46)</f>
        <v/>
      </c>
      <c r="F24" s="877">
        <f>+IF(A24="","",calcolo!F46)</f>
        <v/>
      </c>
      <c r="G24" s="879" t="n"/>
      <c r="H24" s="233">
        <f>+IF(A24="",0,B24*(C24/1000)*(D24/1000)*(E24/1000)*F24)</f>
        <v/>
      </c>
      <c r="I24" s="194" t="n"/>
    </row>
    <row r="25">
      <c r="A25" s="153">
        <f>IF(calcolo!A47="","",IF(calcolo!I47=calcolo!I35,calcolo!A47,""))</f>
        <v/>
      </c>
      <c r="B25" s="204">
        <f>+IF(A25="","",QTA/calcolo!J47*calcolo!K47+3)</f>
        <v/>
      </c>
      <c r="C25" s="195">
        <f>+IF(A25="","",calcolo!C47)</f>
        <v/>
      </c>
      <c r="D25" s="195">
        <f>+IF(A25="","",calcolo!D47)</f>
        <v/>
      </c>
      <c r="E25" s="153">
        <f>+IF(A25="","",calcolo!E47)</f>
        <v/>
      </c>
      <c r="F25" s="877">
        <f>+IF(A25="","",calcolo!F47)</f>
        <v/>
      </c>
      <c r="G25" s="879" t="n"/>
      <c r="H25" s="233">
        <f>+IF(A25="",0,B25*(C25/1000)*(D25/1000)*(E25/1000)*F25)</f>
        <v/>
      </c>
      <c r="I25" s="194" t="n"/>
    </row>
    <row r="26">
      <c r="A26" s="153">
        <f>IF(calcolo!A48="","",IF(calcolo!I48=calcolo!I36,calcolo!A48,""))</f>
        <v/>
      </c>
      <c r="B26" s="204">
        <f>+IF(A26="","",QTA/calcolo!J48*calcolo!K48+3)</f>
        <v/>
      </c>
      <c r="C26" s="195">
        <f>+IF(A26="","",calcolo!C48)</f>
        <v/>
      </c>
      <c r="D26" s="195">
        <f>+IF(A26="","",calcolo!D48)</f>
        <v/>
      </c>
      <c r="E26" s="153">
        <f>+IF(A26="","",calcolo!E48)</f>
        <v/>
      </c>
      <c r="F26" s="877">
        <f>+IF(A26="","",calcolo!F48)</f>
        <v/>
      </c>
      <c r="G26" s="879" t="n"/>
      <c r="H26" s="233">
        <f>+IF(A26="",0,B26*(C26/1000)*(D26/1000)*(E26/1000)*F26)</f>
        <v/>
      </c>
      <c r="I26" s="194" t="n"/>
    </row>
    <row r="27">
      <c r="A27" s="153">
        <f>IF(calcolo!A49="","",IF(calcolo!I49=calcolo!I37,calcolo!A49,""))</f>
        <v/>
      </c>
      <c r="B27" s="204">
        <f>+IF(A27="","",QTA/calcolo!J49*calcolo!K49+3)</f>
        <v/>
      </c>
      <c r="C27" s="195">
        <f>+IF(A27="","",calcolo!C49)</f>
        <v/>
      </c>
      <c r="D27" s="195">
        <f>+IF(A27="","",calcolo!D49)</f>
        <v/>
      </c>
      <c r="E27" s="153">
        <f>+IF(A27="","",calcolo!E49)</f>
        <v/>
      </c>
      <c r="F27" s="877">
        <f>+IF(A27="","",calcolo!F49)</f>
        <v/>
      </c>
      <c r="G27" s="879" t="n"/>
      <c r="H27" s="233">
        <f>+IF(A27="",0,B27*(C27/1000)*(D27/1000)*(E27/1000)*F27)</f>
        <v/>
      </c>
      <c r="I27" s="194" t="n"/>
    </row>
    <row r="28">
      <c r="A28" s="153" t="inlineStr">
        <is>
          <t>Costi iniziali + accessori</t>
        </is>
      </c>
      <c r="B28" s="204">
        <f>+IF(SUM(calcolo!B51:B56)=0,0,1)</f>
        <v/>
      </c>
      <c r="C28" s="195" t="n"/>
      <c r="D28" s="195" t="n"/>
      <c r="E28" s="153" t="n"/>
      <c r="F28" s="877">
        <f>+calcolo!H51+calcolo!H52+calcolo!H53+calcolo!H55+calcolo!H56+calcolo!H19+calcolo!H20+calcolo!H21</f>
        <v/>
      </c>
      <c r="G28" s="879" t="n"/>
      <c r="H28" s="233">
        <f>+F28*B28</f>
        <v/>
      </c>
      <c r="I28" s="194" t="n"/>
    </row>
    <row r="29">
      <c r="A29" s="153" t="n"/>
      <c r="B29" s="204" t="n"/>
      <c r="C29" s="195" t="n"/>
      <c r="D29" s="195" t="n"/>
      <c r="E29" s="153" t="n"/>
      <c r="F29" s="877" t="n"/>
      <c r="G29" s="880">
        <f>B29*C29/1000*D29/1000*E29/1000</f>
        <v/>
      </c>
      <c r="H29" s="118">
        <f>B29*C29/1000*D29/1000*E29/1000*F29</f>
        <v/>
      </c>
      <c r="I29" s="194" t="n"/>
    </row>
    <row r="30">
      <c r="A30" s="153" t="n"/>
      <c r="B30" s="204" t="n"/>
      <c r="C30" s="195" t="n"/>
      <c r="D30" s="195" t="n"/>
      <c r="E30" s="153" t="n"/>
      <c r="F30" s="877" t="n"/>
      <c r="G30" s="880">
        <f>B30*C30/1000*D30/1000*E30/1000</f>
        <v/>
      </c>
      <c r="H30" s="118">
        <f>B30*C30/1000*D30/1000*E30/1000*F30</f>
        <v/>
      </c>
      <c r="I30" s="194" t="n"/>
    </row>
    <row r="31">
      <c r="A31" s="153">
        <f>++IF(calcolo!A62&lt;&gt;"",VLOOKUP(calcolo!A62,Tabella118[[#All],[composizione concatenata]:[Composizione alternativa per digitale]],4,FALSE),"")</f>
        <v/>
      </c>
      <c r="B31" s="204">
        <f>+IF(A31="","",QTA/calcolo!J62*calcolo!K62+3)</f>
        <v/>
      </c>
      <c r="C31" s="195">
        <f>+calcolo!P62</f>
        <v/>
      </c>
      <c r="D31" s="195">
        <f>+calcolo!Q62</f>
        <v/>
      </c>
      <c r="E31" s="153" t="n"/>
      <c r="F31" s="877">
        <f>+VLOOKUP(A31,'Listino Ondulato-Durevole'!E:F,2,FALSE)</f>
        <v/>
      </c>
      <c r="G31" s="878">
        <f>+IF(B31="", 0, ((C31/1000)*(D31/1000))*B31)</f>
        <v/>
      </c>
      <c r="H31" s="233">
        <f>IF(B31="", 0, B31*C31/1000*D31/1000*F31)</f>
        <v/>
      </c>
      <c r="I31" s="194" t="inlineStr">
        <is>
          <t>master</t>
        </is>
      </c>
    </row>
    <row r="32">
      <c r="A32" s="153" t="inlineStr">
        <is>
          <t>biadesivo + applicazione</t>
        </is>
      </c>
      <c r="B32" s="204" t="n">
        <v>1</v>
      </c>
      <c r="C32" s="195" t="n"/>
      <c r="D32" s="195" t="n"/>
      <c r="E32" s="153" t="n"/>
      <c r="F32" s="877">
        <f>+calcolo!H56+calcolo!H188</f>
        <v/>
      </c>
      <c r="G32" s="879" t="n"/>
      <c r="H32" s="233">
        <f>+F32*B32</f>
        <v/>
      </c>
      <c r="I32" s="194" t="n"/>
    </row>
    <row r="33">
      <c r="A33" s="153" t="inlineStr">
        <is>
          <t>stampa digitale grafcolor</t>
        </is>
      </c>
      <c r="B33" s="204">
        <f>+B4</f>
        <v/>
      </c>
      <c r="C33" s="204">
        <f>+C4</f>
        <v/>
      </c>
      <c r="D33" s="204">
        <f>+D4</f>
        <v/>
      </c>
      <c r="E33" s="153" t="n"/>
      <c r="F33" s="877" t="n">
        <v>3</v>
      </c>
      <c r="G33" s="879" t="n"/>
      <c r="H33" s="233">
        <f>+IF(B33="",0,B33*C33/1000*D33/1000*F33)</f>
        <v/>
      </c>
      <c r="I33" s="194">
        <f>+I4</f>
        <v/>
      </c>
    </row>
    <row r="34">
      <c r="A34" s="153" t="inlineStr">
        <is>
          <t>stampa digitale grafcolor</t>
        </is>
      </c>
      <c r="B34" s="204">
        <f>+B5</f>
        <v/>
      </c>
      <c r="C34" s="204">
        <f>+C5</f>
        <v/>
      </c>
      <c r="D34" s="204">
        <f>+D5</f>
        <v/>
      </c>
      <c r="E34" s="153" t="n"/>
      <c r="F34" s="877" t="n">
        <v>3</v>
      </c>
      <c r="G34" s="879" t="n"/>
      <c r="H34" s="233">
        <f>+IF(B34="",0,B34*C34/1000*D34/1000*F34)</f>
        <v/>
      </c>
      <c r="I34" s="194">
        <f>+I5</f>
        <v/>
      </c>
    </row>
    <row r="35">
      <c r="A35" s="153" t="inlineStr">
        <is>
          <t>stampa digitale grafcolor</t>
        </is>
      </c>
      <c r="B35" s="204">
        <f>+B6</f>
        <v/>
      </c>
      <c r="C35" s="204">
        <f>+C6</f>
        <v/>
      </c>
      <c r="D35" s="204">
        <f>+D6</f>
        <v/>
      </c>
      <c r="E35" s="153" t="n"/>
      <c r="F35" s="877" t="n">
        <v>3</v>
      </c>
      <c r="G35" s="879" t="n"/>
      <c r="H35" s="233">
        <f>+IF(B35="",0,B35*C35/1000*D35/1000*F35)</f>
        <v/>
      </c>
      <c r="I35" s="194">
        <f>+I6</f>
        <v/>
      </c>
    </row>
    <row r="36">
      <c r="A36" s="153" t="inlineStr">
        <is>
          <t>stampa digitale grafcolor</t>
        </is>
      </c>
      <c r="B36" s="204">
        <f>+B7</f>
        <v/>
      </c>
      <c r="C36" s="204">
        <f>+C7</f>
        <v/>
      </c>
      <c r="D36" s="204">
        <f>+D7</f>
        <v/>
      </c>
      <c r="E36" s="153" t="n"/>
      <c r="F36" s="877" t="n">
        <v>3</v>
      </c>
      <c r="G36" s="879" t="n"/>
      <c r="H36" s="233">
        <f>+IF(B36="",0,B36*C36/1000*D36/1000*F36)</f>
        <v/>
      </c>
      <c r="I36" s="194">
        <f>+I7</f>
        <v/>
      </c>
    </row>
    <row r="37">
      <c r="A37" s="153" t="inlineStr">
        <is>
          <t>stampa digitale grafcolor</t>
        </is>
      </c>
      <c r="B37" s="204">
        <f>+B8</f>
        <v/>
      </c>
      <c r="C37" s="204">
        <f>+C8</f>
        <v/>
      </c>
      <c r="D37" s="204">
        <f>+D8</f>
        <v/>
      </c>
      <c r="E37" s="153" t="n"/>
      <c r="F37" s="877" t="n">
        <v>3</v>
      </c>
      <c r="G37" s="879" t="n"/>
      <c r="H37" s="233">
        <f>+IF(B37="",0,B37*C37/1000*D37/1000*F37)</f>
        <v/>
      </c>
      <c r="I37" s="194">
        <f>+I8</f>
        <v/>
      </c>
    </row>
    <row r="38" ht="16.5" customHeight="1">
      <c r="A38" s="153" t="inlineStr">
        <is>
          <t>stampa digitale grafcolor</t>
        </is>
      </c>
      <c r="B38" s="204">
        <f>+B9</f>
        <v/>
      </c>
      <c r="C38" s="204">
        <f>+C9</f>
        <v/>
      </c>
      <c r="D38" s="204">
        <f>+D9</f>
        <v/>
      </c>
      <c r="E38" s="153" t="n"/>
      <c r="F38" s="877" t="n">
        <v>3</v>
      </c>
      <c r="G38" s="879" t="n"/>
      <c r="H38" s="233">
        <f>+IF(B38="",0,B38*C38/1000*D38/1000*F38)</f>
        <v/>
      </c>
      <c r="I38" s="194">
        <f>+I9</f>
        <v/>
      </c>
    </row>
    <row r="39">
      <c r="A39" s="153" t="inlineStr">
        <is>
          <t>stampa digitale grafcolor</t>
        </is>
      </c>
      <c r="B39" s="204">
        <f>+B10</f>
        <v/>
      </c>
      <c r="C39" s="204">
        <f>+C10</f>
        <v/>
      </c>
      <c r="D39" s="204">
        <f>+D10</f>
        <v/>
      </c>
      <c r="E39" s="153" t="n"/>
      <c r="F39" s="877" t="n">
        <v>3</v>
      </c>
      <c r="G39" s="879" t="n"/>
      <c r="H39" s="233">
        <f>+IF(B39="",0,B39*C39/1000*D39/1000*F39)</f>
        <v/>
      </c>
      <c r="I39" s="194">
        <f>+I10</f>
        <v/>
      </c>
    </row>
    <row r="40">
      <c r="A40" s="153" t="inlineStr">
        <is>
          <t>stampa digitale grafcolor</t>
        </is>
      </c>
      <c r="B40" s="204">
        <f>+B11</f>
        <v/>
      </c>
      <c r="C40" s="204">
        <f>+C11</f>
        <v/>
      </c>
      <c r="D40" s="204">
        <f>+D11</f>
        <v/>
      </c>
      <c r="E40" s="153" t="n"/>
      <c r="F40" s="877" t="n">
        <v>3</v>
      </c>
      <c r="G40" s="879" t="n"/>
      <c r="H40" s="233">
        <f>+IF(B40="",0,B40*C40/1000*D40/1000*F40)</f>
        <v/>
      </c>
      <c r="I40" s="194">
        <f>+I11</f>
        <v/>
      </c>
    </row>
    <row r="41">
      <c r="A41" s="153" t="inlineStr">
        <is>
          <t>stampa digitale grafcolor</t>
        </is>
      </c>
      <c r="B41" s="204">
        <f>+B12</f>
        <v/>
      </c>
      <c r="C41" s="204">
        <f>+C12</f>
        <v/>
      </c>
      <c r="D41" s="204">
        <f>+D12</f>
        <v/>
      </c>
      <c r="E41" s="153" t="n"/>
      <c r="F41" s="877" t="n">
        <v>3</v>
      </c>
      <c r="G41" s="879" t="n"/>
      <c r="H41" s="233">
        <f>+IF(B41="",0,B41*C41/1000*D41/1000*F41)</f>
        <v/>
      </c>
      <c r="I41" s="194">
        <f>+I12</f>
        <v/>
      </c>
    </row>
    <row r="42">
      <c r="A42" s="153" t="inlineStr">
        <is>
          <t>stampa digitale grafcolor</t>
        </is>
      </c>
      <c r="B42" s="204">
        <f>+B13</f>
        <v/>
      </c>
      <c r="C42" s="204">
        <f>+C13</f>
        <v/>
      </c>
      <c r="D42" s="204">
        <f>+D13</f>
        <v/>
      </c>
      <c r="E42" s="153" t="n"/>
      <c r="F42" s="877" t="n">
        <v>3</v>
      </c>
      <c r="G42" s="879" t="n"/>
      <c r="H42" s="233">
        <f>+IF(B42="",0,B42*C42/1000*D42/1000*F42)</f>
        <v/>
      </c>
      <c r="I42" s="194">
        <f>+I13</f>
        <v/>
      </c>
    </row>
    <row r="43">
      <c r="A43" s="153" t="inlineStr">
        <is>
          <t>stampa digitale grafcolor</t>
        </is>
      </c>
      <c r="B43" s="204">
        <f>+B14</f>
        <v/>
      </c>
      <c r="C43" s="204">
        <f>+C14</f>
        <v/>
      </c>
      <c r="D43" s="204">
        <f>+D14</f>
        <v/>
      </c>
      <c r="E43" s="153" t="n"/>
      <c r="F43" s="877" t="n">
        <v>3</v>
      </c>
      <c r="G43" s="879" t="n"/>
      <c r="H43" s="233">
        <f>+IF(B43="",0,B43*C43/1000*D43/1000*F43)</f>
        <v/>
      </c>
      <c r="I43" s="194">
        <f>+I14</f>
        <v/>
      </c>
    </row>
    <row r="44">
      <c r="A44" s="153" t="inlineStr">
        <is>
          <t>stampa digitale grafcolor</t>
        </is>
      </c>
      <c r="B44" s="204">
        <f>+B15</f>
        <v/>
      </c>
      <c r="C44" s="204">
        <f>+C15</f>
        <v/>
      </c>
      <c r="D44" s="204">
        <f>+D15</f>
        <v/>
      </c>
      <c r="E44" s="153" t="n"/>
      <c r="F44" s="877" t="n">
        <v>3</v>
      </c>
      <c r="G44" s="879" t="n"/>
      <c r="H44" s="233">
        <f>+IF(B44="",0,B44*C44/1000*D44/1000*F44)</f>
        <v/>
      </c>
      <c r="I44" s="194">
        <f>+I15</f>
        <v/>
      </c>
    </row>
    <row r="45">
      <c r="A45" s="153" t="inlineStr">
        <is>
          <t>stampa digitale grafcolor</t>
        </is>
      </c>
      <c r="B45" s="204">
        <f>+B16</f>
        <v/>
      </c>
      <c r="C45" s="204">
        <f>+C16</f>
        <v/>
      </c>
      <c r="D45" s="204">
        <f>+D16</f>
        <v/>
      </c>
      <c r="E45" s="153" t="n"/>
      <c r="F45" s="877" t="n">
        <v>3</v>
      </c>
      <c r="G45" s="879" t="n"/>
      <c r="H45" s="233">
        <f>+IF(B45="",0,B45*C45/1000*D45/1000*F45)</f>
        <v/>
      </c>
      <c r="I45" s="194">
        <f>+I16</f>
        <v/>
      </c>
    </row>
    <row r="46">
      <c r="A46" s="153" t="inlineStr">
        <is>
          <t>stampa digitale grafcolor</t>
        </is>
      </c>
      <c r="B46" s="204">
        <f>+B17</f>
        <v/>
      </c>
      <c r="C46" s="204">
        <f>+C17</f>
        <v/>
      </c>
      <c r="D46" s="204">
        <f>+D17</f>
        <v/>
      </c>
      <c r="E46" s="153" t="n"/>
      <c r="F46" s="877" t="n">
        <v>3</v>
      </c>
      <c r="G46" s="879" t="n"/>
      <c r="H46" s="233">
        <f>+IF(B46="",0,B46*C46/1000*D46/1000*F46)</f>
        <v/>
      </c>
      <c r="I46" s="194">
        <f>+I17</f>
        <v/>
      </c>
    </row>
    <row r="47">
      <c r="A47" s="153" t="inlineStr">
        <is>
          <t>stampa digitale grafcolor</t>
        </is>
      </c>
      <c r="B47" s="204">
        <f>+B18</f>
        <v/>
      </c>
      <c r="C47" s="204">
        <f>+C18</f>
        <v/>
      </c>
      <c r="D47" s="204">
        <f>+D18</f>
        <v/>
      </c>
      <c r="E47" s="153" t="n"/>
      <c r="F47" s="877" t="n">
        <v>3</v>
      </c>
      <c r="G47" s="879" t="n"/>
      <c r="H47" s="233">
        <f>+IF(B47="",0,B47*C47/1000*D47/1000*F47)</f>
        <v/>
      </c>
      <c r="I47" s="194">
        <f>+I18</f>
        <v/>
      </c>
    </row>
    <row r="48">
      <c r="A48" s="153" t="inlineStr">
        <is>
          <t>stampa digitale grafcolor</t>
        </is>
      </c>
      <c r="B48" s="204">
        <f>+B19</f>
        <v/>
      </c>
      <c r="C48" s="204">
        <f>+C19</f>
        <v/>
      </c>
      <c r="D48" s="204">
        <f>+D19</f>
        <v/>
      </c>
      <c r="E48" s="153" t="n"/>
      <c r="F48" s="877" t="n">
        <v>3</v>
      </c>
      <c r="G48" s="879" t="n"/>
      <c r="H48" s="233">
        <f>+IF(B48="",0,B48*C48/1000*D48/1000*F48)</f>
        <v/>
      </c>
      <c r="I48" s="194">
        <f>+I19</f>
        <v/>
      </c>
    </row>
    <row r="49">
      <c r="A49" s="153" t="inlineStr">
        <is>
          <t>stampa digitale grafcolor</t>
        </is>
      </c>
      <c r="B49" s="204">
        <f>+B20</f>
        <v/>
      </c>
      <c r="C49" s="204">
        <f>+C20</f>
        <v/>
      </c>
      <c r="D49" s="204">
        <f>+D20</f>
        <v/>
      </c>
      <c r="E49" s="153" t="n"/>
      <c r="F49" s="877" t="n">
        <v>3</v>
      </c>
      <c r="G49" s="879" t="n"/>
      <c r="H49" s="233">
        <f>+IF(B49="",0,B49*C49/1000*D49/1000*F49)</f>
        <v/>
      </c>
      <c r="I49" s="194">
        <f>+I20</f>
        <v/>
      </c>
    </row>
    <row r="50">
      <c r="A50" s="153" t="inlineStr">
        <is>
          <t>stampa digitale grafcolor</t>
        </is>
      </c>
      <c r="B50" s="204">
        <f>+B21</f>
        <v/>
      </c>
      <c r="C50" s="204">
        <f>+C21</f>
        <v/>
      </c>
      <c r="D50" s="204">
        <f>+D21</f>
        <v/>
      </c>
      <c r="E50" s="153" t="n"/>
      <c r="F50" s="877" t="n">
        <v>3</v>
      </c>
      <c r="G50" s="879" t="n"/>
      <c r="H50" s="233">
        <f>+IF(B50="",0,B50*C50/1000*D50/1000*F50)</f>
        <v/>
      </c>
      <c r="I50" s="194">
        <f>+I21</f>
        <v/>
      </c>
    </row>
    <row r="51">
      <c r="A51" s="153" t="inlineStr">
        <is>
          <t>stampa digitale grafcolor</t>
        </is>
      </c>
      <c r="B51" s="204">
        <f>+B22</f>
        <v/>
      </c>
      <c r="C51" s="204">
        <f>+C22</f>
        <v/>
      </c>
      <c r="D51" s="204">
        <f>+D22</f>
        <v/>
      </c>
      <c r="E51" s="153" t="n"/>
      <c r="F51" s="877" t="n">
        <v>3</v>
      </c>
      <c r="G51" s="879" t="n"/>
      <c r="H51" s="233">
        <f>+IF(B51="",0,B51*C51/1000*D51/1000*F51)</f>
        <v/>
      </c>
      <c r="I51" s="194">
        <f>+I22</f>
        <v/>
      </c>
    </row>
    <row r="52">
      <c r="A52" s="153" t="inlineStr">
        <is>
          <t>stampa digitale grafcolor</t>
        </is>
      </c>
      <c r="B52" s="204">
        <f>+B23</f>
        <v/>
      </c>
      <c r="C52" s="204">
        <f>+C23</f>
        <v/>
      </c>
      <c r="D52" s="204">
        <f>+D23</f>
        <v/>
      </c>
      <c r="E52" s="153" t="n"/>
      <c r="F52" s="877" t="n">
        <v>3</v>
      </c>
      <c r="G52" s="879" t="n"/>
      <c r="H52" s="233">
        <f>+IF(B52="",0,B52*C52/1000*D52/1000*F52)</f>
        <v/>
      </c>
      <c r="I52" s="194">
        <f>+I23</f>
        <v/>
      </c>
    </row>
    <row r="53">
      <c r="A53" s="153" t="inlineStr">
        <is>
          <t>stampa digitale grafcolor</t>
        </is>
      </c>
      <c r="B53" s="204">
        <f>+B24</f>
        <v/>
      </c>
      <c r="C53" s="204">
        <f>+C24</f>
        <v/>
      </c>
      <c r="D53" s="204">
        <f>+D24</f>
        <v/>
      </c>
      <c r="E53" s="153" t="n"/>
      <c r="F53" s="877" t="n">
        <v>3</v>
      </c>
      <c r="G53" s="879" t="n"/>
      <c r="H53" s="233">
        <f>+IF(B53="",0,B53*C53/1000*D53/1000*F53)</f>
        <v/>
      </c>
      <c r="I53" s="194">
        <f>+I24</f>
        <v/>
      </c>
    </row>
    <row r="54">
      <c r="A54" s="153" t="inlineStr">
        <is>
          <t>stampa digitale grafcolor</t>
        </is>
      </c>
      <c r="B54" s="204">
        <f>+B25</f>
        <v/>
      </c>
      <c r="C54" s="204">
        <f>+C25</f>
        <v/>
      </c>
      <c r="D54" s="204">
        <f>+D25</f>
        <v/>
      </c>
      <c r="E54" s="153" t="n"/>
      <c r="F54" s="877" t="n">
        <v>3</v>
      </c>
      <c r="G54" s="879" t="n"/>
      <c r="H54" s="233">
        <f>+IF(B54="",0,B54*C54/1000*D54/1000*F54)</f>
        <v/>
      </c>
      <c r="I54" s="194">
        <f>+I25</f>
        <v/>
      </c>
    </row>
    <row r="55">
      <c r="A55" s="153" t="inlineStr">
        <is>
          <t>stampa digitale grafcolor</t>
        </is>
      </c>
      <c r="B55" s="204">
        <f>+B26</f>
        <v/>
      </c>
      <c r="C55" s="204">
        <f>+C26</f>
        <v/>
      </c>
      <c r="D55" s="204">
        <f>+D26</f>
        <v/>
      </c>
      <c r="E55" s="153" t="n"/>
      <c r="F55" s="877" t="n">
        <v>3</v>
      </c>
      <c r="G55" s="879" t="n"/>
      <c r="H55" s="233">
        <f>+IF(B55="",0,B55*C55/1000*D55/1000*F55)</f>
        <v/>
      </c>
      <c r="I55" s="194">
        <f>+I26</f>
        <v/>
      </c>
    </row>
    <row r="56">
      <c r="A56" s="153" t="inlineStr">
        <is>
          <t>stampa digitale grafcolor</t>
        </is>
      </c>
      <c r="B56" s="204">
        <f>+B27</f>
        <v/>
      </c>
      <c r="C56" s="204">
        <f>+C27</f>
        <v/>
      </c>
      <c r="D56" s="204">
        <f>+D27</f>
        <v/>
      </c>
      <c r="E56" s="153" t="n"/>
      <c r="F56" s="877" t="n">
        <v>3</v>
      </c>
      <c r="G56" s="879" t="n"/>
      <c r="H56" s="233">
        <f>+IF(B56="",0,B56*C56/1000*D56/1000*F56)</f>
        <v/>
      </c>
      <c r="I56" s="194">
        <f>+I27</f>
        <v/>
      </c>
    </row>
    <row r="57">
      <c r="A57" s="153" t="inlineStr">
        <is>
          <t>stampa digitale grafcolor</t>
        </is>
      </c>
      <c r="B57" s="204">
        <f>+B31</f>
        <v/>
      </c>
      <c r="C57" s="204">
        <f>+C31</f>
        <v/>
      </c>
      <c r="D57" s="204">
        <f>+D31</f>
        <v/>
      </c>
      <c r="E57" s="153" t="n"/>
      <c r="F57" s="877" t="n">
        <v>3</v>
      </c>
      <c r="G57" s="879" t="n"/>
      <c r="H57" s="233">
        <f>+IF(B57="",0,B57*C57/1000*D57/1000*F57)</f>
        <v/>
      </c>
      <c r="I57" s="194">
        <f>+I31</f>
        <v/>
      </c>
    </row>
    <row r="58">
      <c r="A58" s="153" t="inlineStr">
        <is>
          <t>taglio (€/foglio)</t>
        </is>
      </c>
      <c r="B58" s="204">
        <f>+IF(B33="","",B33*calcolo!N149)</f>
        <v/>
      </c>
      <c r="C58" s="195" t="n"/>
      <c r="D58" s="153" t="n"/>
      <c r="E58" s="153" t="n"/>
      <c r="F58" s="877" t="n">
        <v>0.15</v>
      </c>
      <c r="G58" s="879" t="n"/>
      <c r="H58" s="233">
        <f>IF(B58="",0,B58*F58)</f>
        <v/>
      </c>
      <c r="I58" s="194">
        <f>+I33</f>
        <v/>
      </c>
    </row>
    <row r="59">
      <c r="A59" s="153" t="inlineStr">
        <is>
          <t>taglio (€/foglio)</t>
        </is>
      </c>
      <c r="B59" s="204">
        <f>+IF(B34="","",B34*calcolo!N150)</f>
        <v/>
      </c>
      <c r="C59" s="195" t="n"/>
      <c r="D59" s="153" t="n"/>
      <c r="E59" s="153" t="n"/>
      <c r="F59" s="877" t="n">
        <v>0.15</v>
      </c>
      <c r="G59" s="879" t="n"/>
      <c r="H59" s="233">
        <f>IF(B59="",0,B59*F59)</f>
        <v/>
      </c>
      <c r="I59" s="194">
        <f>+I34</f>
        <v/>
      </c>
    </row>
    <row r="60">
      <c r="A60" s="153" t="inlineStr">
        <is>
          <t>taglio (€/foglio)</t>
        </is>
      </c>
      <c r="B60" s="204">
        <f>+IF(B35="","",B35*calcolo!N151)</f>
        <v/>
      </c>
      <c r="C60" s="195" t="n"/>
      <c r="D60" s="153" t="n"/>
      <c r="E60" s="153" t="n"/>
      <c r="F60" s="877" t="n">
        <v>0.15</v>
      </c>
      <c r="G60" s="879" t="n"/>
      <c r="H60" s="233">
        <f>IF(B60="",0,B60*F60)</f>
        <v/>
      </c>
      <c r="I60" s="194">
        <f>+I35</f>
        <v/>
      </c>
    </row>
    <row r="61">
      <c r="A61" s="153" t="inlineStr">
        <is>
          <t>taglio (€/foglio)</t>
        </is>
      </c>
      <c r="B61" s="204">
        <f>+IF(B36="","",B36*calcolo!N152)</f>
        <v/>
      </c>
      <c r="C61" s="195" t="n"/>
      <c r="D61" s="153" t="n"/>
      <c r="E61" s="153" t="n"/>
      <c r="F61" s="877" t="n">
        <v>0.15</v>
      </c>
      <c r="G61" s="879" t="n"/>
      <c r="H61" s="233">
        <f>IF(B61="",0,B61*F61)</f>
        <v/>
      </c>
      <c r="I61" s="194">
        <f>+I36</f>
        <v/>
      </c>
    </row>
    <row r="62">
      <c r="A62" s="153" t="inlineStr">
        <is>
          <t>taglio (€/foglio)</t>
        </is>
      </c>
      <c r="B62" s="204">
        <f>+IF(B37="","",B37*calcolo!N153)</f>
        <v/>
      </c>
      <c r="C62" s="195" t="n"/>
      <c r="D62" s="153" t="n"/>
      <c r="E62" s="153" t="n"/>
      <c r="F62" s="877" t="n">
        <v>0.15</v>
      </c>
      <c r="G62" s="879" t="n"/>
      <c r="H62" s="233">
        <f>IF(B62="",0,B62*F62)</f>
        <v/>
      </c>
      <c r="I62" s="194">
        <f>+I37</f>
        <v/>
      </c>
    </row>
    <row r="63" ht="16.5" customHeight="1">
      <c r="A63" s="153" t="inlineStr">
        <is>
          <t>taglio (€/foglio)</t>
        </is>
      </c>
      <c r="B63" s="204">
        <f>+IF(B38="","",B38*calcolo!N154)</f>
        <v/>
      </c>
      <c r="C63" s="195" t="n"/>
      <c r="D63" s="153" t="n"/>
      <c r="E63" s="153" t="n"/>
      <c r="F63" s="877" t="n">
        <v>0.15</v>
      </c>
      <c r="G63" s="879" t="n"/>
      <c r="H63" s="233">
        <f>IF(B63="",0,B63*F63)</f>
        <v/>
      </c>
      <c r="I63" s="194">
        <f>+I38</f>
        <v/>
      </c>
    </row>
    <row r="64">
      <c r="A64" s="153" t="inlineStr">
        <is>
          <t>taglio (€/foglio)</t>
        </is>
      </c>
      <c r="B64" s="204">
        <f>+IF(B39="","",B39*calcolo!N155)</f>
        <v/>
      </c>
      <c r="C64" s="195" t="n"/>
      <c r="D64" s="153" t="n"/>
      <c r="E64" s="153" t="n"/>
      <c r="F64" s="877" t="n">
        <v>0.15</v>
      </c>
      <c r="G64" s="879" t="n"/>
      <c r="H64" s="233">
        <f>IF(B64="",0,B64*F64)</f>
        <v/>
      </c>
      <c r="I64" s="194">
        <f>+I39</f>
        <v/>
      </c>
    </row>
    <row r="65">
      <c r="A65" s="153" t="inlineStr">
        <is>
          <t>taglio (€/foglio)</t>
        </is>
      </c>
      <c r="B65" s="204">
        <f>+IF(B40="","",B40*calcolo!N156)</f>
        <v/>
      </c>
      <c r="C65" s="195" t="n"/>
      <c r="D65" s="153" t="n"/>
      <c r="E65" s="153" t="n"/>
      <c r="F65" s="877" t="n">
        <v>0.15</v>
      </c>
      <c r="G65" s="879" t="n"/>
      <c r="H65" s="233">
        <f>IF(B65="",0,B65*F65)</f>
        <v/>
      </c>
      <c r="I65" s="194">
        <f>+I40</f>
        <v/>
      </c>
    </row>
    <row r="66">
      <c r="A66" s="153" t="inlineStr">
        <is>
          <t>taglio (€/foglio)</t>
        </is>
      </c>
      <c r="B66" s="204">
        <f>+IF(B41="","",B41*calcolo!N157)</f>
        <v/>
      </c>
      <c r="C66" s="195" t="n"/>
      <c r="D66" s="153" t="n"/>
      <c r="E66" s="153" t="n"/>
      <c r="F66" s="877" t="n">
        <v>0.15</v>
      </c>
      <c r="G66" s="879" t="n"/>
      <c r="H66" s="233">
        <f>IF(B66="",0,B66*F66)</f>
        <v/>
      </c>
      <c r="I66" s="194">
        <f>+I41</f>
        <v/>
      </c>
    </row>
    <row r="67">
      <c r="A67" s="153" t="inlineStr">
        <is>
          <t>taglio (€/foglio)</t>
        </is>
      </c>
      <c r="B67" s="204">
        <f>+IF(B42="","",B42*calcolo!N158)</f>
        <v/>
      </c>
      <c r="C67" s="195" t="n"/>
      <c r="D67" s="153" t="n"/>
      <c r="E67" s="153" t="n"/>
      <c r="F67" s="877" t="n">
        <v>0.15</v>
      </c>
      <c r="G67" s="879" t="n"/>
      <c r="H67" s="233">
        <f>IF(B67="",0,B67*F67)</f>
        <v/>
      </c>
      <c r="I67" s="194">
        <f>+I42</f>
        <v/>
      </c>
    </row>
    <row r="68">
      <c r="A68" s="153" t="inlineStr">
        <is>
          <t>taglio (€/foglio)</t>
        </is>
      </c>
      <c r="B68" s="204">
        <f>+IF(B43="","",B43*calcolo!N159)</f>
        <v/>
      </c>
      <c r="C68" s="195" t="n"/>
      <c r="D68" s="153" t="n"/>
      <c r="E68" s="153" t="n"/>
      <c r="F68" s="877" t="n">
        <v>0.15</v>
      </c>
      <c r="G68" s="879" t="n"/>
      <c r="H68" s="233">
        <f>IF(B68="",0,B68*F68)</f>
        <v/>
      </c>
      <c r="I68" s="194">
        <f>+I43</f>
        <v/>
      </c>
    </row>
    <row r="69">
      <c r="A69" s="153" t="inlineStr">
        <is>
          <t>taglio (€/foglio)</t>
        </is>
      </c>
      <c r="B69" s="204">
        <f>+IF(B44="","",B44*calcolo!N160)</f>
        <v/>
      </c>
      <c r="C69" s="195" t="n"/>
      <c r="D69" s="153" t="n"/>
      <c r="E69" s="153" t="n"/>
      <c r="F69" s="877" t="n">
        <v>0.15</v>
      </c>
      <c r="G69" s="879" t="n"/>
      <c r="H69" s="233">
        <f>IF(B69="",0,B69*F69)</f>
        <v/>
      </c>
      <c r="I69" s="194">
        <f>+I44</f>
        <v/>
      </c>
    </row>
    <row r="70">
      <c r="A70" s="153" t="inlineStr">
        <is>
          <t>taglio (€/foglio)</t>
        </is>
      </c>
      <c r="B70" s="204">
        <f>+IF(B45="","",B45*calcolo!N161)</f>
        <v/>
      </c>
      <c r="C70" s="195" t="n"/>
      <c r="D70" s="153" t="n"/>
      <c r="E70" s="153" t="n"/>
      <c r="F70" s="877" t="n">
        <v>0.15</v>
      </c>
      <c r="G70" s="879" t="n"/>
      <c r="H70" s="233">
        <f>IF(B70="",0,B70*F70)</f>
        <v/>
      </c>
      <c r="I70" s="194">
        <f>+I45</f>
        <v/>
      </c>
    </row>
    <row r="71">
      <c r="A71" s="153" t="inlineStr">
        <is>
          <t>taglio (€/foglio)</t>
        </is>
      </c>
      <c r="B71" s="204">
        <f>+B46</f>
        <v/>
      </c>
      <c r="C71" s="195" t="n"/>
      <c r="D71" s="153" t="n"/>
      <c r="E71" s="153" t="n"/>
      <c r="F71" s="877" t="n">
        <v>0.15</v>
      </c>
      <c r="G71" s="879" t="n"/>
      <c r="H71" s="233">
        <f>IF(B71="",0,B71*F71)</f>
        <v/>
      </c>
      <c r="I71" s="194">
        <f>+I46</f>
        <v/>
      </c>
    </row>
    <row r="72">
      <c r="A72" s="153" t="inlineStr">
        <is>
          <t>taglio (€/foglio)</t>
        </is>
      </c>
      <c r="B72" s="204">
        <f>+B47</f>
        <v/>
      </c>
      <c r="C72" s="195" t="n"/>
      <c r="D72" s="153" t="n"/>
      <c r="E72" s="153" t="n"/>
      <c r="F72" s="877" t="n">
        <v>0.15</v>
      </c>
      <c r="G72" s="879" t="n"/>
      <c r="H72" s="233">
        <f>IF(B72="",0,B72*F72)</f>
        <v/>
      </c>
      <c r="I72" s="194">
        <f>+I47</f>
        <v/>
      </c>
    </row>
    <row r="73">
      <c r="A73" s="153" t="inlineStr">
        <is>
          <t>taglio (€/foglio)</t>
        </is>
      </c>
      <c r="B73" s="204">
        <f>+B48</f>
        <v/>
      </c>
      <c r="C73" s="195" t="n"/>
      <c r="D73" s="153" t="n"/>
      <c r="E73" s="153" t="n"/>
      <c r="F73" s="877" t="n">
        <v>0.15</v>
      </c>
      <c r="G73" s="879" t="n"/>
      <c r="H73" s="233">
        <f>IF(B73="",0,B73*F73)</f>
        <v/>
      </c>
      <c r="I73" s="194">
        <f>+I48</f>
        <v/>
      </c>
    </row>
    <row r="74">
      <c r="A74" s="153" t="inlineStr">
        <is>
          <t>taglio (€/foglio)</t>
        </is>
      </c>
      <c r="B74" s="204">
        <f>+B49</f>
        <v/>
      </c>
      <c r="C74" s="195" t="n"/>
      <c r="D74" s="153" t="n"/>
      <c r="E74" s="153" t="n"/>
      <c r="F74" s="877" t="n">
        <v>0.15</v>
      </c>
      <c r="G74" s="879" t="n"/>
      <c r="H74" s="233">
        <f>IF(B74="",0,B74*F74)</f>
        <v/>
      </c>
      <c r="I74" s="194">
        <f>+I49</f>
        <v/>
      </c>
    </row>
    <row r="75">
      <c r="A75" s="153" t="inlineStr">
        <is>
          <t>taglio (€/foglio)</t>
        </is>
      </c>
      <c r="B75" s="204">
        <f>+B50</f>
        <v/>
      </c>
      <c r="C75" s="195" t="n"/>
      <c r="D75" s="153" t="n"/>
      <c r="E75" s="153" t="n"/>
      <c r="F75" s="877" t="n">
        <v>0.15</v>
      </c>
      <c r="G75" s="879" t="n"/>
      <c r="H75" s="233">
        <f>IF(B75="",0,B75*F75)</f>
        <v/>
      </c>
      <c r="I75" s="194">
        <f>+I50</f>
        <v/>
      </c>
    </row>
    <row r="76">
      <c r="A76" s="153" t="inlineStr">
        <is>
          <t>taglio (€/foglio)</t>
        </is>
      </c>
      <c r="B76" s="204">
        <f>+B51</f>
        <v/>
      </c>
      <c r="C76" s="195" t="n"/>
      <c r="D76" s="153" t="n"/>
      <c r="E76" s="153" t="n"/>
      <c r="F76" s="877" t="n">
        <v>0.15</v>
      </c>
      <c r="G76" s="879" t="n"/>
      <c r="H76" s="233">
        <f>IF(B76="",0,B76*F76)</f>
        <v/>
      </c>
      <c r="I76" s="194">
        <f>+I51</f>
        <v/>
      </c>
    </row>
    <row r="77">
      <c r="A77" s="153" t="inlineStr">
        <is>
          <t>taglio (€/foglio)</t>
        </is>
      </c>
      <c r="B77" s="204">
        <f>+B52</f>
        <v/>
      </c>
      <c r="C77" s="195" t="n"/>
      <c r="D77" s="153" t="n"/>
      <c r="E77" s="153" t="n"/>
      <c r="F77" s="877" t="n">
        <v>0.15</v>
      </c>
      <c r="G77" s="879" t="n"/>
      <c r="H77" s="233">
        <f>IF(B77="",0,B77*F77)</f>
        <v/>
      </c>
      <c r="I77" s="194">
        <f>+I52</f>
        <v/>
      </c>
    </row>
    <row r="78">
      <c r="A78" s="153" t="inlineStr">
        <is>
          <t>taglio (€/foglio)</t>
        </is>
      </c>
      <c r="B78" s="204">
        <f>+B53</f>
        <v/>
      </c>
      <c r="C78" s="195" t="n"/>
      <c r="D78" s="153" t="n"/>
      <c r="E78" s="153" t="n"/>
      <c r="F78" s="877" t="n">
        <v>0.15</v>
      </c>
      <c r="G78" s="879" t="n"/>
      <c r="H78" s="233">
        <f>IF(B78="",0,B78*F78)</f>
        <v/>
      </c>
      <c r="I78" s="194">
        <f>+I53</f>
        <v/>
      </c>
    </row>
    <row r="79">
      <c r="A79" s="153" t="inlineStr">
        <is>
          <t>taglio (€/foglio)</t>
        </is>
      </c>
      <c r="B79" s="204">
        <f>+B54</f>
        <v/>
      </c>
      <c r="C79" s="195" t="n"/>
      <c r="D79" s="153" t="n"/>
      <c r="E79" s="153" t="n"/>
      <c r="F79" s="877" t="n">
        <v>0.15</v>
      </c>
      <c r="G79" s="879" t="n"/>
      <c r="H79" s="233">
        <f>IF(B79="",0,B79*F79)</f>
        <v/>
      </c>
      <c r="I79" s="194">
        <f>+I54</f>
        <v/>
      </c>
    </row>
    <row r="80">
      <c r="A80" s="153" t="inlineStr">
        <is>
          <t>taglio (€/foglio)</t>
        </is>
      </c>
      <c r="B80" s="204">
        <f>+B55</f>
        <v/>
      </c>
      <c r="C80" s="195" t="n"/>
      <c r="D80" s="153" t="n"/>
      <c r="E80" s="153" t="n"/>
      <c r="F80" s="877" t="n">
        <v>0.15</v>
      </c>
      <c r="G80" s="879" t="n"/>
      <c r="H80" s="233">
        <f>IF(B80="",0,B80*F80)</f>
        <v/>
      </c>
      <c r="I80" s="194">
        <f>+I55</f>
        <v/>
      </c>
    </row>
    <row r="81">
      <c r="A81" s="153" t="inlineStr">
        <is>
          <t>taglio (€/foglio)</t>
        </is>
      </c>
      <c r="B81" s="204">
        <f>+B56</f>
        <v/>
      </c>
      <c r="C81" s="195" t="n"/>
      <c r="D81" s="153" t="n"/>
      <c r="E81" s="153" t="n"/>
      <c r="F81" s="877" t="n">
        <v>0.15</v>
      </c>
      <c r="G81" s="879" t="n"/>
      <c r="H81" s="233">
        <f>IF(B81="",0,B81*F81)</f>
        <v/>
      </c>
      <c r="I81" s="194">
        <f>+I56</f>
        <v/>
      </c>
    </row>
    <row r="82">
      <c r="A82" s="153" t="inlineStr">
        <is>
          <t>taglio (€/foglio)</t>
        </is>
      </c>
      <c r="B82" s="204">
        <f>+IF(B57="","",B57*calcolo!N190)</f>
        <v/>
      </c>
      <c r="C82" s="195" t="n"/>
      <c r="D82" s="153" t="n"/>
      <c r="E82" s="153" t="n"/>
      <c r="F82" s="877" t="n">
        <v>0.15</v>
      </c>
      <c r="G82" s="879" t="n"/>
      <c r="H82" s="233">
        <f>IF(B82="",0,B82*F82)</f>
        <v/>
      </c>
      <c r="I82" s="194">
        <f>+I57</f>
        <v/>
      </c>
    </row>
    <row r="83">
      <c r="A83" s="153" t="inlineStr">
        <is>
          <t>incollaggi</t>
        </is>
      </c>
      <c r="B83" s="204" t="n">
        <v>1</v>
      </c>
      <c r="C83" s="195" t="n"/>
      <c r="D83" s="153" t="n"/>
      <c r="E83" s="153" t="n"/>
      <c r="F83" s="877">
        <f>+calcolo!H165+calcolo!H166+calcolo!H177</f>
        <v/>
      </c>
      <c r="G83" s="879" t="n"/>
      <c r="H83" s="233">
        <f>+F83*B83</f>
        <v/>
      </c>
      <c r="I83" s="194" t="n"/>
    </row>
    <row r="84">
      <c r="A84" s="153" t="inlineStr">
        <is>
          <t>scatola + Embalagem em caixa</t>
        </is>
      </c>
      <c r="B84" s="204" t="n">
        <v>1</v>
      </c>
      <c r="C84" s="195" t="n"/>
      <c r="D84" s="153" t="n"/>
      <c r="E84" s="153" t="n"/>
      <c r="F84" s="235">
        <f>calcolo!H60+calcolo!H194</f>
        <v/>
      </c>
      <c r="G84" s="236" t="n"/>
      <c r="H84" s="233">
        <f>B84*F84</f>
        <v/>
      </c>
      <c r="I84" s="194" t="n"/>
    </row>
    <row r="85">
      <c r="A85" s="153">
        <f>+calcolo!A195</f>
        <v/>
      </c>
      <c r="B85" s="204">
        <f>+N_PLT_1</f>
        <v/>
      </c>
      <c r="C85" s="195" t="n"/>
      <c r="D85" s="153" t="n"/>
      <c r="E85" s="153" t="n"/>
      <c r="F85" s="237">
        <f>+calcolo!F195</f>
        <v/>
      </c>
      <c r="G85" s="236" t="n"/>
      <c r="H85" s="233">
        <f>B85*F85</f>
        <v/>
      </c>
    </row>
    <row r="86">
      <c r="A86" s="153">
        <f>+calcolo!A196</f>
        <v/>
      </c>
      <c r="B86" s="204">
        <f>+N_PLT_2</f>
        <v/>
      </c>
      <c r="C86" s="195" t="n"/>
      <c r="D86" s="153" t="n"/>
      <c r="E86" s="153" t="n"/>
      <c r="F86" s="237">
        <f>+calcolo!F196</f>
        <v/>
      </c>
      <c r="G86" s="236" t="n"/>
      <c r="H86" s="233">
        <f>B86*F86</f>
        <v/>
      </c>
    </row>
    <row r="87">
      <c r="A87" s="153">
        <f>+calcolo!A197</f>
        <v/>
      </c>
      <c r="B87" s="204">
        <f>+N_PLT_3</f>
        <v/>
      </c>
      <c r="C87" s="195" t="n"/>
      <c r="D87" s="153" t="n"/>
      <c r="E87" s="153" t="n"/>
      <c r="F87" s="237">
        <f>+calcolo!F197</f>
        <v/>
      </c>
      <c r="G87" s="236" t="n"/>
      <c r="H87" s="233">
        <f>B87*F87</f>
        <v/>
      </c>
    </row>
    <row r="88">
      <c r="A88" s="153">
        <f>+calcolo!A198</f>
        <v/>
      </c>
      <c r="B88" s="204">
        <f>+N_PLT_4</f>
        <v/>
      </c>
      <c r="C88" s="195" t="n"/>
      <c r="D88" s="153" t="n"/>
      <c r="E88" s="153" t="n"/>
      <c r="F88" s="237">
        <f>+calcolo!F198</f>
        <v/>
      </c>
      <c r="G88" s="236" t="n"/>
      <c r="H88" s="233">
        <f>B88*F88</f>
        <v/>
      </c>
    </row>
    <row r="89">
      <c r="A89" s="153" t="inlineStr">
        <is>
          <t>Embalagem em pallet</t>
        </is>
      </c>
      <c r="B89" s="204">
        <f>+B85</f>
        <v/>
      </c>
      <c r="C89" s="195" t="n"/>
      <c r="D89" s="153" t="n"/>
      <c r="E89" s="153" t="n"/>
      <c r="F89" s="237">
        <f>+calcolo!F199</f>
        <v/>
      </c>
      <c r="G89" s="236" t="n"/>
      <c r="H89" s="233">
        <f>B89*F89</f>
        <v/>
      </c>
    </row>
    <row r="90">
      <c r="A90" s="153">
        <f>+dest1</f>
        <v/>
      </c>
      <c r="B90" s="204">
        <f>+calcolo!B200</f>
        <v/>
      </c>
      <c r="C90" s="195" t="n"/>
      <c r="D90" s="153" t="n"/>
      <c r="E90" s="153" t="n"/>
      <c r="F90" s="237">
        <f>+trasporto1</f>
        <v/>
      </c>
      <c r="G90" s="238" t="n"/>
      <c r="H90" s="233">
        <f>+F90*B90</f>
        <v/>
      </c>
    </row>
    <row r="91">
      <c r="A91" s="153">
        <f>+dest2</f>
        <v/>
      </c>
      <c r="B91" s="204">
        <f>+calcolo!B201</f>
        <v/>
      </c>
      <c r="C91" s="195" t="n"/>
      <c r="D91" s="153" t="n"/>
      <c r="E91" s="153" t="n"/>
      <c r="F91" s="237">
        <f>+trasporto2</f>
        <v/>
      </c>
      <c r="G91" s="238" t="n"/>
      <c r="H91" s="233">
        <f>+F91*B91</f>
        <v/>
      </c>
    </row>
    <row r="92" ht="13.5" customHeight="1" thickBot="1">
      <c r="A92" s="153">
        <f>+dest3</f>
        <v/>
      </c>
      <c r="B92" s="204">
        <f>+calcolo!B202</f>
        <v/>
      </c>
      <c r="C92" s="153" t="n"/>
      <c r="D92" s="153" t="n"/>
      <c r="E92" s="153" t="n"/>
      <c r="F92" s="235">
        <f>+trasporto3</f>
        <v/>
      </c>
      <c r="G92" s="236" t="n"/>
      <c r="H92" s="461">
        <f>+F92*B92</f>
        <v/>
      </c>
    </row>
    <row r="93" ht="13.5" customHeight="1" thickBot="1">
      <c r="F93" s="881" t="inlineStr">
        <is>
          <t>costi totali</t>
        </is>
      </c>
      <c r="G93" s="827" t="n"/>
      <c r="H93" s="239">
        <f>SUM(H4:H90)</f>
        <v/>
      </c>
    </row>
    <row r="94" ht="13.5" customHeight="1" thickBot="1">
      <c r="F94" s="882" t="n"/>
      <c r="G94" s="200" t="n"/>
      <c r="H94" s="883" t="n"/>
    </row>
    <row r="95" ht="13.5" customHeight="1" thickBot="1">
      <c r="F95" s="73" t="inlineStr">
        <is>
          <t>Custo Unitário</t>
        </is>
      </c>
      <c r="G95" s="57" t="n"/>
      <c r="H95" s="242">
        <f>+H93/QTA</f>
        <v/>
      </c>
    </row>
    <row r="96" ht="13.5" customHeight="1" thickBot="1">
      <c r="F96" s="243" t="n"/>
      <c r="G96" s="244" t="n"/>
      <c r="H96" s="884" t="n"/>
    </row>
    <row r="97">
      <c r="A97" s="200" t="n"/>
      <c r="B97" s="200" t="n"/>
      <c r="C97" s="61" t="n"/>
      <c r="D97" s="18" t="inlineStr">
        <is>
          <t>Quantidade</t>
        </is>
      </c>
      <c r="E97" s="200" t="n"/>
      <c r="F97" s="130" t="inlineStr">
        <is>
          <t>Quantidade</t>
        </is>
      </c>
      <c r="G97" s="130" t="inlineStr">
        <is>
          <t>Quantidade</t>
        </is>
      </c>
      <c r="H97" s="130" t="inlineStr">
        <is>
          <t>Quantidade</t>
        </is>
      </c>
    </row>
    <row r="98" ht="13.5" customHeight="1" thickBot="1">
      <c r="A98" s="200" t="n"/>
      <c r="B98" s="200" t="n"/>
      <c r="C98" s="246" t="n"/>
      <c r="D98" s="247">
        <f>+QTA</f>
        <v/>
      </c>
      <c r="E98" s="200" t="n"/>
      <c r="F98" s="248" t="n">
        <v>175</v>
      </c>
      <c r="G98" s="248" t="n">
        <v>75</v>
      </c>
      <c r="H98" s="248" t="n">
        <v>25</v>
      </c>
    </row>
    <row r="99" ht="13.5" customHeight="1" thickBot="1">
      <c r="A99" s="195" t="inlineStr">
        <is>
          <t xml:space="preserve">Preço de Venda      </t>
        </is>
      </c>
      <c r="B99" s="249">
        <f>+calcolo!B215+5%</f>
        <v/>
      </c>
      <c r="C99" s="250" t="n"/>
      <c r="D99" s="885">
        <f>+H95*B99+H95</f>
        <v/>
      </c>
      <c r="E99" s="200" t="n"/>
      <c r="F99" s="886" t="n"/>
      <c r="G99" s="886" t="n"/>
      <c r="H99" s="886" t="n"/>
    </row>
    <row r="100">
      <c r="A100" s="195" t="inlineStr">
        <is>
          <t>Transporte frete destino</t>
        </is>
      </c>
      <c r="B100" s="249">
        <f>+calcolo!B216</f>
        <v/>
      </c>
      <c r="C100" s="131">
        <f>+B100*D99</f>
        <v/>
      </c>
      <c r="D100" s="887">
        <f>B100*D99</f>
        <v/>
      </c>
      <c r="E100" s="254" t="inlineStr">
        <is>
          <t>TOTALE</t>
        </is>
      </c>
      <c r="F100" s="888">
        <f>+F99*F98</f>
        <v/>
      </c>
      <c r="G100" s="888">
        <f>+G99*G98</f>
        <v/>
      </c>
      <c r="H100" s="888">
        <f>+H99*H98</f>
        <v/>
      </c>
    </row>
    <row r="101" ht="16.5" customHeight="1">
      <c r="A101" s="195" t="inlineStr">
        <is>
          <t>Comissão</t>
        </is>
      </c>
      <c r="B101" s="249">
        <f>+calcolo!B217</f>
        <v/>
      </c>
      <c r="C101" s="250" t="n"/>
      <c r="D101" s="887">
        <f>B101*D99</f>
        <v/>
      </c>
      <c r="E101" s="256" t="inlineStr">
        <is>
          <t>PREZZO AL 1000</t>
        </is>
      </c>
      <c r="F101" s="889">
        <f>+F99*1000</f>
        <v/>
      </c>
      <c r="G101" s="889">
        <f>+G99*1000</f>
        <v/>
      </c>
      <c r="H101" s="889">
        <f>+H99*1000</f>
        <v/>
      </c>
    </row>
    <row r="102" ht="13.5" customHeight="1" thickBot="1">
      <c r="A102" s="195" t="inlineStr">
        <is>
          <t>ENCARGOS FINANCEIROS</t>
        </is>
      </c>
      <c r="B102" s="249">
        <f>+calcolo!B218</f>
        <v/>
      </c>
      <c r="C102" s="250" t="n"/>
      <c r="D102" s="890">
        <f>B102*D99</f>
        <v/>
      </c>
    </row>
    <row r="103" ht="13.5" customHeight="1" thickBot="1">
      <c r="A103" s="58" t="inlineStr">
        <is>
          <t>PREÇO DE VENDA UNITÁRIO TOTAL</t>
        </is>
      </c>
      <c r="B103" s="59" t="n"/>
      <c r="C103" s="60" t="n"/>
      <c r="D103" s="891">
        <f>D102+D101+D100+D99</f>
        <v/>
      </c>
    </row>
  </sheetData>
  <mergeCells count="3">
    <mergeCell ref="A1:I1"/>
    <mergeCell ref="I2:I3"/>
    <mergeCell ref="F93:G93"/>
  </mergeCells>
  <conditionalFormatting sqref="F4:F32">
    <cfRule type="containsErrors" priority="6" dxfId="184">
      <formula>ISERROR(F4)</formula>
    </cfRule>
  </conditionalFormatting>
  <conditionalFormatting sqref="G4:G27">
    <cfRule type="cellIs" priority="7" operator="lessThan" dxfId="181" stopIfTrue="1">
      <formula>250</formula>
    </cfRule>
  </conditionalFormatting>
  <conditionalFormatting sqref="G28:G30">
    <cfRule type="cellIs" priority="2" operator="lessThan" dxfId="181" stopIfTrue="1">
      <formula>500</formula>
    </cfRule>
  </conditionalFormatting>
  <conditionalFormatting sqref="G31">
    <cfRule type="cellIs" priority="1" operator="lessThan" dxfId="181" stopIfTrue="1">
      <formula>250</formula>
    </cfRule>
  </conditionalFormatting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3">
    <outlinePr summaryBelow="1" summaryRight="1"/>
    <pageSetUpPr/>
  </sheetPr>
  <dimension ref="A1:H34"/>
  <sheetViews>
    <sheetView topLeftCell="A21" zoomScaleNormal="100" workbookViewId="0">
      <selection activeCell="H34" sqref="A1:H34"/>
    </sheetView>
  </sheetViews>
  <sheetFormatPr baseColWidth="8" defaultRowHeight="12.75"/>
  <cols>
    <col width="11.140625" customWidth="1" min="1" max="1"/>
    <col width="11" customWidth="1" min="2" max="8"/>
    <col width="4.140625" customWidth="1" min="9" max="9"/>
  </cols>
  <sheetData>
    <row r="1">
      <c r="A1" s="694">
        <f>CONCATENATE(+calcolo!A6," rif. ",+calcolo!B6)</f>
        <v/>
      </c>
    </row>
    <row r="2">
      <c r="A2" s="92" t="n"/>
      <c r="B2" s="92" t="n"/>
      <c r="C2" s="92" t="n"/>
      <c r="D2" s="92" t="n"/>
      <c r="E2" s="92" t="n"/>
      <c r="F2" s="92" t="n"/>
      <c r="G2" s="92" t="n"/>
      <c r="H2" s="92" t="n"/>
    </row>
    <row r="3">
      <c r="A3" s="92" t="n"/>
      <c r="B3" s="106" t="inlineStr">
        <is>
          <t xml:space="preserve">Cliente: </t>
        </is>
      </c>
      <c r="C3" s="695">
        <f>+calcolo!A6</f>
        <v/>
      </c>
      <c r="G3" s="108" t="inlineStr">
        <is>
          <t>data:</t>
        </is>
      </c>
      <c r="H3" s="107">
        <f>TODAY()</f>
        <v/>
      </c>
    </row>
    <row r="4" ht="13.5" customHeight="1" thickBot="1">
      <c r="A4" s="92" t="n"/>
      <c r="B4" s="92" t="n"/>
      <c r="C4" s="92" t="n"/>
      <c r="D4" s="92" t="n"/>
      <c r="E4" s="92" t="n"/>
      <c r="F4" s="92" t="n"/>
      <c r="G4" s="92" t="n"/>
      <c r="H4" s="92" t="n"/>
    </row>
    <row r="5" ht="5.25" customHeight="1">
      <c r="A5" s="93" t="n"/>
      <c r="B5" s="94" t="n"/>
      <c r="C5" s="95" t="n"/>
      <c r="D5" s="95" t="n"/>
      <c r="E5" s="95" t="n"/>
      <c r="F5" s="95" t="n"/>
      <c r="G5" s="95" t="n"/>
      <c r="H5" s="96" t="n"/>
    </row>
    <row r="6" ht="15" customHeight="1">
      <c r="A6" s="93" t="n"/>
      <c r="B6" s="892" t="inlineStr">
        <is>
          <t>Descrizione articolo</t>
        </is>
      </c>
      <c r="H6" s="767" t="n"/>
    </row>
    <row r="7" ht="12" customHeight="1">
      <c r="A7" s="93" t="n"/>
      <c r="B7" s="893">
        <f>calcolo!A10</f>
        <v/>
      </c>
      <c r="H7" s="767" t="n"/>
    </row>
    <row r="8" ht="15" customHeight="1">
      <c r="A8" s="93" t="n"/>
      <c r="B8" s="894">
        <f>calcolo!A11</f>
        <v/>
      </c>
      <c r="H8" s="767" t="n"/>
    </row>
    <row r="9" ht="15" customHeight="1">
      <c r="A9" s="93" t="n"/>
      <c r="B9" s="895" t="n"/>
      <c r="H9" s="767" t="n"/>
    </row>
    <row r="10" ht="15" customHeight="1">
      <c r="A10" s="93" t="n"/>
      <c r="B10" s="895" t="n"/>
      <c r="H10" s="767" t="n"/>
    </row>
    <row r="11" ht="15" customHeight="1">
      <c r="A11" s="93" t="n"/>
      <c r="B11" s="895" t="n"/>
      <c r="H11" s="767" t="n"/>
    </row>
    <row r="12" ht="15" customHeight="1" thickBot="1">
      <c r="A12" s="93" t="n"/>
      <c r="B12" s="896" t="n"/>
      <c r="C12" s="769" t="n"/>
      <c r="D12" s="769" t="n"/>
      <c r="E12" s="769" t="n"/>
      <c r="F12" s="769" t="n"/>
      <c r="G12" s="769" t="n"/>
      <c r="H12" s="770" t="n"/>
    </row>
    <row r="13" ht="6.75" customHeight="1">
      <c r="A13" s="93" t="n"/>
      <c r="B13" s="93" t="n"/>
      <c r="C13" s="93" t="n"/>
      <c r="D13" s="93" t="n"/>
      <c r="E13" s="93" t="n"/>
      <c r="F13" s="93" t="n"/>
      <c r="G13" s="93" t="n"/>
      <c r="H13" s="93" t="n"/>
    </row>
    <row r="14">
      <c r="A14" s="93" t="n"/>
      <c r="B14" s="100" t="inlineStr">
        <is>
          <t>Prezzi €/cad</t>
        </is>
      </c>
      <c r="C14" s="93" t="n"/>
      <c r="D14" s="93" t="n"/>
      <c r="E14" s="93" t="n"/>
      <c r="F14" s="93" t="n"/>
      <c r="G14" s="93" t="n"/>
      <c r="H14" s="93" t="n"/>
    </row>
    <row r="15" ht="15.75" customHeight="1">
      <c r="A15" s="93" t="n"/>
      <c r="B15" s="134">
        <f>+calcolo!E212</f>
        <v/>
      </c>
      <c r="C15" s="134">
        <f>+calcolo!F212</f>
        <v/>
      </c>
      <c r="D15" s="134">
        <f>+calcolo!G212</f>
        <v/>
      </c>
      <c r="E15" s="134">
        <f>+calcolo!H212</f>
        <v/>
      </c>
      <c r="F15" s="135">
        <f>calcolo!C203</f>
        <v/>
      </c>
      <c r="G15" s="135">
        <f>calcolo!D203</f>
        <v/>
      </c>
      <c r="H15" s="135">
        <f>calcolo!E203</f>
        <v/>
      </c>
    </row>
    <row r="16" ht="15" customHeight="1">
      <c r="A16" s="93" t="n"/>
      <c r="B16" s="703" t="inlineStr">
        <is>
          <t>Q.ty</t>
        </is>
      </c>
      <c r="C16" s="703" t="inlineStr">
        <is>
          <t>Q.ty</t>
        </is>
      </c>
      <c r="D16" s="703" t="inlineStr">
        <is>
          <t>Q.ty</t>
        </is>
      </c>
      <c r="E16" s="703" t="inlineStr">
        <is>
          <t>Q.ty</t>
        </is>
      </c>
      <c r="F16" s="703" t="inlineStr">
        <is>
          <t>Q.ty</t>
        </is>
      </c>
      <c r="G16" s="703" t="inlineStr">
        <is>
          <t>Q.ty</t>
        </is>
      </c>
      <c r="H16" s="703" t="inlineStr">
        <is>
          <t>Q.ty</t>
        </is>
      </c>
    </row>
    <row r="17" ht="16.5" customHeight="1">
      <c r="A17" s="93" t="n"/>
      <c r="B17" s="478">
        <f>+calcolo!E214</f>
        <v/>
      </c>
      <c r="C17" s="478">
        <f>+calcolo!F214</f>
        <v/>
      </c>
      <c r="D17" s="478">
        <f>+calcolo!G214</f>
        <v/>
      </c>
      <c r="E17" s="478">
        <f>+calcolo!H214</f>
        <v/>
      </c>
      <c r="F17" s="478">
        <f>+calcolo!C205</f>
        <v/>
      </c>
      <c r="G17" s="478">
        <f>+calcolo!D205</f>
        <v/>
      </c>
      <c r="H17" s="478">
        <f>+calcolo!E205</f>
        <v/>
      </c>
    </row>
    <row r="18" ht="16.5" customHeight="1">
      <c r="B18" s="897">
        <f>+calcolo!E219</f>
        <v/>
      </c>
      <c r="C18" s="897">
        <f>+calcolo!F219</f>
        <v/>
      </c>
      <c r="D18" s="897">
        <f>+calcolo!G219</f>
        <v/>
      </c>
      <c r="E18" s="897">
        <f>+calcolo!H219</f>
        <v/>
      </c>
      <c r="F18" s="897">
        <f>+calcolo!C208</f>
        <v/>
      </c>
      <c r="G18" s="897">
        <f>+calcolo!D208</f>
        <v/>
      </c>
      <c r="H18" s="897">
        <f>+calcolo!E208</f>
        <v/>
      </c>
    </row>
    <row r="19" ht="18.75" customHeight="1">
      <c r="A19" s="93" t="n"/>
      <c r="B19" s="898">
        <f>B17*B18</f>
        <v/>
      </c>
      <c r="C19" s="898">
        <f>C17*C18</f>
        <v/>
      </c>
      <c r="D19" s="898">
        <f>D17*D18</f>
        <v/>
      </c>
      <c r="E19" s="898">
        <f>E17*E18</f>
        <v/>
      </c>
      <c r="F19" s="898">
        <f>F17*F18</f>
        <v/>
      </c>
      <c r="G19" s="898">
        <f>G17*G18</f>
        <v/>
      </c>
      <c r="H19" s="898">
        <f>H17*H18</f>
        <v/>
      </c>
    </row>
    <row r="20" ht="29.25" customHeight="1">
      <c r="A20" s="93" t="n"/>
      <c r="B20" s="899" t="inlineStr">
        <is>
          <t>Attrezzature / Accessori</t>
        </is>
      </c>
      <c r="C20" s="835" t="n"/>
      <c r="D20" s="835" t="n"/>
      <c r="E20" s="802" t="n"/>
      <c r="F20" s="100" t="inlineStr">
        <is>
          <t>Q.ty</t>
        </is>
      </c>
      <c r="G20" s="900" t="inlineStr">
        <is>
          <t>Prezzo Unit.</t>
        </is>
      </c>
      <c r="H20" s="901" t="inlineStr">
        <is>
          <t>Valor</t>
        </is>
      </c>
    </row>
    <row r="21" ht="20.1" customHeight="1">
      <c r="A21" s="93" t="n"/>
      <c r="B21" s="902">
        <f>+calcolo!A226</f>
        <v/>
      </c>
      <c r="C21" s="835" t="n"/>
      <c r="D21" s="835" t="n"/>
      <c r="E21" s="802" t="n"/>
      <c r="F21" s="479">
        <f>IF(+calcolo!B226=0,"",+calcolo!B226)</f>
        <v/>
      </c>
      <c r="G21" s="903">
        <f>IF(+calcolo!F226=0,"",+calcolo!F226)</f>
        <v/>
      </c>
      <c r="H21" s="904">
        <f>IF(+calcolo!H226=0,"",+calcolo!H226)</f>
        <v/>
      </c>
    </row>
    <row r="22" ht="20.1" customHeight="1">
      <c r="A22" s="93" t="n"/>
      <c r="B22" s="905">
        <f>+calcolo!A227</f>
        <v/>
      </c>
      <c r="C22" s="835" t="n"/>
      <c r="D22" s="835" t="n"/>
      <c r="E22" s="802" t="n"/>
      <c r="F22" s="480">
        <f>+calcolo!B227</f>
        <v/>
      </c>
      <c r="G22" s="903">
        <f>IF(+calcolo!F227=0,"",+calcolo!F227)</f>
        <v/>
      </c>
      <c r="H22" s="904">
        <f>IF(+calcolo!H227=0,"",+calcolo!H227)</f>
        <v/>
      </c>
    </row>
    <row r="23" ht="20.1" customHeight="1">
      <c r="A23" s="93" t="n"/>
      <c r="B23" s="905">
        <f>+calcolo!A228</f>
        <v/>
      </c>
      <c r="C23" s="835" t="n"/>
      <c r="D23" s="835" t="n"/>
      <c r="E23" s="802" t="n"/>
      <c r="F23" s="479">
        <f>IF(+calcolo!B228=0,"",+calcolo!B228)</f>
        <v/>
      </c>
      <c r="G23" s="903">
        <f>IF(+calcolo!F228=0,"",+calcolo!F228)</f>
        <v/>
      </c>
      <c r="H23" s="904">
        <f>IF(+calcolo!H228=0,"",+calcolo!H228)</f>
        <v/>
      </c>
    </row>
    <row r="24" ht="22.5" customHeight="1">
      <c r="A24" s="93" t="n"/>
      <c r="B24" s="905">
        <f>+calcolo!A229</f>
        <v/>
      </c>
      <c r="C24" s="835" t="n"/>
      <c r="D24" s="835" t="n"/>
      <c r="E24" s="802" t="n"/>
      <c r="F24" s="479">
        <f>IF(+calcolo!B229=0,"",+calcolo!B229)</f>
        <v/>
      </c>
      <c r="G24" s="903">
        <f>IF(+calcolo!F229=0,"",+calcolo!F229)</f>
        <v/>
      </c>
      <c r="H24" s="904">
        <f>IF(+calcolo!H229=0,"",+calcolo!H229)</f>
        <v/>
      </c>
    </row>
    <row r="25" ht="22.5" customHeight="1">
      <c r="A25" s="93" t="n"/>
      <c r="B25" s="905">
        <f>+calcolo!A230</f>
        <v/>
      </c>
      <c r="C25" s="835" t="n"/>
      <c r="D25" s="835" t="n"/>
      <c r="E25" s="802" t="n"/>
      <c r="F25" s="479">
        <f>IF(+calcolo!B230=0,"",+calcolo!B230)</f>
        <v/>
      </c>
      <c r="G25" s="903">
        <f>IF(+calcolo!F230=0,"",+calcolo!F230)</f>
        <v/>
      </c>
      <c r="H25" s="904">
        <f>IF(+calcolo!H230=0,"",+calcolo!H230)</f>
        <v/>
      </c>
    </row>
    <row r="26" ht="9.949999999999999" customHeight="1">
      <c r="A26" s="93" t="n"/>
      <c r="B26" s="97" t="n"/>
      <c r="C26" s="98" t="n"/>
      <c r="D26" s="906" t="n"/>
      <c r="E26" s="906" t="n"/>
      <c r="F26" s="906" t="n"/>
      <c r="G26" s="906" t="n"/>
      <c r="H26" s="906" t="n"/>
    </row>
    <row r="27" ht="17.1" customHeight="1">
      <c r="A27" s="93" t="n"/>
      <c r="B27" s="714">
        <f>+calcolo!A234</f>
        <v/>
      </c>
      <c r="C27" s="802" t="n"/>
      <c r="D27" s="714">
        <f>+calcolo!B234</f>
        <v/>
      </c>
      <c r="E27" s="835" t="n"/>
      <c r="F27" s="835" t="n"/>
      <c r="G27" s="835" t="n"/>
      <c r="H27" s="802" t="n"/>
    </row>
    <row r="28" ht="17.1" customHeight="1">
      <c r="A28" s="93" t="n"/>
      <c r="B28" s="714">
        <f>+calcolo!A235</f>
        <v/>
      </c>
      <c r="C28" s="802" t="n"/>
      <c r="D28" s="714">
        <f>calcolo!B235</f>
        <v/>
      </c>
      <c r="E28" s="835" t="n"/>
      <c r="F28" s="835" t="n"/>
      <c r="G28" s="835" t="n"/>
      <c r="H28" s="802" t="n"/>
    </row>
    <row r="29" ht="17.1" customHeight="1">
      <c r="A29" s="93" t="n"/>
      <c r="B29" s="714">
        <f>+calcolo!A236</f>
        <v/>
      </c>
      <c r="C29" s="802" t="n"/>
      <c r="D29" s="714">
        <f>calcolo!B236</f>
        <v/>
      </c>
      <c r="E29" s="835" t="n"/>
      <c r="F29" s="835" t="n"/>
      <c r="G29" s="802" t="n"/>
      <c r="H29" s="907" t="n"/>
    </row>
    <row r="30" ht="7.5" customHeight="1">
      <c r="A30" s="93" t="n"/>
      <c r="B30" s="93" t="n"/>
      <c r="C30" s="93" t="n"/>
      <c r="D30" s="102" t="n"/>
      <c r="E30" s="102" t="n"/>
      <c r="F30" s="102" t="n"/>
      <c r="G30" s="102" t="n"/>
      <c r="H30" s="102" t="n"/>
    </row>
    <row r="31" ht="9.949999999999999" customHeight="1">
      <c r="A31" s="93" t="n"/>
      <c r="B31" s="93" t="n"/>
      <c r="C31" s="93" t="n"/>
      <c r="D31" s="93" t="n"/>
      <c r="E31" s="93" t="n"/>
      <c r="F31" s="93" t="n"/>
      <c r="G31" s="93" t="n"/>
      <c r="H31" s="93" t="n"/>
    </row>
    <row r="32">
      <c r="A32" s="93" t="n"/>
      <c r="B32" s="103" t="inlineStr">
        <is>
          <t>NOTE</t>
        </is>
      </c>
      <c r="C32" s="93" t="n"/>
      <c r="D32" s="93" t="n"/>
      <c r="E32" s="93" t="n"/>
      <c r="F32" s="93" t="n"/>
      <c r="G32" s="93" t="n"/>
      <c r="H32" s="93" t="n"/>
    </row>
    <row r="33" ht="42.75" customHeight="1">
      <c r="A33" s="93" t="n"/>
      <c r="B33" s="908">
        <f>calcolo!A231</f>
        <v/>
      </c>
      <c r="C33" s="835" t="n"/>
      <c r="D33" s="835" t="n"/>
      <c r="E33" s="835" t="n"/>
      <c r="F33" s="835" t="n"/>
      <c r="G33" s="835" t="n"/>
      <c r="H33" s="802" t="n"/>
    </row>
    <row r="34">
      <c r="A34" s="92" t="n"/>
      <c r="B34" s="92" t="n"/>
      <c r="C34" s="92" t="n"/>
      <c r="D34" s="92" t="n"/>
      <c r="E34" s="92" t="n"/>
      <c r="F34" s="92" t="n"/>
      <c r="G34" s="92" t="n"/>
      <c r="H34" s="92" t="n"/>
    </row>
  </sheetData>
  <mergeCells count="18">
    <mergeCell ref="A1:H1"/>
    <mergeCell ref="B23:E23"/>
    <mergeCell ref="C3:F3"/>
    <mergeCell ref="B29:C29"/>
    <mergeCell ref="D29:G29"/>
    <mergeCell ref="B8:H12"/>
    <mergeCell ref="B21:E21"/>
    <mergeCell ref="D28:H28"/>
    <mergeCell ref="B28:C28"/>
    <mergeCell ref="D27:H27"/>
    <mergeCell ref="B6:H6"/>
    <mergeCell ref="B25:E25"/>
    <mergeCell ref="B24:E24"/>
    <mergeCell ref="B33:H33"/>
    <mergeCell ref="B20:E20"/>
    <mergeCell ref="B27:C27"/>
    <mergeCell ref="B7:H7"/>
    <mergeCell ref="B22:E22"/>
  </mergeCells>
  <conditionalFormatting sqref="A1:H19">
    <cfRule type="cellIs" priority="1" operator="equal" dxfId="179">
      <formula>0</formula>
    </cfRule>
  </conditionalFormatting>
  <conditionalFormatting sqref="B16:H16">
    <cfRule type="expression" priority="2" dxfId="179">
      <formula>B17=0</formula>
    </cfRule>
  </conditionalFormatting>
  <pageMargins left="0.75" right="0.75" top="1" bottom="1" header="0.5" footer="0.5"/>
  <pageSetup orientation="portrait" paperSize="9" scale="57"/>
</worksheet>
</file>

<file path=xl/worksheets/sheet5.xml><?xml version="1.0" encoding="utf-8"?>
<worksheet xmlns="http://schemas.openxmlformats.org/spreadsheetml/2006/main">
  <sheetPr codeName="Sheet4">
    <tabColor rgb="FFFF0000"/>
    <outlinePr summaryBelow="1" summaryRight="1"/>
    <pageSetUpPr/>
  </sheetPr>
  <dimension ref="A1:D11"/>
  <sheetViews>
    <sheetView workbookViewId="0">
      <selection activeCell="C2" sqref="C2"/>
    </sheetView>
  </sheetViews>
  <sheetFormatPr baseColWidth="8" defaultColWidth="9.140625" defaultRowHeight="12.75"/>
  <cols>
    <col width="9.140625" customWidth="1" style="152" min="1" max="1"/>
    <col width="12.7109375" bestFit="1" customWidth="1" style="152" min="2" max="2"/>
    <col width="12.5703125" bestFit="1" customWidth="1" style="152" min="3" max="3"/>
    <col width="12.140625" bestFit="1" customWidth="1" style="152" min="4" max="4"/>
    <col width="9.140625" customWidth="1" style="152" min="5" max="16384"/>
  </cols>
  <sheetData>
    <row r="1"/>
    <row r="2">
      <c r="B2" s="447" t="inlineStr">
        <is>
          <t>FORNITORE</t>
        </is>
      </c>
      <c r="C2" s="447" t="n"/>
    </row>
    <row r="3"/>
    <row r="4">
      <c r="B4" s="200" t="inlineStr">
        <is>
          <t>QUANTITÀ</t>
        </is>
      </c>
      <c r="C4" s="200" t="inlineStr">
        <is>
          <t>€/CAD.</t>
        </is>
      </c>
      <c r="D4" s="200" t="inlineStr">
        <is>
          <t>TRASPORTO</t>
        </is>
      </c>
    </row>
    <row r="5"/>
    <row r="6"/>
    <row r="7"/>
    <row r="8"/>
    <row r="9"/>
    <row r="10"/>
    <row r="11"/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5">
    <tabColor rgb="FFFFFF00"/>
    <outlinePr summaryBelow="1" summaryRight="1"/>
    <pageSetUpPr/>
  </sheetPr>
  <dimension ref="A1:A1"/>
  <sheetViews>
    <sheetView workbookViewId="0">
      <selection activeCell="D26" sqref="D26"/>
    </sheetView>
  </sheetViews>
  <sheetFormatPr baseColWidth="8" defaultColWidth="9.140625" defaultRowHeight="12.75"/>
  <cols>
    <col width="9.140625" customWidth="1" style="152" min="1" max="16384"/>
  </cols>
  <sheetData/>
  <pageMargins left="0.75" right="0.75" top="1" bottom="1" header="0.5" footer="0.5"/>
  <pageSetup orientation="portrait" paperSize="9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6">
    <tabColor theme="3" tint="0.3999755851924192"/>
    <outlinePr summaryBelow="1" summaryRight="1"/>
    <pageSetUpPr/>
  </sheetPr>
  <dimension ref="A1:B2"/>
  <sheetViews>
    <sheetView workbookViewId="0">
      <selection activeCell="B3" sqref="B3"/>
    </sheetView>
  </sheetViews>
  <sheetFormatPr baseColWidth="8" defaultColWidth="9.140625" defaultRowHeight="12.75"/>
  <cols>
    <col width="9.140625" customWidth="1" style="152" min="1" max="16384"/>
  </cols>
  <sheetData>
    <row r="1"/>
    <row r="2">
      <c r="B2" s="574" t="inlineStr">
        <is>
          <t>https://app.asana.com/1/1205363895904119/project/1207654628292935/task/1214613792712721?focus=true</t>
        </is>
      </c>
    </row>
  </sheetData>
  <hyperlinks>
    <hyperlink xmlns:r="http://schemas.openxmlformats.org/officeDocument/2006/relationships" ref="B2" r:id="rId1"/>
  </hyperlinks>
  <pageMargins left="0.7" right="0.7" top="0.75" bottom="0.75" header="0.3" footer="0.3"/>
  <pageSetup orientation="portrait" paperSize="9"/>
</worksheet>
</file>

<file path=xl/worksheets/sheet8.xml><?xml version="1.0" encoding="utf-8"?>
<worksheet xmlns="http://schemas.openxmlformats.org/spreadsheetml/2006/main">
  <sheetPr codeName="Sheet7">
    <tabColor rgb="FF92D050"/>
    <outlinePr summaryBelow="1" summaryRight="1"/>
    <pageSetUpPr/>
  </sheetPr>
  <dimension ref="A1:AI326"/>
  <sheetViews>
    <sheetView showGridLines="0" workbookViewId="0">
      <selection activeCell="A1" sqref="A1"/>
    </sheetView>
  </sheetViews>
  <sheetFormatPr baseColWidth="8" defaultRowHeight="12.75"/>
  <cols>
    <col width="38.140625" bestFit="1" customWidth="1" min="1" max="1"/>
    <col width="13.140625" bestFit="1" customWidth="1" min="2" max="2"/>
    <col width="16.28515625" bestFit="1" customWidth="1" min="3" max="3"/>
    <col width="16.140625" bestFit="1" customWidth="1" min="4" max="4"/>
    <col width="16.140625" customWidth="1" style="909" min="5" max="5"/>
    <col width="14.28515625" bestFit="1" customWidth="1" style="909" min="6" max="6"/>
    <col width="16.85546875" customWidth="1" style="909" min="7" max="7"/>
    <col width="39.140625" bestFit="1" customWidth="1" min="8" max="8"/>
    <col width="31.5703125" bestFit="1" customWidth="1" min="9" max="9"/>
    <col width="16.85546875" bestFit="1" customWidth="1" min="10" max="10"/>
    <col width="23.7109375" bestFit="1" customWidth="1" min="11" max="11"/>
    <col width="27.5703125" bestFit="1" customWidth="1" min="12" max="12"/>
    <col width="19.42578125" bestFit="1" customWidth="1" min="13" max="13"/>
    <col width="22.140625" bestFit="1" customWidth="1" min="14" max="14"/>
    <col width="39.140625" bestFit="1" customWidth="1" min="15" max="15"/>
    <col width="13.140625" bestFit="1" customWidth="1" min="16" max="16"/>
    <col width="14.42578125" bestFit="1" customWidth="1" min="17" max="17"/>
    <col width="12.140625" bestFit="1" customWidth="1" min="18" max="18"/>
    <col width="14" bestFit="1" customWidth="1" min="19" max="19"/>
    <col width="16.5703125" bestFit="1" customWidth="1" min="20" max="20"/>
    <col width="19.42578125" bestFit="1" customWidth="1" min="21" max="21"/>
    <col width="11.7109375" customWidth="1" min="22" max="22"/>
    <col width="12.7109375" customWidth="1" min="23" max="23"/>
    <col width="23.7109375" bestFit="1" customWidth="1" min="24" max="24"/>
    <col width="11" bestFit="1" customWidth="1" min="25" max="25"/>
    <col width="22.140625" bestFit="1" customWidth="1" min="26" max="26"/>
    <col width="27.85546875" bestFit="1" customWidth="1" min="28" max="28"/>
    <col width="11" bestFit="1" customWidth="1" min="29" max="29"/>
    <col width="20.85546875" bestFit="1" customWidth="1" min="30" max="30"/>
    <col width="29" bestFit="1" customWidth="1" min="31" max="31"/>
    <col width="29" customWidth="1" min="32" max="32"/>
    <col width="24" bestFit="1" customWidth="1" min="34" max="34"/>
  </cols>
  <sheetData>
    <row r="1"/>
    <row r="2">
      <c r="A2" s="200" t="inlineStr">
        <is>
          <t>BANCALE</t>
        </is>
      </c>
      <c r="B2" s="200" t="inlineStr">
        <is>
          <t>PARTENZA</t>
        </is>
      </c>
      <c r="C2" s="200" t="inlineStr">
        <is>
          <t>DESTINAZIONI</t>
        </is>
      </c>
      <c r="D2" s="200" t="inlineStr">
        <is>
          <t>DISTANZA KM</t>
        </is>
      </c>
      <c r="E2" s="200" t="inlineStr">
        <is>
          <t>TEMPOSTIMATO IN ORE</t>
        </is>
      </c>
      <c r="F2" s="200" t="inlineStr">
        <is>
          <t>PEDAGGI</t>
        </is>
      </c>
      <c r="G2" s="200" t="inlineStr">
        <is>
          <t>SUBTOT BILICO</t>
        </is>
      </c>
      <c r="H2" s="200" t="inlineStr">
        <is>
          <t>PREZZO PRIMO BANCALE</t>
        </is>
      </c>
      <c r="I2" s="200" t="inlineStr">
        <is>
          <t>PREZZO BANCALI SUCCESSIVI</t>
        </is>
      </c>
      <c r="J2" s="200" t="inlineStr">
        <is>
          <t>COSTO BILICO</t>
        </is>
      </c>
      <c r="L2" s="200" t="inlineStr">
        <is>
          <t>LUOGHI DI PARTENZA</t>
        </is>
      </c>
    </row>
    <row r="3">
      <c r="A3" s="200">
        <f>+calcolo!A195</f>
        <v/>
      </c>
      <c r="B3" s="200">
        <f>part1</f>
        <v/>
      </c>
      <c r="C3" s="200">
        <f>+calcolo!$A$200</f>
        <v/>
      </c>
      <c r="D3" s="219">
        <f>IF(PARTENZA1[[#This Row],[PARTENZA]]="POMEZIA", VLOOKUP(PARTENZA1[[#This Row],[DESTINAZIONI]],PARTENZE_DA_POMEZIA[#All],3, FALSE), +IF(PARTENZA1[[#This Row],[PARTENZA]]="MEZZAGO", VLOOKUP(PARTENZA1[[#This Row],[DESTINAZIONI]], PARTENZE_DA_MEZZAGO[#All], 3, FALSE), VLOOKUP(PARTENZA1[[#This Row],[DESTINAZIONI]], PARTENZE_DA_GRAFCOLOR[#All], 3, FALSE)))</f>
        <v/>
      </c>
      <c r="E3" s="220">
        <f>++IF(PARTENZA1[[#This Row],[PARTENZA]]="POMEZIA", VLOOKUP(PARTENZA1[[#This Row],[DESTINAZIONI]],PARTENZE_DA_POMEZIA[#All],4, FALSE), +IF(PARTENZA1[[#This Row],[PARTENZA]]="MEZZAGO", VLOOKUP(PARTENZA1[[#This Row],[DESTINAZIONI]], PARTENZE_DA_MEZZAGO[#All], 4, FALSE), VLOOKUP(PARTENZA1[[#This Row],[DESTINAZIONI]], PARTENZE_DA_GRAFCOLOR[#All], 4, FALSE)))</f>
        <v/>
      </c>
      <c r="F3" s="910">
        <f>CEILING(IF(PARTENZA1[[#This Row],[PARTENZA]]="POMEZIA", VLOOKUP(PARTENZA1[[#This Row],[DESTINAZIONI]],PARTENZE_DA_POMEZIA[#All],5, FALSE), +IF(PARTENZA1[[#This Row],[PARTENZA]]="MEZZAGO", VLOOKUP(PARTENZA1[[#This Row],[DESTINAZIONI]], PARTENZE_DA_MEZZAGO[#All], 5, FALSE), VLOOKUP(PARTENZA1[[#This Row],[DESTINAZIONI]], PARTENZE_DA_GRAFCOLOR[#All], 5, FALSE))),15)</f>
        <v/>
      </c>
      <c r="G3" s="909">
        <f>CEILING(IF(PARTENZA1[[#This Row],[PARTENZA]]="POMEZIA", VLOOKUP(PARTENZA1[[#This Row],[DESTINAZIONI]],PARTENZE_DA_POMEZIA[#All],7, FALSE), +IF(PARTENZA1[[#This Row],[PARTENZA]]="MEZZAGO", VLOOKUP(PARTENZA1[[#This Row],[DESTINAZIONI]], PARTENZE_DA_MEZZAGO[#All], 7, FALSE), VLOOKUP(PARTENZA1[[#This Row],[DESTINAZIONI]], PARTENZE_DA_GRAFCOLOR[#All], 7, FALSE))),25)</f>
        <v/>
      </c>
      <c r="H3" s="910">
        <f t="array" ref="H3">IF(AND(+B150&lt;VLOOKUP(A3,COSTO_PLT[#All],5,FALSE),PARTENZA1[[#This Row],[DISTANZA KM]]&gt;100),CEILING(MAXA(CEILING((G3/VLOOKUP(PARTENZA1[[#This Row],[BANCALE]],COSTO_PLT[#All],3,FALSE)), 25),75)*(1+(VLOOKUP(_xlfn.IFS(B3="POMEZIA",VLOOKUP(dest1,PARTENZE_DA_POMEZIA[[#All],[LUOGO]:[TARIFFA]],2,FALSE), B3="MEZZAGO", VLOOKUP(dest1,PARTENZE_DA_MEZZAGO[[LUOGO]:[TARIFFA]], 2,FALSE), B3="GRAFCOLOR", VLOOKUP(dest1,PARTENZE_DA_GRAFCOLOR[[LUOGO]:[TARIFFA]], 2,FALSE)), COSTI_GENERALI[],3,FALSE))),25),CEILING(MAXA(CEILING((G3/VLOOKUP(PARTENZA1[[#This Row],[BANCALE]],COSTO_PLT[#All],3,FALSE)), 25),60)*(1+(VLOOKUP(_xlfn.IFS(B3="POMEZIA",VLOOKUP(dest1,PARTENZE_DA_POMEZIA[[#All],[LUOGO]:[TARIFFA]],2,FALSE), B3="MEZZAGO", VLOOKUP(dest1,PARTENZE_DA_MEZZAGO[[LUOGO]:[TARIFFA]], 2,FALSE), B3="GRAFCOLOR", VLOOKUP(dest1,PARTENZE_DA_GRAFCOLOR[[LUOGO]:[TARIFFA]], 2,FALSE)), COSTI_GENERALI[],3,FALSE))),5))</f>
        <v/>
      </c>
      <c r="I3" s="909">
        <f>IF(AND(calcolo!B195&lt;VLOOKUP(A3,COSTO_PLT[#All],5,FALSE),PARTENZA1[[#This Row],[DISTANZA KM]]&gt;100),CEILING(_xlfn.CEILING.MATH((G3-H3)/(VLOOKUP(PARTENZA1[[#This Row],[BANCALE]],COSTO_PLT[#All],4,FALSE)-1),1),20),CEILING(_xlfn.CEILING.MATH((G3-H3)/(VLOOKUP(PARTENZA1[[#This Row],[BANCALE]],COSTO_PLT[#All],4,FALSE)-1),0.5),2.5))</f>
        <v/>
      </c>
      <c r="J3" s="911">
        <f>+PARTENZA1[[#This Row],[PREZZO PRIMO BANCALE]]+(+PARTENZA1[[#This Row],[PREZZO BANCALI SUCCESSIVI]]*(VLOOKUP(PARTENZA1[[#This Row],[BANCALE]],COSTO_PLT[#All],4,FALSE)))</f>
        <v/>
      </c>
      <c r="L3" s="200" t="inlineStr">
        <is>
          <t>POMEZIA</t>
        </is>
      </c>
    </row>
    <row r="4">
      <c r="A4" s="200">
        <f>+calcolo!A196</f>
        <v/>
      </c>
      <c r="B4" s="200">
        <f>part1</f>
        <v/>
      </c>
      <c r="C4" s="200">
        <f>+calcolo!$A$200</f>
        <v/>
      </c>
      <c r="D4" s="219">
        <f>IF(PARTENZA1[[#This Row],[PARTENZA]]="POMEZIA", VLOOKUP(PARTENZA1[[#This Row],[DESTINAZIONI]],PARTENZE_DA_POMEZIA[#All],3, FALSE), +IF(PARTENZA1[[#This Row],[PARTENZA]]="MEZZAGO", VLOOKUP(PARTENZA1[[#This Row],[DESTINAZIONI]], PARTENZE_DA_MEZZAGO[#All], 3, FALSE), VLOOKUP(PARTENZA1[[#This Row],[DESTINAZIONI]], PARTENZE_DA_GRAFCOLOR[#All], 3, FALSE)))</f>
        <v/>
      </c>
      <c r="E4" s="220">
        <f>++IF(PARTENZA1[[#This Row],[PARTENZA]]="POMEZIA", VLOOKUP(PARTENZA1[[#This Row],[DESTINAZIONI]],PARTENZE_DA_POMEZIA[#All],4, FALSE), +IF(PARTENZA1[[#This Row],[PARTENZA]]="MEZZAGO", VLOOKUP(PARTENZA1[[#This Row],[DESTINAZIONI]], PARTENZE_DA_MEZZAGO[#All], 4, FALSE), VLOOKUP(PARTENZA1[[#This Row],[DESTINAZIONI]], PARTENZE_DA_GRAFCOLOR[#All], 4, FALSE)))</f>
        <v/>
      </c>
      <c r="F4" s="910">
        <f>CEILING(IF(PARTENZA1[[#This Row],[PARTENZA]]="POMEZIA", VLOOKUP(PARTENZA1[[#This Row],[DESTINAZIONI]],PARTENZE_DA_POMEZIA[#All],5, FALSE), +IF(PARTENZA1[[#This Row],[PARTENZA]]="MEZZAGO", VLOOKUP(PARTENZA1[[#This Row],[DESTINAZIONI]], PARTENZE_DA_MEZZAGO[#All], 5, FALSE), VLOOKUP(PARTENZA1[[#This Row],[DESTINAZIONI]], PARTENZE_DA_GRAFCOLOR[#All], 5, FALSE))),10)</f>
        <v/>
      </c>
      <c r="G4" s="909">
        <f>CEILING(IF(PARTENZA1[[#This Row],[PARTENZA]]="POMEZIA", VLOOKUP(PARTENZA1[[#This Row],[DESTINAZIONI]],PARTENZE_DA_POMEZIA[#All],7, FALSE), +IF(PARTENZA1[[#This Row],[PARTENZA]]="MEZZAGO", VLOOKUP(PARTENZA1[[#This Row],[DESTINAZIONI]], PARTENZE_DA_MEZZAGO[#All], 7, FALSE), VLOOKUP(PARTENZA1[[#This Row],[DESTINAZIONI]], PARTENZE_DA_GRAFCOLOR[#All], 7, FALSE))),25)</f>
        <v/>
      </c>
      <c r="H4" s="910">
        <f t="array" ref="H4">IF(AND(+B151&lt;VLOOKUP(A4,COSTO_PLT[#All],5,FALSE),PARTENZA1[[#This Row],[DISTANZA KM]]&gt;100),CEILING(MAXA(CEILING((G4/VLOOKUP(PARTENZA1[[#This Row],[BANCALE]],COSTO_PLT[#All],3,FALSE)), 25),75)*(1+(VLOOKUP(_xlfn.IFS(B4="POMEZIA",VLOOKUP(dest1,PARTENZE_DA_POMEZIA[[#All],[LUOGO]:[TARIFFA]],2,FALSE), B4="MEZZAGO", VLOOKUP(dest1,PARTENZE_DA_MEZZAGO[[LUOGO]:[TARIFFA]], 2,FALSE), B4="GRAFCOLOR", VLOOKUP(dest1,PARTENZE_DA_GRAFCOLOR[[LUOGO]:[TARIFFA]], 2,FALSE)), COSTI_GENERALI[],3,FALSE))),25),CEILING(MAXA(CEILING((G4/VLOOKUP(PARTENZA1[[#This Row],[BANCALE]],COSTO_PLT[#All],3,FALSE)), 25),60)*(1+(VLOOKUP(_xlfn.IFS(B4="POMEZIA",VLOOKUP(dest1,PARTENZE_DA_POMEZIA[[#All],[LUOGO]:[TARIFFA]],2,FALSE), B4="MEZZAGO", VLOOKUP(dest1,PARTENZE_DA_MEZZAGO[[LUOGO]:[TARIFFA]], 2,FALSE), B4="GRAFCOLOR", VLOOKUP(dest1,PARTENZE_DA_GRAFCOLOR[[LUOGO]:[TARIFFA]], 2,FALSE)), COSTI_GENERALI[],3,FALSE))),5))</f>
        <v/>
      </c>
      <c r="I4" s="909">
        <f>IF(AND(calcolo!B196&lt;VLOOKUP(A4,COSTO_PLT[#All],5,FALSE),PARTENZA1[[#This Row],[DISTANZA KM]]&gt;100),CEILING(_xlfn.CEILING.MATH((G4-H4)/(VLOOKUP(PARTENZA1[[#This Row],[BANCALE]],COSTO_PLT[#All],4,FALSE)-1),1),20),CEILING(_xlfn.CEILING.MATH((G4-H4)/(VLOOKUP(PARTENZA1[[#This Row],[BANCALE]],COSTO_PLT[#All],4,FALSE)-1),0.5),2.5))</f>
        <v/>
      </c>
      <c r="J4" s="911">
        <f>+PARTENZA1[[#This Row],[PREZZO PRIMO BANCALE]]+(+PARTENZA1[[#This Row],[PREZZO BANCALI SUCCESSIVI]]*(VLOOKUP(PARTENZA1[[#This Row],[BANCALE]],COSTO_PLT[#All],4,FALSE)))</f>
        <v/>
      </c>
      <c r="L4" s="200" t="inlineStr">
        <is>
          <t>MEZZAGO</t>
        </is>
      </c>
    </row>
    <row r="5">
      <c r="A5" s="200">
        <f>+calcolo!A197</f>
        <v/>
      </c>
      <c r="B5" s="200">
        <f>part1</f>
        <v/>
      </c>
      <c r="C5" s="200">
        <f>+calcolo!$A$200</f>
        <v/>
      </c>
      <c r="D5" s="219">
        <f>IF(PARTENZA1[[#This Row],[PARTENZA]]="POMEZIA", VLOOKUP(PARTENZA1[[#This Row],[DESTINAZIONI]],PARTENZE_DA_POMEZIA[#All],3, FALSE), +IF(PARTENZA1[[#This Row],[PARTENZA]]="MEZZAGO", VLOOKUP(PARTENZA1[[#This Row],[DESTINAZIONI]], PARTENZE_DA_MEZZAGO[#All], 3, FALSE), VLOOKUP(PARTENZA1[[#This Row],[DESTINAZIONI]], PARTENZE_DA_GRAFCOLOR[#All], 3, FALSE)))</f>
        <v/>
      </c>
      <c r="E5" s="220">
        <f>++IF(PARTENZA1[[#This Row],[PARTENZA]]="POMEZIA", VLOOKUP(PARTENZA1[[#This Row],[DESTINAZIONI]],PARTENZE_DA_POMEZIA[#All],4, FALSE), +IF(PARTENZA1[[#This Row],[PARTENZA]]="MEZZAGO", VLOOKUP(PARTENZA1[[#This Row],[DESTINAZIONI]], PARTENZE_DA_MEZZAGO[#All], 4, FALSE), VLOOKUP(PARTENZA1[[#This Row],[DESTINAZIONI]], PARTENZE_DA_GRAFCOLOR[#All], 4, FALSE)))</f>
        <v/>
      </c>
      <c r="F5" s="910">
        <f>CEILING(IF(PARTENZA1[[#This Row],[PARTENZA]]="POMEZIA", VLOOKUP(PARTENZA1[[#This Row],[DESTINAZIONI]],PARTENZE_DA_POMEZIA[#All],5, FALSE), +IF(PARTENZA1[[#This Row],[PARTENZA]]="MEZZAGO", VLOOKUP(PARTENZA1[[#This Row],[DESTINAZIONI]], PARTENZE_DA_MEZZAGO[#All], 5, FALSE), VLOOKUP(PARTENZA1[[#This Row],[DESTINAZIONI]], PARTENZE_DA_GRAFCOLOR[#All], 5, FALSE))),10)</f>
        <v/>
      </c>
      <c r="G5" s="909">
        <f>CEILING(IF(PARTENZA1[[#This Row],[PARTENZA]]="POMEZIA", VLOOKUP(PARTENZA1[[#This Row],[DESTINAZIONI]],PARTENZE_DA_POMEZIA[#All],7, FALSE), +IF(PARTENZA1[[#This Row],[PARTENZA]]="MEZZAGO", VLOOKUP(PARTENZA1[[#This Row],[DESTINAZIONI]], PARTENZE_DA_MEZZAGO[#All], 7, FALSE), VLOOKUP(PARTENZA1[[#This Row],[DESTINAZIONI]], PARTENZE_DA_GRAFCOLOR[#All], 7, FALSE))),25)</f>
        <v/>
      </c>
      <c r="H5" s="910">
        <f t="array" ref="H5">IF(AND(+B152&lt;VLOOKUP(A5,COSTO_PLT[#All],5,FALSE),PARTENZA1[[#This Row],[DISTANZA KM]]&gt;100),CEILING(MAXA(CEILING((G5/VLOOKUP(PARTENZA1[[#This Row],[BANCALE]],COSTO_PLT[#All],3,FALSE)), 25),75)*(1+(VLOOKUP(_xlfn.IFS(B5="POMEZIA",VLOOKUP(dest1,PARTENZE_DA_POMEZIA[[#All],[LUOGO]:[TARIFFA]],2,FALSE), B5="MEZZAGO", VLOOKUP(dest1,PARTENZE_DA_MEZZAGO[[LUOGO]:[TARIFFA]], 2,FALSE), B5="GRAFCOLOR", VLOOKUP(dest1,PARTENZE_DA_GRAFCOLOR[[LUOGO]:[TARIFFA]], 2,FALSE)), COSTI_GENERALI[],3,FALSE))),25),CEILING(MAXA(CEILING((G5/VLOOKUP(PARTENZA1[[#This Row],[BANCALE]],COSTO_PLT[#All],3,FALSE)), 25),60)*(1+(VLOOKUP(_xlfn.IFS(B5="POMEZIA",VLOOKUP(dest1,PARTENZE_DA_POMEZIA[[#All],[LUOGO]:[TARIFFA]],2,FALSE), B5="MEZZAGO", VLOOKUP(dest1,PARTENZE_DA_MEZZAGO[[LUOGO]:[TARIFFA]], 2,FALSE), B5="GRAFCOLOR", VLOOKUP(dest1,PARTENZE_DA_GRAFCOLOR[[LUOGO]:[TARIFFA]], 2,FALSE)), COSTI_GENERALI[],3,FALSE))),5))</f>
        <v/>
      </c>
      <c r="I5" s="909">
        <f>IF(AND(calcolo!B197&lt;VLOOKUP(A5,COSTO_PLT[#All],5,FALSE),PARTENZA1[[#This Row],[DISTANZA KM]]&gt;100),CEILING(_xlfn.CEILING.MATH((G5-H5)/(VLOOKUP(PARTENZA1[[#This Row],[BANCALE]],COSTO_PLT[#All],4,FALSE)-1),1),20),CEILING(_xlfn.CEILING.MATH((G5-H5)/(VLOOKUP(PARTENZA1[[#This Row],[BANCALE]],COSTO_PLT[#All],4,FALSE)-1),0.5),2.5))</f>
        <v/>
      </c>
      <c r="J5" s="911">
        <f>+PARTENZA1[[#This Row],[PREZZO PRIMO BANCALE]]+(+PARTENZA1[[#This Row],[PREZZO BANCALI SUCCESSIVI]]*(VLOOKUP(PARTENZA1[[#This Row],[BANCALE]],COSTO_PLT[#All],4,FALSE)))</f>
        <v/>
      </c>
      <c r="L5" s="200" t="inlineStr">
        <is>
          <t>GRAFCOLOR</t>
        </is>
      </c>
      <c r="X5" s="200" t="inlineStr">
        <is>
          <t>DESCRIÇÃO</t>
        </is>
      </c>
      <c r="Y5" s="910" t="inlineStr">
        <is>
          <t>COSTO</t>
        </is>
      </c>
      <c r="Z5" s="200" t="inlineStr">
        <is>
          <t>INCREMENTO 1° PLT</t>
        </is>
      </c>
      <c r="AB5" s="200" t="inlineStr">
        <is>
          <t>BANCALE</t>
        </is>
      </c>
      <c r="AC5" s="910" t="inlineStr">
        <is>
          <t>COSTO</t>
        </is>
      </c>
      <c r="AD5" s="910" t="inlineStr">
        <is>
          <t>INCIDENZA 1° PLT</t>
        </is>
      </c>
      <c r="AE5" s="910" t="inlineStr">
        <is>
          <t>PLT PER BILICO</t>
        </is>
      </c>
      <c r="AF5" s="910" t="inlineStr">
        <is>
          <t>COLLETTAME FINO A:</t>
        </is>
      </c>
      <c r="AH5" s="200" t="inlineStr">
        <is>
          <t>CAIXA DE ESTOQUE</t>
        </is>
      </c>
      <c r="AI5" s="910" t="inlineStr">
        <is>
          <t>COSTO</t>
        </is>
      </c>
    </row>
    <row r="6">
      <c r="A6" s="200">
        <f>+calcolo!A198</f>
        <v/>
      </c>
      <c r="B6" s="200">
        <f>part1</f>
        <v/>
      </c>
      <c r="C6" s="200">
        <f>+calcolo!$A$200</f>
        <v/>
      </c>
      <c r="D6" s="219">
        <f>IF(PARTENZA1[[#This Row],[PARTENZA]]="POMEZIA", VLOOKUP(PARTENZA1[[#This Row],[DESTINAZIONI]],PARTENZE_DA_POMEZIA[#All],3, FALSE), +IF(PARTENZA1[[#This Row],[PARTENZA]]="MEZZAGO", VLOOKUP(PARTENZA1[[#This Row],[DESTINAZIONI]], PARTENZE_DA_MEZZAGO[#All], 3, FALSE), VLOOKUP(PARTENZA1[[#This Row],[DESTINAZIONI]], PARTENZE_DA_GRAFCOLOR[#All], 3, FALSE)))</f>
        <v/>
      </c>
      <c r="E6" s="220">
        <f>++IF(PARTENZA1[[#This Row],[PARTENZA]]="POMEZIA", VLOOKUP(PARTENZA1[[#This Row],[DESTINAZIONI]],PARTENZE_DA_POMEZIA[#All],4, FALSE), +IF(PARTENZA1[[#This Row],[PARTENZA]]="MEZZAGO", VLOOKUP(PARTENZA1[[#This Row],[DESTINAZIONI]], PARTENZE_DA_MEZZAGO[#All], 4, FALSE), VLOOKUP(PARTENZA1[[#This Row],[DESTINAZIONI]], PARTENZE_DA_GRAFCOLOR[#All], 4, FALSE)))</f>
        <v/>
      </c>
      <c r="F6" s="910">
        <f>CEILING(IF(PARTENZA1[[#This Row],[PARTENZA]]="POMEZIA", VLOOKUP(PARTENZA1[[#This Row],[DESTINAZIONI]],PARTENZE_DA_POMEZIA[#All],5, FALSE), +IF(PARTENZA1[[#This Row],[PARTENZA]]="MEZZAGO", VLOOKUP(PARTENZA1[[#This Row],[DESTINAZIONI]], PARTENZE_DA_MEZZAGO[#All], 5, FALSE), VLOOKUP(PARTENZA1[[#This Row],[DESTINAZIONI]], PARTENZE_DA_GRAFCOLOR[#All], 5, FALSE))),10)</f>
        <v/>
      </c>
      <c r="G6" s="909">
        <f>CEILING(IF(PARTENZA1[[#This Row],[PARTENZA]]="POMEZIA", VLOOKUP(PARTENZA1[[#This Row],[DESTINAZIONI]],PARTENZE_DA_POMEZIA[#All],7, FALSE), +IF(PARTENZA1[[#This Row],[PARTENZA]]="MEZZAGO", VLOOKUP(PARTENZA1[[#This Row],[DESTINAZIONI]], PARTENZE_DA_MEZZAGO[#All], 7, FALSE), VLOOKUP(PARTENZA1[[#This Row],[DESTINAZIONI]], PARTENZE_DA_GRAFCOLOR[#All], 7, FALSE))),25)</f>
        <v/>
      </c>
      <c r="H6" s="910">
        <f t="array" ref="H6">IF(AND(+B153&lt;VLOOKUP(A6,COSTO_PLT[#All],5,FALSE),PARTENZA1[[#This Row],[DISTANZA KM]]&gt;100),CEILING(MAXA(CEILING((G6/VLOOKUP(PARTENZA1[[#This Row],[BANCALE]],COSTO_PLT[#All],3,FALSE)), 25),75)*(1+(VLOOKUP(_xlfn.IFS(B6="POMEZIA",VLOOKUP(dest1,PARTENZE_DA_POMEZIA[[#All],[LUOGO]:[TARIFFA]],2,FALSE), B6="MEZZAGO", VLOOKUP(dest1,PARTENZE_DA_MEZZAGO[[LUOGO]:[TARIFFA]], 2,FALSE), B6="GRAFCOLOR", VLOOKUP(dest1,PARTENZE_DA_GRAFCOLOR[[LUOGO]:[TARIFFA]], 2,FALSE)), COSTI_GENERALI[],3,FALSE))),25),CEILING(MAXA(CEILING((G6/VLOOKUP(PARTENZA1[[#This Row],[BANCALE]],COSTO_PLT[#All],3,FALSE)), 25),60)*(1+(VLOOKUP(_xlfn.IFS(B6="POMEZIA",VLOOKUP(dest1,PARTENZE_DA_POMEZIA[[#All],[LUOGO]:[TARIFFA]],2,FALSE), B6="MEZZAGO", VLOOKUP(dest1,PARTENZE_DA_MEZZAGO[[LUOGO]:[TARIFFA]], 2,FALSE), B6="GRAFCOLOR", VLOOKUP(dest1,PARTENZE_DA_GRAFCOLOR[[LUOGO]:[TARIFFA]], 2,FALSE)), COSTI_GENERALI[],3,FALSE))),5))</f>
        <v/>
      </c>
      <c r="I6" s="909">
        <f>IF(AND(calcolo!B198&lt;VLOOKUP(A6,COSTO_PLT[#All],5,FALSE),PARTENZA1[[#This Row],[DISTANZA KM]]&gt;100),CEILING(_xlfn.CEILING.MATH((G6-H6)/(VLOOKUP(PARTENZA1[[#This Row],[BANCALE]],COSTO_PLT[#All],4,FALSE)-1),1),20),CEILING(_xlfn.CEILING.MATH((G6-H6)/(VLOOKUP(PARTENZA1[[#This Row],[BANCALE]],COSTO_PLT[#All],4,FALSE)-1),0.5),2.5))</f>
        <v/>
      </c>
      <c r="J6" s="911">
        <f>+PARTENZA1[[#This Row],[PREZZO PRIMO BANCALE]]+(+PARTENZA1[[#This Row],[PREZZO BANCALI SUCCESSIVI]]*(VLOOKUP(PARTENZA1[[#This Row],[BANCALE]],COSTO_PLT[#All],4,FALSE)))</f>
        <v/>
      </c>
      <c r="L6" s="200" t="inlineStr">
        <is>
          <t>GRAFCOLOR (A preventivo)</t>
        </is>
      </c>
      <c r="X6" s="912" t="inlineStr">
        <is>
          <t>A</t>
        </is>
      </c>
      <c r="Y6" s="909" t="n">
        <v>0.9</v>
      </c>
      <c r="Z6" s="421" t="n">
        <v>0</v>
      </c>
      <c r="AB6" s="200" t="inlineStr">
        <is>
          <t>PLT 80X120</t>
        </is>
      </c>
      <c r="AC6" s="909" t="n">
        <v>8</v>
      </c>
      <c r="AD6" s="913" t="n">
        <v>10</v>
      </c>
      <c r="AE6" s="220" t="n">
        <v>33</v>
      </c>
      <c r="AF6" s="220" t="n">
        <v>10</v>
      </c>
      <c r="AH6" s="200" t="inlineStr">
        <is>
          <t>SCATOLA 600x400x300</t>
        </is>
      </c>
      <c r="AI6" s="909" t="n">
        <v>0.65</v>
      </c>
    </row>
    <row r="7">
      <c r="X7" s="912" t="inlineStr">
        <is>
          <t>B</t>
        </is>
      </c>
      <c r="Y7" s="909" t="n">
        <v>1.25</v>
      </c>
      <c r="Z7" s="421" t="n">
        <v>0.25</v>
      </c>
      <c r="AB7" s="200" t="inlineStr">
        <is>
          <t>PLT 100X120</t>
        </is>
      </c>
      <c r="AC7" s="909" t="n">
        <v>10</v>
      </c>
      <c r="AD7" s="913" t="n">
        <v>8</v>
      </c>
      <c r="AE7" s="220" t="n">
        <v>26</v>
      </c>
      <c r="AF7" s="220" t="n">
        <v>8</v>
      </c>
      <c r="AH7" s="200" t="inlineStr">
        <is>
          <t>SCATOLA 780x385x470</t>
        </is>
      </c>
      <c r="AI7" s="909" t="n">
        <v>0.85</v>
      </c>
    </row>
    <row r="8">
      <c r="A8" s="200" t="inlineStr">
        <is>
          <t>BANCALE</t>
        </is>
      </c>
      <c r="B8" s="200" t="inlineStr">
        <is>
          <t>PARTENZA</t>
        </is>
      </c>
      <c r="C8" s="200" t="inlineStr">
        <is>
          <t>DESTINAZIONI</t>
        </is>
      </c>
      <c r="D8" s="200" t="inlineStr">
        <is>
          <t>DISTANZA KM</t>
        </is>
      </c>
      <c r="E8" s="200" t="inlineStr">
        <is>
          <t>TEMPOSTIMATO IN ORE</t>
        </is>
      </c>
      <c r="F8" s="200" t="inlineStr">
        <is>
          <t>PEDAGGI</t>
        </is>
      </c>
      <c r="G8" s="200" t="inlineStr">
        <is>
          <t>SUBTOT BILICO</t>
        </is>
      </c>
      <c r="H8" s="200" t="inlineStr">
        <is>
          <t>PREZZO PRIMO BANCALE</t>
        </is>
      </c>
      <c r="I8" s="200" t="inlineStr">
        <is>
          <t>PREZZO BANCALI SUCCESSIVI</t>
        </is>
      </c>
      <c r="J8" s="200" t="inlineStr">
        <is>
          <t>COSTO BILICO</t>
        </is>
      </c>
      <c r="X8" s="912" t="inlineStr">
        <is>
          <t>C</t>
        </is>
      </c>
      <c r="Y8" s="909" t="n">
        <v>1.5</v>
      </c>
      <c r="Z8" s="421" t="n">
        <v>0.5</v>
      </c>
      <c r="AB8" s="200" t="inlineStr">
        <is>
          <t>PLT 100X140</t>
        </is>
      </c>
      <c r="AC8" s="909" t="n">
        <v>14</v>
      </c>
      <c r="AD8" s="913" t="n">
        <v>7</v>
      </c>
      <c r="AE8" s="220" t="n">
        <v>22</v>
      </c>
      <c r="AF8" s="220" t="n">
        <v>6</v>
      </c>
      <c r="AH8" s="200" t="inlineStr">
        <is>
          <t>SCATOLA 800x400x800</t>
        </is>
      </c>
      <c r="AI8" s="909" t="n">
        <v>5</v>
      </c>
    </row>
    <row r="9">
      <c r="A9" s="200">
        <f>+calcolo!A195</f>
        <v/>
      </c>
      <c r="B9" s="200">
        <f>part2</f>
        <v/>
      </c>
      <c r="C9" s="200">
        <f>+calcolo!$A$201</f>
        <v/>
      </c>
      <c r="D9" s="219">
        <f>+IF(PARTENZA2[[#This Row],[PARTENZA]]="POMEZIA", VLOOKUP(PARTENZA2[[#This Row],[DESTINAZIONI]],PARTENZE_DA_POMEZIA[#All],3, FALSE), +IF(PARTENZA2[[#This Row],[PARTENZA]]="MEZZAGO", VLOOKUP(PARTENZA2[[#This Row],[DESTINAZIONI]], PARTENZE_DA_MEZZAGO[#All], 3, FALSE), VLOOKUP(PARTENZA2[[#This Row],[DESTINAZIONI]], PARTENZE_DA_GRAFCOLOR[#All], 3, FALSE)))</f>
        <v/>
      </c>
      <c r="E9" s="220">
        <f>+IF(PARTENZA2[[#This Row],[PARTENZA]]="POMEZIA", VLOOKUP(PARTENZA2[[#This Row],[DESTINAZIONI]],PARTENZE_DA_POMEZIA[#All],4, FALSE), +IF(PARTENZA2[[#This Row],[PARTENZA]]="MEZZAGO", VLOOKUP(PARTENZA2[[#This Row],[DESTINAZIONI]], PARTENZE_DA_MEZZAGO[#All], 4, FALSE), VLOOKUP(PARTENZA2[[#This Row],[DESTINAZIONI]], PARTENZE_DA_GRAFCOLOR[#All], 4, FALSE)))</f>
        <v/>
      </c>
      <c r="F9" s="910">
        <f>++IF(PARTENZA2[[#This Row],[PARTENZA]]="POMEZIA", VLOOKUP(PARTENZA2[[#This Row],[DESTINAZIONI]],PARTENZE_DA_POMEZIA[#All],5, FALSE), +IF(PARTENZA2[[#This Row],[PARTENZA]]="MEZZAGO", VLOOKUP(PARTENZA2[[#This Row],[DESTINAZIONI]], PARTENZE_DA_MEZZAGO[#All], 5, FALSE), VLOOKUP(PARTENZA2[[#This Row],[DESTINAZIONI]], PARTENZE_DA_GRAFCOLOR[#All], 5, FALSE)))</f>
        <v/>
      </c>
      <c r="G9" s="909">
        <f>CEILING(IF(PARTENZA2[[#This Row],[PARTENZA]]="POMEZIA", VLOOKUP(PARTENZA2[[#This Row],[DESTINAZIONI]],PARTENZE_DA_POMEZIA[#All],7, FALSE), +IF(PARTENZA2[[#This Row],[PARTENZA]]="MEZZAGO", VLOOKUP(PARTENZA2[[#This Row],[DESTINAZIONI]], PARTENZE_DA_MEZZAGO[#All], 7, FALSE), VLOOKUP(PARTENZA2[[#This Row],[DESTINAZIONI]], PARTENZE_DA_GRAFCOLOR[#All], 7, FALSE))),25)</f>
        <v/>
      </c>
      <c r="H9" s="910">
        <f t="array" ref="H9">IF(AND(+B150&lt;VLOOKUP(A9,COSTO_PLT[#All],5,FALSE),PARTENZA2[[#This Row],[DISTANZA KM]]&gt;100),CEILING(MAXA(CEILING((G9/VLOOKUP(PARTENZA2[[#This Row],[BANCALE]],COSTO_PLT[#All],3,FALSE)), 25),75)*(1+(VLOOKUP(_xlfn.IFS(B9="POMEZIA",VLOOKUP(dest1,PARTENZE_DA_POMEZIA[[#All],[LUOGO]:[TARIFFA]],2,FALSE), B9="MEZZAGO", VLOOKUP(dest1,PARTENZE_DA_MEZZAGO[[LUOGO]:[TARIFFA]], 2,FALSE), B9="GRAFCOLOR", VLOOKUP(dest1,PARTENZE_DA_GRAFCOLOR[[LUOGO]:[TARIFFA]], 2,FALSE)), COSTI_GENERALI[],3,FALSE))),25),CEILING(MAXA(CEILING((G9/VLOOKUP(PARTENZA2[[#This Row],[BANCALE]],COSTO_PLT[#All],3,FALSE)), 25),60)*(1+(VLOOKUP(_xlfn.IFS(B9="POMEZIA",VLOOKUP(dest1,PARTENZE_DA_POMEZIA[[#All],[LUOGO]:[TARIFFA]],2,FALSE), B9="MEZZAGO", VLOOKUP(dest1,PARTENZE_DA_MEZZAGO[[LUOGO]:[TARIFFA]], 2,FALSE), B9="GRAFCOLOR", VLOOKUP(dest1,PARTENZE_DA_GRAFCOLOR[[LUOGO]:[TARIFFA]], 2,FALSE)), COSTI_GENERALI[],3,FALSE))),5))</f>
        <v/>
      </c>
      <c r="I9" s="909">
        <f>IF(AND(calcolo!B195&lt;VLOOKUP(A9,COSTO_PLT[#All],5,FALSE),PARTENZA2[[#This Row],[DISTANZA KM]]&gt;100),CEILING(_xlfn.CEILING.MATH((G9-H9)/(VLOOKUP(PARTENZA2[[#This Row],[BANCALE]],COSTO_PLT[#All],4,FALSE)-1),1),20),CEILING(_xlfn.CEILING.MATH((G9-H9)/(VLOOKUP(PARTENZA2[[#This Row],[BANCALE]],COSTO_PLT[#All],4,FALSE)-1),0.5),2.5))</f>
        <v/>
      </c>
      <c r="J9" s="911">
        <f>+PARTENZA2[[#This Row],[PREZZO PRIMO BANCALE]]+(+PARTENZA2[[#This Row],[PREZZO BANCALI SUCCESSIVI]]*(VLOOKUP(PARTENZA2[[#This Row],[BANCALE]],COSTO_PLT[#All],4,FALSE)))</f>
        <v/>
      </c>
      <c r="X9" s="912" t="inlineStr">
        <is>
          <t>D</t>
        </is>
      </c>
      <c r="Y9" s="910" t="n">
        <v>1.75</v>
      </c>
      <c r="Z9" s="421" t="n">
        <v>0.75</v>
      </c>
      <c r="AB9" s="200" t="inlineStr">
        <is>
          <t>PLT 120X160</t>
        </is>
      </c>
      <c r="AC9" s="910" t="n">
        <v>20</v>
      </c>
      <c r="AD9" s="913" t="n">
        <v>5</v>
      </c>
      <c r="AE9" s="220" t="n">
        <v>16</v>
      </c>
      <c r="AF9" s="220" t="n">
        <v>5</v>
      </c>
      <c r="AH9" s="200" t="inlineStr">
        <is>
          <t>SCATOLA 800x600x800</t>
        </is>
      </c>
      <c r="AI9" s="909" t="n">
        <v>7</v>
      </c>
    </row>
    <row r="10">
      <c r="A10" s="200">
        <f>+calcolo!A196</f>
        <v/>
      </c>
      <c r="B10" s="200">
        <f>part2</f>
        <v/>
      </c>
      <c r="C10" s="200">
        <f>+calcolo!$A$201</f>
        <v/>
      </c>
      <c r="D10" s="219">
        <f>+IF(PARTENZA2[[#This Row],[PARTENZA]]="POMEZIA", VLOOKUP(PARTENZA2[[#This Row],[DESTINAZIONI]],PARTENZE_DA_POMEZIA[#All],3, FALSE), +IF(PARTENZA2[[#This Row],[PARTENZA]]="MEZZAGO", VLOOKUP(PARTENZA2[[#This Row],[DESTINAZIONI]], PARTENZE_DA_MEZZAGO[#All], 3, FALSE), VLOOKUP(PARTENZA2[[#This Row],[DESTINAZIONI]], PARTENZE_DA_GRAFCOLOR[#All], 3, FALSE)))</f>
        <v/>
      </c>
      <c r="E10" s="220">
        <f>+IF(PARTENZA2[[#This Row],[PARTENZA]]="POMEZIA", VLOOKUP(PARTENZA2[[#This Row],[DESTINAZIONI]],PARTENZE_DA_POMEZIA[#All],4, FALSE), +IF(PARTENZA2[[#This Row],[PARTENZA]]="MEZZAGO", VLOOKUP(PARTENZA2[[#This Row],[DESTINAZIONI]], PARTENZE_DA_MEZZAGO[#All], 4, FALSE), VLOOKUP(PARTENZA2[[#This Row],[DESTINAZIONI]], PARTENZE_DA_GRAFCOLOR[#All], 4, FALSE)))</f>
        <v/>
      </c>
      <c r="F10" s="910">
        <f>++IF(PARTENZA2[[#This Row],[PARTENZA]]="POMEZIA", VLOOKUP(PARTENZA2[[#This Row],[DESTINAZIONI]],PARTENZE_DA_POMEZIA[#All],5, FALSE), +IF(PARTENZA2[[#This Row],[PARTENZA]]="MEZZAGO", VLOOKUP(PARTENZA2[[#This Row],[DESTINAZIONI]], PARTENZE_DA_MEZZAGO[#All], 5, FALSE), VLOOKUP(PARTENZA2[[#This Row],[DESTINAZIONI]], PARTENZE_DA_GRAFCOLOR[#All], 5, FALSE)))</f>
        <v/>
      </c>
      <c r="G10" s="909">
        <f>CEILING(IF(PARTENZA2[[#This Row],[PARTENZA]]="POMEZIA", VLOOKUP(PARTENZA2[[#This Row],[DESTINAZIONI]],PARTENZE_DA_POMEZIA[#All],7, FALSE), +IF(PARTENZA2[[#This Row],[PARTENZA]]="MEZZAGO", VLOOKUP(PARTENZA2[[#This Row],[DESTINAZIONI]], PARTENZE_DA_MEZZAGO[#All], 7, FALSE), VLOOKUP(PARTENZA2[[#This Row],[DESTINAZIONI]], PARTENZE_DA_GRAFCOLOR[#All], 7, FALSE))),25)</f>
        <v/>
      </c>
      <c r="H10" s="909">
        <f t="array" ref="H10">IF(AND(+B151&lt;VLOOKUP(A10,COSTO_PLT[#All],5,FALSE),PARTENZA2[[#This Row],[DISTANZA KM]]&gt;100),CEILING(MAXA(CEILING((G10/VLOOKUP(PARTENZA2[[#This Row],[BANCALE]],COSTO_PLT[#All],3,FALSE)), 25),60)*(1+(VLOOKUP(_xlfn.IFS(B10="POMEZIA",VLOOKUP(dest1,PARTENZE_DA_POMEZIA[[#All],[LUOGO]:[TARIFFA]],2,FALSE), B10="MEZZAGO", VLOOKUP(dest1,PARTENZE_DA_MEZZAGO[[LUOGO]:[TARIFFA]], 2,FALSE), B10="GRAFCOLOR", VLOOKUP(dest1,PARTENZE_DA_GRAFCOLOR[[LUOGO]:[TARIFFA]], 2,FALSE)), COSTI_GENERALI[],3,FALSE))),25),CEILING(MAXA(CEILING((G10/VLOOKUP(PARTENZA2[[#This Row],[BANCALE]],COSTO_PLT[#All],3,FALSE)), 25),60)*(1+(VLOOKUP(_xlfn.IFS(B10="POMEZIA",VLOOKUP(dest1,PARTENZE_DA_POMEZIA[[#All],[LUOGO]:[TARIFFA]],2,FALSE), B10="MEZZAGO", VLOOKUP(dest1,PARTENZE_DA_MEZZAGO[[LUOGO]:[TARIFFA]], 2,FALSE), B10="GRAFCOLOR", VLOOKUP(dest1,PARTENZE_DA_GRAFCOLOR[[LUOGO]:[TARIFFA]], 2,FALSE)), COSTI_GENERALI[],3,FALSE))),10))</f>
        <v/>
      </c>
      <c r="I10" s="909">
        <f>IF(AND(calcolo!B196&lt;VLOOKUP(A10,COSTO_PLT[#All],5,FALSE),PARTENZA2[[#This Row],[DISTANZA KM]]&gt;100),CEILING(_xlfn.CEILING.MATH((G10-H10)/(VLOOKUP(PARTENZA2[[#This Row],[BANCALE]],COSTO_PLT[#All],4,FALSE)-1),1),20),CEILING(_xlfn.CEILING.MATH((G10-H10)/(VLOOKUP(PARTENZA2[[#This Row],[BANCALE]],COSTO_PLT[#All],4,FALSE)-1),0.5),2.5))</f>
        <v/>
      </c>
      <c r="J10" s="911">
        <f>+PARTENZA2[[#This Row],[PREZZO PRIMO BANCALE]]+(+PARTENZA2[[#This Row],[PREZZO BANCALI SUCCESSIVI]]*(VLOOKUP(PARTENZA2[[#This Row],[BANCALE]],COSTO_PLT[#All],4,FALSE)))</f>
        <v/>
      </c>
      <c r="L10" s="200" t="n"/>
      <c r="M10" s="454" t="n"/>
      <c r="X10" s="912" t="inlineStr">
        <is>
          <t>E</t>
        </is>
      </c>
      <c r="Y10" s="910" t="n">
        <v>2</v>
      </c>
      <c r="Z10" s="421" t="n">
        <v>1</v>
      </c>
      <c r="AB10" s="200" t="inlineStr">
        <is>
          <t>PLT 80X120 EPAL HT NUOVI</t>
        </is>
      </c>
      <c r="AC10" s="910" t="n">
        <v>14</v>
      </c>
      <c r="AD10" s="913">
        <f>+AD6</f>
        <v/>
      </c>
      <c r="AE10" s="220" t="n">
        <v>33</v>
      </c>
      <c r="AF10" s="220" t="n">
        <v>10</v>
      </c>
    </row>
    <row r="11">
      <c r="A11" s="200">
        <f>+calcolo!A197</f>
        <v/>
      </c>
      <c r="B11" s="200">
        <f>part2</f>
        <v/>
      </c>
      <c r="C11" s="200">
        <f>+calcolo!$A$201</f>
        <v/>
      </c>
      <c r="D11" s="219">
        <f>+IF(PARTENZA2[[#This Row],[PARTENZA]]="POMEZIA", VLOOKUP(PARTENZA2[[#This Row],[DESTINAZIONI]],PARTENZE_DA_POMEZIA[#All],3, FALSE), +IF(PARTENZA2[[#This Row],[PARTENZA]]="MEZZAGO", VLOOKUP(PARTENZA2[[#This Row],[DESTINAZIONI]], PARTENZE_DA_MEZZAGO[#All], 3, FALSE), VLOOKUP(PARTENZA2[[#This Row],[DESTINAZIONI]], PARTENZE_DA_GRAFCOLOR[#All], 3, FALSE)))</f>
        <v/>
      </c>
      <c r="E11" s="220">
        <f>+IF(PARTENZA2[[#This Row],[PARTENZA]]="POMEZIA", VLOOKUP(PARTENZA2[[#This Row],[DESTINAZIONI]],PARTENZE_DA_POMEZIA[#All],4, FALSE), +IF(PARTENZA2[[#This Row],[PARTENZA]]="MEZZAGO", VLOOKUP(PARTENZA2[[#This Row],[DESTINAZIONI]], PARTENZE_DA_MEZZAGO[#All], 4, FALSE), VLOOKUP(PARTENZA2[[#This Row],[DESTINAZIONI]], PARTENZE_DA_GRAFCOLOR[#All], 4, FALSE)))</f>
        <v/>
      </c>
      <c r="F11" s="910">
        <f>++IF(PARTENZA2[[#This Row],[PARTENZA]]="POMEZIA", VLOOKUP(PARTENZA2[[#This Row],[DESTINAZIONI]],PARTENZE_DA_POMEZIA[#All],5, FALSE), +IF(PARTENZA2[[#This Row],[PARTENZA]]="MEZZAGO", VLOOKUP(PARTENZA2[[#This Row],[DESTINAZIONI]], PARTENZE_DA_MEZZAGO[#All], 5, FALSE), VLOOKUP(PARTENZA2[[#This Row],[DESTINAZIONI]], PARTENZE_DA_GRAFCOLOR[#All], 5, FALSE)))</f>
        <v/>
      </c>
      <c r="G11" s="909">
        <f>CEILING(IF(PARTENZA2[[#This Row],[PARTENZA]]="POMEZIA", VLOOKUP(PARTENZA2[[#This Row],[DESTINAZIONI]],PARTENZE_DA_POMEZIA[#All],7, FALSE), +IF(PARTENZA2[[#This Row],[PARTENZA]]="MEZZAGO", VLOOKUP(PARTENZA2[[#This Row],[DESTINAZIONI]], PARTENZE_DA_MEZZAGO[#All], 7, FALSE), VLOOKUP(PARTENZA2[[#This Row],[DESTINAZIONI]], PARTENZE_DA_GRAFCOLOR[#All], 7, FALSE))),25)</f>
        <v/>
      </c>
      <c r="H11" s="909">
        <f t="array" ref="H11">IF(AND(+B152&lt;VLOOKUP(A11,COSTO_PLT[#All],5,FALSE),PARTENZA2[[#This Row],[DISTANZA KM]]&gt;100),CEILING(MAXA(CEILING((G11/VLOOKUP(PARTENZA2[[#This Row],[BANCALE]],COSTO_PLT[#All],3,FALSE)), 25),60)*(1+(VLOOKUP(_xlfn.IFS(B11="POMEZIA",VLOOKUP(dest1,PARTENZE_DA_POMEZIA[[#All],[LUOGO]:[TARIFFA]],2,FALSE), B11="MEZZAGO", VLOOKUP(dest1,PARTENZE_DA_MEZZAGO[[LUOGO]:[TARIFFA]], 2,FALSE), B11="GRAFCOLOR", VLOOKUP(dest1,PARTENZE_DA_GRAFCOLOR[[LUOGO]:[TARIFFA]], 2,FALSE)), COSTI_GENERALI[],3,FALSE))),25),CEILING(MAXA(CEILING((G11/VLOOKUP(PARTENZA2[[#This Row],[BANCALE]],COSTO_PLT[#All],3,FALSE)), 25),60)*(1+(VLOOKUP(_xlfn.IFS(B11="POMEZIA",VLOOKUP(dest1,PARTENZE_DA_POMEZIA[[#All],[LUOGO]:[TARIFFA]],2,FALSE), B11="MEZZAGO", VLOOKUP(dest1,PARTENZE_DA_MEZZAGO[[LUOGO]:[TARIFFA]], 2,FALSE), B11="GRAFCOLOR", VLOOKUP(dest1,PARTENZE_DA_GRAFCOLOR[[LUOGO]:[TARIFFA]], 2,FALSE)), COSTI_GENERALI[],3,FALSE))),10))</f>
        <v/>
      </c>
      <c r="I11" s="909">
        <f>IF(AND(calcolo!B197&lt;VLOOKUP(A11,COSTO_PLT[#All],5,FALSE),PARTENZA2[[#This Row],[DISTANZA KM]]&gt;100),CEILING(_xlfn.CEILING.MATH((G11-H11)/(VLOOKUP(PARTENZA2[[#This Row],[BANCALE]],COSTO_PLT[#All],4,FALSE)-1),1),20),CEILING(_xlfn.CEILING.MATH((G11-H11)/(VLOOKUP(PARTENZA2[[#This Row],[BANCALE]],COSTO_PLT[#All],4,FALSE)-1),0.5),2.5))</f>
        <v/>
      </c>
      <c r="J11" s="911">
        <f>+PARTENZA2[[#This Row],[PREZZO PRIMO BANCALE]]+(+PARTENZA2[[#This Row],[PREZZO BANCALI SUCCESSIVI]]*(VLOOKUP(PARTENZA2[[#This Row],[BANCALE]],COSTO_PLT[#All],4,FALSE)))</f>
        <v/>
      </c>
      <c r="L11" s="200" t="n"/>
      <c r="X11" s="912" t="inlineStr">
        <is>
          <t>F</t>
        </is>
      </c>
      <c r="Y11" s="910" t="n">
        <v>2.25</v>
      </c>
      <c r="Z11" s="421" t="n">
        <v>1.25</v>
      </c>
      <c r="AB11" s="200" t="inlineStr">
        <is>
          <t>PLT 100X120 HT NUOVI</t>
        </is>
      </c>
      <c r="AC11" s="910" t="n">
        <v>18</v>
      </c>
      <c r="AD11" s="913">
        <f>+AD7</f>
        <v/>
      </c>
      <c r="AE11" s="220" t="n">
        <v>26</v>
      </c>
      <c r="AF11" s="220" t="n">
        <v>8</v>
      </c>
    </row>
    <row r="12">
      <c r="A12" s="200">
        <f>+calcolo!A198</f>
        <v/>
      </c>
      <c r="B12" s="200">
        <f>part2</f>
        <v/>
      </c>
      <c r="C12" s="200">
        <f>+calcolo!$A$201</f>
        <v/>
      </c>
      <c r="D12" s="219">
        <f>+IF(PARTENZA2[[#This Row],[PARTENZA]]="POMEZIA", VLOOKUP(PARTENZA2[[#This Row],[DESTINAZIONI]],PARTENZE_DA_POMEZIA[#All],3, FALSE), +IF(PARTENZA2[[#This Row],[PARTENZA]]="MEZZAGO", VLOOKUP(PARTENZA2[[#This Row],[DESTINAZIONI]], PARTENZE_DA_MEZZAGO[#All], 3, FALSE), VLOOKUP(PARTENZA2[[#This Row],[DESTINAZIONI]], PARTENZE_DA_GRAFCOLOR[#All], 3, FALSE)))</f>
        <v/>
      </c>
      <c r="E12" s="220">
        <f>+IF(PARTENZA2[[#This Row],[PARTENZA]]="POMEZIA", VLOOKUP(PARTENZA2[[#This Row],[DESTINAZIONI]],PARTENZE_DA_POMEZIA[#All],4, FALSE), +IF(PARTENZA2[[#This Row],[PARTENZA]]="MEZZAGO", VLOOKUP(PARTENZA2[[#This Row],[DESTINAZIONI]], PARTENZE_DA_MEZZAGO[#All], 4, FALSE), VLOOKUP(PARTENZA2[[#This Row],[DESTINAZIONI]], PARTENZE_DA_GRAFCOLOR[#All], 4, FALSE)))</f>
        <v/>
      </c>
      <c r="F12" s="910">
        <f>++IF(PARTENZA2[[#This Row],[PARTENZA]]="POMEZIA", VLOOKUP(PARTENZA2[[#This Row],[DESTINAZIONI]],PARTENZE_DA_POMEZIA[#All],5, FALSE), +IF(PARTENZA2[[#This Row],[PARTENZA]]="MEZZAGO", VLOOKUP(PARTENZA2[[#This Row],[DESTINAZIONI]], PARTENZE_DA_MEZZAGO[#All], 5, FALSE), VLOOKUP(PARTENZA2[[#This Row],[DESTINAZIONI]], PARTENZE_DA_GRAFCOLOR[#All], 5, FALSE)))</f>
        <v/>
      </c>
      <c r="G12" s="909">
        <f>CEILING(IF(PARTENZA2[[#This Row],[PARTENZA]]="POMEZIA", VLOOKUP(PARTENZA2[[#This Row],[DESTINAZIONI]],PARTENZE_DA_POMEZIA[#All],7, FALSE), +IF(PARTENZA2[[#This Row],[PARTENZA]]="MEZZAGO", VLOOKUP(PARTENZA2[[#This Row],[DESTINAZIONI]], PARTENZE_DA_MEZZAGO[#All], 7, FALSE), VLOOKUP(PARTENZA2[[#This Row],[DESTINAZIONI]], PARTENZE_DA_GRAFCOLOR[#All], 7, FALSE))),25)</f>
        <v/>
      </c>
      <c r="H12" s="909">
        <f t="array" ref="H12">IF(AND(+B153&lt;VLOOKUP(A12,COSTO_PLT[#All],5,FALSE),PARTENZA2[[#This Row],[DISTANZA KM]]&gt;100),CEILING(MAXA(CEILING((G12/VLOOKUP(PARTENZA2[[#This Row],[BANCALE]],COSTO_PLT[#All],3,FALSE)), 25),60)*(1+(VLOOKUP(_xlfn.IFS(B12="POMEZIA",VLOOKUP(dest1,PARTENZE_DA_POMEZIA[[#All],[LUOGO]:[TARIFFA]],2,FALSE), B12="MEZZAGO", VLOOKUP(dest1,PARTENZE_DA_MEZZAGO[[LUOGO]:[TARIFFA]], 2,FALSE), B12="GRAFCOLOR", VLOOKUP(dest1,PARTENZE_DA_GRAFCOLOR[[LUOGO]:[TARIFFA]], 2,FALSE)), COSTI_GENERALI[],3,FALSE))),25),CEILING(MAXA(CEILING((G12/VLOOKUP(PARTENZA2[[#This Row],[BANCALE]],COSTO_PLT[#All],3,FALSE)), 25),60)*(1+(VLOOKUP(_xlfn.IFS(B12="POMEZIA",VLOOKUP(dest1,PARTENZE_DA_POMEZIA[[#All],[LUOGO]:[TARIFFA]],2,FALSE), B12="MEZZAGO", VLOOKUP(dest1,PARTENZE_DA_MEZZAGO[[LUOGO]:[TARIFFA]], 2,FALSE), B12="GRAFCOLOR", VLOOKUP(dest1,PARTENZE_DA_GRAFCOLOR[[LUOGO]:[TARIFFA]], 2,FALSE)), COSTI_GENERALI[],3,FALSE))),10))</f>
        <v/>
      </c>
      <c r="I12" s="909">
        <f>IF(AND(calcolo!B198&lt;VLOOKUP(A12,COSTO_PLT[#All],5,FALSE),PARTENZA2[[#This Row],[DISTANZA KM]]&gt;100),CEILING(_xlfn.CEILING.MATH((G12-H12)/(VLOOKUP(PARTENZA2[[#This Row],[BANCALE]],COSTO_PLT[#All],4,FALSE)-1),1),20),CEILING(_xlfn.CEILING.MATH((G12-H12)/(VLOOKUP(PARTENZA2[[#This Row],[BANCALE]],COSTO_PLT[#All],4,FALSE)-1),0.5),2.5))</f>
        <v/>
      </c>
      <c r="J12" s="911">
        <f>+PARTENZA2[[#This Row],[PREZZO PRIMO BANCALE]]+(+PARTENZA2[[#This Row],[PREZZO BANCALI SUCCESSIVI]]*(VLOOKUP(PARTENZA2[[#This Row],[BANCALE]],COSTO_PLT[#All],4,FALSE)))</f>
        <v/>
      </c>
      <c r="X12" s="912" t="inlineStr">
        <is>
          <t>G</t>
        </is>
      </c>
      <c r="Y12" s="910" t="n">
        <v>2.5</v>
      </c>
      <c r="Z12" s="421" t="n">
        <v>1.5</v>
      </c>
      <c r="AB12" s="200" t="inlineStr">
        <is>
          <t>PLT 100X140 HT NUOVI</t>
        </is>
      </c>
      <c r="AC12" s="910" t="n">
        <v>22</v>
      </c>
      <c r="AD12" s="913">
        <f>+AD8</f>
        <v/>
      </c>
      <c r="AE12" s="220" t="n">
        <v>22</v>
      </c>
      <c r="AF12" s="220" t="n">
        <v>6</v>
      </c>
    </row>
    <row r="13">
      <c r="A13" s="200" t="n"/>
      <c r="B13" s="200" t="n"/>
      <c r="C13" s="200" t="n"/>
      <c r="D13" s="219" t="n"/>
      <c r="E13" s="220" t="n"/>
      <c r="F13" s="910" t="n"/>
      <c r="G13" s="909" t="n"/>
      <c r="H13" s="909" t="n"/>
      <c r="I13" s="909" t="n"/>
      <c r="J13" s="911" t="n"/>
      <c r="X13" s="200" t="inlineStr">
        <is>
          <t>COSTO ORARIO AUTISTA</t>
        </is>
      </c>
      <c r="Y13" s="909" t="n">
        <v>18</v>
      </c>
      <c r="Z13" s="421" t="n">
        <v>1.75</v>
      </c>
      <c r="AB13" s="200" t="inlineStr">
        <is>
          <t>PLT 120X160 HT NUOVI</t>
        </is>
      </c>
      <c r="AC13" s="910" t="n">
        <v>26</v>
      </c>
      <c r="AD13" s="913">
        <f>+AD9</f>
        <v/>
      </c>
      <c r="AE13" s="220" t="n">
        <v>16</v>
      </c>
      <c r="AF13" s="220" t="n">
        <v>5</v>
      </c>
      <c r="AH13" s="200" t="n"/>
      <c r="AI13" s="910" t="n"/>
    </row>
    <row r="14">
      <c r="A14" s="200" t="inlineStr">
        <is>
          <t>BANCALE</t>
        </is>
      </c>
      <c r="B14" s="200" t="inlineStr">
        <is>
          <t>PARTENZA</t>
        </is>
      </c>
      <c r="C14" s="200" t="inlineStr">
        <is>
          <t>DESTINAZIONI</t>
        </is>
      </c>
      <c r="D14" s="200" t="inlineStr">
        <is>
          <t>DISTANZA KM</t>
        </is>
      </c>
      <c r="E14" s="200" t="inlineStr">
        <is>
          <t>TEMPOSTIMATO IN ORE</t>
        </is>
      </c>
      <c r="F14" s="200" t="inlineStr">
        <is>
          <t>PEDAGGI</t>
        </is>
      </c>
      <c r="G14" s="200" t="inlineStr">
        <is>
          <t>SUBTOT BILICO</t>
        </is>
      </c>
      <c r="H14" s="200" t="inlineStr">
        <is>
          <t>PREZZO PRIMO BANCALE</t>
        </is>
      </c>
      <c r="I14" s="200" t="inlineStr">
        <is>
          <t>PREZZO BANCALI SUCCESSIVI</t>
        </is>
      </c>
      <c r="J14" s="200" t="inlineStr">
        <is>
          <t>COSTO BILICO</t>
        </is>
      </c>
      <c r="X14" s="200" t="n"/>
      <c r="Y14" s="909" t="n"/>
      <c r="AB14" s="200" t="inlineStr">
        <is>
          <t>PLT 80X120 EPAL USATI</t>
        </is>
      </c>
      <c r="AC14" s="910" t="n">
        <v>10</v>
      </c>
      <c r="AD14" s="913">
        <f>+AD10</f>
        <v/>
      </c>
      <c r="AE14" s="220" t="n">
        <v>33</v>
      </c>
      <c r="AF14" s="220" t="n">
        <v>10</v>
      </c>
      <c r="AH14" s="200" t="n"/>
      <c r="AI14" s="910" t="n"/>
    </row>
    <row r="15">
      <c r="A15" s="200">
        <f>+calcolo!A195</f>
        <v/>
      </c>
      <c r="B15" s="200">
        <f>part3</f>
        <v/>
      </c>
      <c r="C15" s="200">
        <f>+calcolo!$A$202</f>
        <v/>
      </c>
      <c r="D15" s="219">
        <f>+IF(PARTENZA3[[#This Row],[PARTENZA]]="POMEZIA", VLOOKUP(PARTENZA3[[#This Row],[DESTINAZIONI]],PARTENZE_DA_POMEZIA[#All],3, FALSE), +IF(PARTENZA3[[#This Row],[PARTENZA]]="MEZZAGO", VLOOKUP(PARTENZA3[[#This Row],[DESTINAZIONI]], PARTENZE_DA_MEZZAGO[#All], 3, FALSE), VLOOKUP(PARTENZA3[[#This Row],[DESTINAZIONI]], PARTENZE_DA_GRAFCOLOR[#All], 3, FALSE)))</f>
        <v/>
      </c>
      <c r="E15" s="220">
        <f>+IF(PARTENZA3[[#This Row],[PARTENZA]]="POMEZIA", VLOOKUP(PARTENZA3[[#This Row],[DESTINAZIONI]],PARTENZE_DA_POMEZIA[#All],4, FALSE), +IF(PARTENZA3[[#This Row],[PARTENZA]]="MEZZAGO", VLOOKUP(PARTENZA3[[#This Row],[DESTINAZIONI]], PARTENZE_DA_MEZZAGO[#All], 4, FALSE), VLOOKUP(PARTENZA3[[#This Row],[DESTINAZIONI]], PARTENZE_DA_GRAFCOLOR[#All], 4, FALSE)))</f>
        <v/>
      </c>
      <c r="F15" s="910">
        <f>++IF(PARTENZA3[[#This Row],[PARTENZA]]="POMEZIA", VLOOKUP(PARTENZA3[[#This Row],[DESTINAZIONI]],PARTENZE_DA_POMEZIA[#All],5, FALSE), +IF(PARTENZA3[[#This Row],[PARTENZA]]="MEZZAGO", VLOOKUP(PARTENZA3[[#This Row],[DESTINAZIONI]], PARTENZE_DA_MEZZAGO[#All], 5, FALSE), VLOOKUP(PARTENZA3[[#This Row],[DESTINAZIONI]], PARTENZE_DA_GRAFCOLOR[#All], 5, FALSE)))</f>
        <v/>
      </c>
      <c r="G15" s="909">
        <f>CEILING(IF(PARTENZA3[[#This Row],[PARTENZA]]="POMEZIA", VLOOKUP(PARTENZA3[[#This Row],[DESTINAZIONI]],PARTENZE_DA_POMEZIA[#All],7, FALSE), +IF(PARTENZA3[[#This Row],[PARTENZA]]="MEZZAGO", VLOOKUP(PARTENZA3[[#This Row],[DESTINAZIONI]], PARTENZE_DA_MEZZAGO[#All], 7, FALSE), VLOOKUP(PARTENZA3[[#This Row],[DESTINAZIONI]], PARTENZE_DA_GRAFCOLOR[#All], 7, FALSE))),25)</f>
        <v/>
      </c>
      <c r="H15" s="910">
        <f t="array" ref="H15">IF(AND(+B150&lt;VLOOKUP(A15,COSTO_PLT[#All],5,FALSE),PARTENZA3[[#This Row],[DISTANZA KM]]&gt;100),CEILING(MAXA(CEILING((G15/VLOOKUP(PARTENZA3[[#This Row],[BANCALE]],COSTO_PLT[#All],3,FALSE)), 25),75)*(1+(VLOOKUP(_xlfn.IFS(B15="POMEZIA",VLOOKUP(dest1,PARTENZE_DA_POMEZIA[[#All],[LUOGO]:[TARIFFA]],2,FALSE), B15="MEZZAGO", VLOOKUP(dest1,PARTENZE_DA_MEZZAGO[[LUOGO]:[TARIFFA]], 2,FALSE), B15="GRAFCOLOR", VLOOKUP(dest1,PARTENZE_DA_GRAFCOLOR[[LUOGO]:[TARIFFA]], 2,FALSE)), COSTI_GENERALI[],3,FALSE))),25),CEILING(MAXA(CEILING((G15/VLOOKUP(PARTENZA3[[#This Row],[BANCALE]],COSTO_PLT[#All],3,FALSE)), 25),60)*(1+(VLOOKUP(_xlfn.IFS(B15="POMEZIA",VLOOKUP(dest1,PARTENZE_DA_POMEZIA[[#All],[LUOGO]:[TARIFFA]],2,FALSE), B15="MEZZAGO", VLOOKUP(dest1,PARTENZE_DA_MEZZAGO[[LUOGO]:[TARIFFA]], 2,FALSE), B15="GRAFCOLOR", VLOOKUP(dest1,PARTENZE_DA_GRAFCOLOR[[LUOGO]:[TARIFFA]], 2,FALSE)), COSTI_GENERALI[],3,FALSE))),5))</f>
        <v/>
      </c>
      <c r="I15" s="909">
        <f>IF(AND(calcolo!B201&lt;VLOOKUP(A15,COSTO_PLT[#All],5,FALSE),PARTENZA3[[#This Row],[DISTANZA KM]]&gt;100),CEILING(_xlfn.CEILING.MATH((G15-H15)/(VLOOKUP(PARTENZA3[[#This Row],[BANCALE]],COSTO_PLT[#All],4,FALSE)-1),1),20),CEILING(_xlfn.CEILING.MATH((G15-H15)/(VLOOKUP(PARTENZA3[[#This Row],[BANCALE]],COSTO_PLT[#All],4,FALSE)-1),0.5),2.5))</f>
        <v/>
      </c>
      <c r="J15" s="911">
        <f>+PARTENZA3[[#This Row],[PREZZO PRIMO BANCALE]]+(+PARTENZA3[[#This Row],[PREZZO BANCALI SUCCESSIVI]]*(VLOOKUP(PARTENZA3[[#This Row],[BANCALE]],COSTO_PLT[#All],4,FALSE)))</f>
        <v/>
      </c>
      <c r="AB15" s="200" t="inlineStr">
        <is>
          <t>PLT 100X120 USATI</t>
        </is>
      </c>
      <c r="AC15" s="910" t="n">
        <v>12</v>
      </c>
      <c r="AD15" s="913">
        <f>+AD11</f>
        <v/>
      </c>
      <c r="AE15" s="220" t="n">
        <v>26</v>
      </c>
      <c r="AF15" s="220" t="n">
        <v>8</v>
      </c>
      <c r="AH15" s="200" t="n"/>
      <c r="AI15" s="910" t="n"/>
    </row>
    <row r="16">
      <c r="A16" s="200">
        <f>+calcolo!A196</f>
        <v/>
      </c>
      <c r="B16" s="200">
        <f>part3</f>
        <v/>
      </c>
      <c r="C16" s="200">
        <f>+calcolo!$A$202</f>
        <v/>
      </c>
      <c r="D16" s="219">
        <f>+IF(PARTENZA3[[#This Row],[PARTENZA]]="POMEZIA", VLOOKUP(PARTENZA3[[#This Row],[DESTINAZIONI]],PARTENZE_DA_POMEZIA[#All],3, FALSE), +IF(PARTENZA3[[#This Row],[PARTENZA]]="MEZZAGO", VLOOKUP(PARTENZA3[[#This Row],[DESTINAZIONI]], PARTENZE_DA_MEZZAGO[#All], 3, FALSE), VLOOKUP(PARTENZA3[[#This Row],[DESTINAZIONI]], PARTENZE_DA_GRAFCOLOR[#All], 3, FALSE)))</f>
        <v/>
      </c>
      <c r="E16" s="220">
        <f>+IF(PARTENZA3[[#This Row],[PARTENZA]]="POMEZIA", VLOOKUP(PARTENZA3[[#This Row],[DESTINAZIONI]],PARTENZE_DA_POMEZIA[#All],4, FALSE), +IF(PARTENZA3[[#This Row],[PARTENZA]]="MEZZAGO", VLOOKUP(PARTENZA3[[#This Row],[DESTINAZIONI]], PARTENZE_DA_MEZZAGO[#All], 4, FALSE), VLOOKUP(PARTENZA3[[#This Row],[DESTINAZIONI]], PARTENZE_DA_GRAFCOLOR[#All], 4, FALSE)))</f>
        <v/>
      </c>
      <c r="F16" s="910">
        <f>++IF(PARTENZA3[[#This Row],[PARTENZA]]="POMEZIA", VLOOKUP(PARTENZA3[[#This Row],[DESTINAZIONI]],PARTENZE_DA_POMEZIA[#All],5, FALSE), +IF(PARTENZA3[[#This Row],[PARTENZA]]="MEZZAGO", VLOOKUP(PARTENZA3[[#This Row],[DESTINAZIONI]], PARTENZE_DA_MEZZAGO[#All], 5, FALSE), VLOOKUP(PARTENZA3[[#This Row],[DESTINAZIONI]], PARTENZE_DA_GRAFCOLOR[#All], 5, FALSE)))</f>
        <v/>
      </c>
      <c r="G16" s="909">
        <f>CEILING(IF(PARTENZA3[[#This Row],[PARTENZA]]="POMEZIA", VLOOKUP(PARTENZA3[[#This Row],[DESTINAZIONI]],PARTENZE_DA_POMEZIA[#All],7, FALSE), +IF(PARTENZA3[[#This Row],[PARTENZA]]="MEZZAGO", VLOOKUP(PARTENZA3[[#This Row],[DESTINAZIONI]], PARTENZE_DA_MEZZAGO[#All], 7, FALSE), VLOOKUP(PARTENZA3[[#This Row],[DESTINAZIONI]], PARTENZE_DA_GRAFCOLOR[#All], 7, FALSE))),25)</f>
        <v/>
      </c>
      <c r="H16" s="909">
        <f t="array" ref="H16">IF(AND(+B157&lt;VLOOKUP(A16,COSTO_PLT[#All],5,FALSE),PARTENZA3[[#This Row],[DISTANZA KM]]&gt;100),CEILING(MAXA(CEILING((G16/VLOOKUP(PARTENZA3[[#This Row],[BANCALE]],COSTO_PLT[#All],3,FALSE)), 25),60)*(1+(VLOOKUP(_xlfn.IFS(B16="POMEZIA",VLOOKUP(dest1,PARTENZE_DA_POMEZIA[[#All],[LUOGO]:[TARIFFA]],2,FALSE), B16="MEZZAGO", VLOOKUP(dest1,PARTENZE_DA_MEZZAGO[[LUOGO]:[TARIFFA]], 2,FALSE), B16="GRAFCOLOR", VLOOKUP(dest1,PARTENZE_DA_GRAFCOLOR[[LUOGO]:[TARIFFA]], 2,FALSE)), COSTI_GENERALI[],3,FALSE))),25),CEILING(MAXA(CEILING((G16/VLOOKUP(PARTENZA3[[#This Row],[BANCALE]],COSTO_PLT[#All],3,FALSE)), 25),60)*(1+(VLOOKUP(_xlfn.IFS(B16="POMEZIA",VLOOKUP(dest1,PARTENZE_DA_POMEZIA[[#All],[LUOGO]:[TARIFFA]],2,FALSE), B16="MEZZAGO", VLOOKUP(dest1,PARTENZE_DA_MEZZAGO[[LUOGO]:[TARIFFA]], 2,FALSE), B16="GRAFCOLOR", VLOOKUP(dest1,PARTENZE_DA_GRAFCOLOR[[LUOGO]:[TARIFFA]], 2,FALSE)), COSTI_GENERALI[],3,FALSE))),10))</f>
        <v/>
      </c>
      <c r="I16" s="909">
        <f>IF(AND(calcolo!B202&lt;VLOOKUP(A16,COSTO_PLT[#All],5,FALSE),PARTENZA3[[#This Row],[DISTANZA KM]]&gt;100),CEILING(_xlfn.CEILING.MATH((G16-H16)/(VLOOKUP(PARTENZA3[[#This Row],[BANCALE]],COSTO_PLT[#All],4,FALSE)-1),1),20),CEILING(_xlfn.CEILING.MATH((G16-H16)/(VLOOKUP(PARTENZA3[[#This Row],[BANCALE]],COSTO_PLT[#All],4,FALSE)-1),0.5),2.5))</f>
        <v/>
      </c>
      <c r="J16" s="911">
        <f>+PARTENZA3[[#This Row],[PREZZO PRIMO BANCALE]]+(+PARTENZA3[[#This Row],[PREZZO BANCALI SUCCESSIVI]]*(VLOOKUP(PARTENZA3[[#This Row],[BANCALE]],COSTO_PLT[#All],4,FALSE)))</f>
        <v/>
      </c>
      <c r="AB16" s="200" t="inlineStr">
        <is>
          <t>PLT 100X140 USATI</t>
        </is>
      </c>
      <c r="AC16" s="910" t="n">
        <v>16</v>
      </c>
      <c r="AD16" s="913">
        <f>+AD12</f>
        <v/>
      </c>
      <c r="AE16" s="220" t="n">
        <v>22</v>
      </c>
      <c r="AF16" s="220" t="n">
        <v>6</v>
      </c>
      <c r="AH16" s="200" t="n"/>
      <c r="AI16" s="910" t="n"/>
    </row>
    <row r="17">
      <c r="A17" s="200">
        <f>+calcolo!A197</f>
        <v/>
      </c>
      <c r="B17" s="200">
        <f>part3</f>
        <v/>
      </c>
      <c r="C17" s="200">
        <f>+calcolo!$A$202</f>
        <v/>
      </c>
      <c r="D17" s="219">
        <f>+IF(PARTENZA3[[#This Row],[PARTENZA]]="POMEZIA", VLOOKUP(PARTENZA3[[#This Row],[DESTINAZIONI]],PARTENZE_DA_POMEZIA[#All],3, FALSE), +IF(PARTENZA3[[#This Row],[PARTENZA]]="MEZZAGO", VLOOKUP(PARTENZA3[[#This Row],[DESTINAZIONI]], PARTENZE_DA_MEZZAGO[#All], 3, FALSE), VLOOKUP(PARTENZA3[[#This Row],[DESTINAZIONI]], PARTENZE_DA_GRAFCOLOR[#All], 3, FALSE)))</f>
        <v/>
      </c>
      <c r="E17" s="220">
        <f>+IF(PARTENZA3[[#This Row],[PARTENZA]]="POMEZIA", VLOOKUP(PARTENZA3[[#This Row],[DESTINAZIONI]],PARTENZE_DA_POMEZIA[#All],4, FALSE), +IF(PARTENZA3[[#This Row],[PARTENZA]]="MEZZAGO", VLOOKUP(PARTENZA3[[#This Row],[DESTINAZIONI]], PARTENZE_DA_MEZZAGO[#All], 4, FALSE), VLOOKUP(PARTENZA3[[#This Row],[DESTINAZIONI]], PARTENZE_DA_GRAFCOLOR[#All], 4, FALSE)))</f>
        <v/>
      </c>
      <c r="F17" s="910">
        <f>++IF(PARTENZA3[[#This Row],[PARTENZA]]="POMEZIA", VLOOKUP(PARTENZA3[[#This Row],[DESTINAZIONI]],PARTENZE_DA_POMEZIA[#All],5, FALSE), +IF(PARTENZA3[[#This Row],[PARTENZA]]="MEZZAGO", VLOOKUP(PARTENZA3[[#This Row],[DESTINAZIONI]], PARTENZE_DA_MEZZAGO[#All], 5, FALSE), VLOOKUP(PARTENZA3[[#This Row],[DESTINAZIONI]], PARTENZE_DA_GRAFCOLOR[#All], 5, FALSE)))</f>
        <v/>
      </c>
      <c r="G17" s="909">
        <f>CEILING(IF(PARTENZA3[[#This Row],[PARTENZA]]="POMEZIA", VLOOKUP(PARTENZA3[[#This Row],[DESTINAZIONI]],PARTENZE_DA_POMEZIA[#All],7, FALSE), +IF(PARTENZA3[[#This Row],[PARTENZA]]="MEZZAGO", VLOOKUP(PARTENZA3[[#This Row],[DESTINAZIONI]], PARTENZE_DA_MEZZAGO[#All], 7, FALSE), VLOOKUP(PARTENZA3[[#This Row],[DESTINAZIONI]], PARTENZE_DA_GRAFCOLOR[#All], 7, FALSE))),25)</f>
        <v/>
      </c>
      <c r="H17" s="909">
        <f t="array" ref="H17">IF(AND(+B158&lt;VLOOKUP(A17,COSTO_PLT[#All],5,FALSE),PARTENZA3[[#This Row],[DISTANZA KM]]&gt;100),CEILING(MAXA(CEILING((G17/VLOOKUP(PARTENZA3[[#This Row],[BANCALE]],COSTO_PLT[#All],3,FALSE)), 25),60)*(1+(VLOOKUP(_xlfn.IFS(B17="POMEZIA",VLOOKUP(dest1,PARTENZE_DA_POMEZIA[[#All],[LUOGO]:[TARIFFA]],2,FALSE), B17="MEZZAGO", VLOOKUP(dest1,PARTENZE_DA_MEZZAGO[[LUOGO]:[TARIFFA]], 2,FALSE), B17="GRAFCOLOR", VLOOKUP(dest1,PARTENZE_DA_GRAFCOLOR[[LUOGO]:[TARIFFA]], 2,FALSE)), COSTI_GENERALI[],3,FALSE))),25),CEILING(MAXA(CEILING((G17/VLOOKUP(PARTENZA3[[#This Row],[BANCALE]],COSTO_PLT[#All],3,FALSE)), 25),60)*(1+(VLOOKUP(_xlfn.IFS(B17="POMEZIA",VLOOKUP(dest1,PARTENZE_DA_POMEZIA[[#All],[LUOGO]:[TARIFFA]],2,FALSE), B17="MEZZAGO", VLOOKUP(dest1,PARTENZE_DA_MEZZAGO[[LUOGO]:[TARIFFA]], 2,FALSE), B17="GRAFCOLOR", VLOOKUP(dest1,PARTENZE_DA_GRAFCOLOR[[LUOGO]:[TARIFFA]], 2,FALSE)), COSTI_GENERALI[],3,FALSE))),10))</f>
        <v/>
      </c>
      <c r="I17" s="909">
        <f>IF(AND(calcolo!B203&lt;VLOOKUP(A17,COSTO_PLT[#All],5,FALSE),PARTENZA3[[#This Row],[DISTANZA KM]]&gt;100),CEILING(_xlfn.CEILING.MATH((G17-H17)/(VLOOKUP(PARTENZA3[[#This Row],[BANCALE]],COSTO_PLT[#All],4,FALSE)-1),1),20),CEILING(_xlfn.CEILING.MATH((G17-H17)/(VLOOKUP(PARTENZA3[[#This Row],[BANCALE]],COSTO_PLT[#All],4,FALSE)-1),0.5),2.5))</f>
        <v/>
      </c>
      <c r="J17" s="911">
        <f>+PARTENZA3[[#This Row],[PREZZO PRIMO BANCALE]]+(+PARTENZA3[[#This Row],[PREZZO BANCALI SUCCESSIVI]]*(VLOOKUP(PARTENZA3[[#This Row],[BANCALE]],COSTO_PLT[#All],4,FALSE)))</f>
        <v/>
      </c>
      <c r="X17" s="200" t="n"/>
      <c r="Y17" s="909" t="n"/>
      <c r="AB17" s="200" t="inlineStr">
        <is>
          <t>PLT 120X160 USATI</t>
        </is>
      </c>
      <c r="AC17" s="910" t="n">
        <v>24</v>
      </c>
      <c r="AD17" s="913">
        <f>+AD13</f>
        <v/>
      </c>
      <c r="AE17" s="220" t="n">
        <v>16</v>
      </c>
      <c r="AF17" s="220" t="n">
        <v>5</v>
      </c>
      <c r="AH17" s="200" t="n"/>
      <c r="AI17" s="910" t="n"/>
    </row>
    <row r="18">
      <c r="A18" s="200">
        <f>+calcolo!A198</f>
        <v/>
      </c>
      <c r="B18" s="200">
        <f>part3</f>
        <v/>
      </c>
      <c r="C18" s="200">
        <f>+calcolo!$A$202</f>
        <v/>
      </c>
      <c r="D18" s="219">
        <f>+IF(PARTENZA3[[#This Row],[PARTENZA]]="POMEZIA", VLOOKUP(PARTENZA3[[#This Row],[DESTINAZIONI]],PARTENZE_DA_POMEZIA[#All],3, FALSE), +IF(PARTENZA3[[#This Row],[PARTENZA]]="MEZZAGO", VLOOKUP(PARTENZA3[[#This Row],[DESTINAZIONI]], PARTENZE_DA_MEZZAGO[#All], 3, FALSE), VLOOKUP(PARTENZA3[[#This Row],[DESTINAZIONI]], PARTENZE_DA_GRAFCOLOR[#All], 3, FALSE)))</f>
        <v/>
      </c>
      <c r="E18" s="220">
        <f>+IF(PARTENZA3[[#This Row],[PARTENZA]]="POMEZIA", VLOOKUP(PARTENZA3[[#This Row],[DESTINAZIONI]],PARTENZE_DA_POMEZIA[#All],4, FALSE), +IF(PARTENZA3[[#This Row],[PARTENZA]]="MEZZAGO", VLOOKUP(PARTENZA3[[#This Row],[DESTINAZIONI]], PARTENZE_DA_MEZZAGO[#All], 4, FALSE), VLOOKUP(PARTENZA3[[#This Row],[DESTINAZIONI]], PARTENZE_DA_GRAFCOLOR[#All], 4, FALSE)))</f>
        <v/>
      </c>
      <c r="F18" s="910">
        <f>++IF(PARTENZA3[[#This Row],[PARTENZA]]="POMEZIA", VLOOKUP(PARTENZA3[[#This Row],[DESTINAZIONI]],PARTENZE_DA_POMEZIA[#All],5, FALSE), +IF(PARTENZA3[[#This Row],[PARTENZA]]="MEZZAGO", VLOOKUP(PARTENZA3[[#This Row],[DESTINAZIONI]], PARTENZE_DA_MEZZAGO[#All], 5, FALSE), VLOOKUP(PARTENZA3[[#This Row],[DESTINAZIONI]], PARTENZE_DA_GRAFCOLOR[#All], 5, FALSE)))</f>
        <v/>
      </c>
      <c r="G18" s="909">
        <f>CEILING(IF(PARTENZA3[[#This Row],[PARTENZA]]="POMEZIA", VLOOKUP(PARTENZA3[[#This Row],[DESTINAZIONI]],PARTENZE_DA_POMEZIA[#All],7, FALSE), +IF(PARTENZA3[[#This Row],[PARTENZA]]="MEZZAGO", VLOOKUP(PARTENZA3[[#This Row],[DESTINAZIONI]], PARTENZE_DA_MEZZAGO[#All], 7, FALSE), VLOOKUP(PARTENZA3[[#This Row],[DESTINAZIONI]], PARTENZE_DA_GRAFCOLOR[#All], 7, FALSE))),25)</f>
        <v/>
      </c>
      <c r="H18" s="909">
        <f t="array" ref="H18">IF(AND(+B159&lt;VLOOKUP(A18,COSTO_PLT[#All],5,FALSE),PARTENZA3[[#This Row],[DISTANZA KM]]&gt;100),CEILING(MAXA(CEILING((G18/VLOOKUP(PARTENZA3[[#This Row],[BANCALE]],COSTO_PLT[#All],3,FALSE)), 25),60)*(1+(VLOOKUP(_xlfn.IFS(B18="POMEZIA",VLOOKUP(dest1,PARTENZE_DA_POMEZIA[[#All],[LUOGO]:[TARIFFA]],2,FALSE), B18="MEZZAGO", VLOOKUP(dest1,PARTENZE_DA_MEZZAGO[[LUOGO]:[TARIFFA]], 2,FALSE), B18="GRAFCOLOR", VLOOKUP(dest1,PARTENZE_DA_GRAFCOLOR[[LUOGO]:[TARIFFA]], 2,FALSE)), COSTI_GENERALI[],3,FALSE))),25),CEILING(MAXA(CEILING((G18/VLOOKUP(PARTENZA3[[#This Row],[BANCALE]],COSTO_PLT[#All],3,FALSE)), 25),60)*(1+(VLOOKUP(_xlfn.IFS(B18="POMEZIA",VLOOKUP(dest1,PARTENZE_DA_POMEZIA[[#All],[LUOGO]:[TARIFFA]],2,FALSE), B18="MEZZAGO", VLOOKUP(dest1,PARTENZE_DA_MEZZAGO[[LUOGO]:[TARIFFA]], 2,FALSE), B18="GRAFCOLOR", VLOOKUP(dest1,PARTENZE_DA_GRAFCOLOR[[LUOGO]:[TARIFFA]], 2,FALSE)), COSTI_GENERALI[],3,FALSE))),10))</f>
        <v/>
      </c>
      <c r="I18" s="909">
        <f>IF(AND(calcolo!B204&lt;VLOOKUP(A18,COSTO_PLT[#All],5,FALSE),PARTENZA3[[#This Row],[DISTANZA KM]]&gt;100),CEILING(_xlfn.CEILING.MATH((G18-H18)/(VLOOKUP(PARTENZA3[[#This Row],[BANCALE]],COSTO_PLT[#All],4,FALSE)-1),1),20),CEILING(_xlfn.CEILING.MATH((G18-H18)/(VLOOKUP(PARTENZA3[[#This Row],[BANCALE]],COSTO_PLT[#All],4,FALSE)-1),0.5),2.5))</f>
        <v/>
      </c>
      <c r="J18" s="911">
        <f>+PARTENZA3[[#This Row],[PREZZO PRIMO BANCALE]]+(+PARTENZA3[[#This Row],[PREZZO BANCALI SUCCESSIVI]]*(VLOOKUP(PARTENZA3[[#This Row],[BANCALE]],COSTO_PLT[#All],4,FALSE)))</f>
        <v/>
      </c>
      <c r="AB18" s="200" t="inlineStr">
        <is>
          <t>PLT 80X120 EPAL 1° SCELTA</t>
        </is>
      </c>
      <c r="AC18" s="910" t="n">
        <v>13</v>
      </c>
      <c r="AD18" s="913">
        <f>+AD14</f>
        <v/>
      </c>
      <c r="AE18" s="220" t="n">
        <v>33</v>
      </c>
      <c r="AF18" s="220" t="n">
        <v>10</v>
      </c>
    </row>
    <row r="19">
      <c r="AB19" s="200" t="inlineStr">
        <is>
          <t>PLT 100X120 1° SCELTA</t>
        </is>
      </c>
      <c r="AC19" s="910" t="n">
        <v>15</v>
      </c>
      <c r="AD19" s="913">
        <f>+AD15</f>
        <v/>
      </c>
      <c r="AE19" s="220" t="n">
        <v>26</v>
      </c>
      <c r="AF19" s="220" t="n">
        <v>8</v>
      </c>
    </row>
    <row r="20">
      <c r="A20" s="503" t="inlineStr">
        <is>
          <t>TARIFFE STRADALI CONSULTATE SU www.viamichelin.it</t>
        </is>
      </c>
      <c r="AB20" s="200" t="inlineStr">
        <is>
          <t>PLT 100X140 1° SCELTA</t>
        </is>
      </c>
      <c r="AC20" s="910" t="n">
        <v>20</v>
      </c>
      <c r="AD20" s="913">
        <f>+AD16</f>
        <v/>
      </c>
      <c r="AE20" s="220" t="n">
        <v>22</v>
      </c>
      <c r="AF20" s="220" t="n">
        <v>6</v>
      </c>
    </row>
    <row r="21">
      <c r="A21" s="503" t="inlineStr">
        <is>
          <t>TARIFFE TRAGHETTI CONSULTATE SU www.freightlink.it</t>
        </is>
      </c>
      <c r="AB21" s="200" t="inlineStr">
        <is>
          <t>PLT 120X160 1° SCELTA</t>
        </is>
      </c>
      <c r="AC21" s="910" t="n">
        <v>25</v>
      </c>
      <c r="AD21" s="913">
        <f>+AD17</f>
        <v/>
      </c>
      <c r="AE21" s="220" t="n">
        <v>16</v>
      </c>
      <c r="AF21" s="220" t="n">
        <v>5</v>
      </c>
    </row>
    <row r="22"/>
    <row r="23">
      <c r="A23" s="200" t="inlineStr">
        <is>
          <t>PARTENZE DA POMEZIA</t>
        </is>
      </c>
      <c r="H23" s="200" t="inlineStr">
        <is>
          <t>PARTENZE DA MEZZAGO</t>
        </is>
      </c>
      <c r="O23" s="200" t="inlineStr">
        <is>
          <t>PARTENZE DA GRAFCOLOR</t>
        </is>
      </c>
    </row>
    <row r="24">
      <c r="A24" s="406" t="inlineStr">
        <is>
          <t>LUOGO</t>
        </is>
      </c>
      <c r="B24" s="406" t="inlineStr">
        <is>
          <t>TARIFFA</t>
        </is>
      </c>
      <c r="C24" s="406" t="inlineStr">
        <is>
          <t>DISTANZA</t>
        </is>
      </c>
      <c r="D24" s="406" t="inlineStr">
        <is>
          <t>TEMPO</t>
        </is>
      </c>
      <c r="E24" s="914" t="inlineStr">
        <is>
          <t>PEDAGGI</t>
        </is>
      </c>
      <c r="F24" s="914" t="inlineStr">
        <is>
          <t>ALTRI COSTI</t>
        </is>
      </c>
      <c r="G24" s="914" t="inlineStr">
        <is>
          <t>PREZZO BILICO</t>
        </is>
      </c>
      <c r="H24" s="273" t="inlineStr">
        <is>
          <t>LUOGO</t>
        </is>
      </c>
      <c r="I24" s="273" t="inlineStr">
        <is>
          <t>TARIFFA</t>
        </is>
      </c>
      <c r="J24" s="273" t="inlineStr">
        <is>
          <t>DISTANZA</t>
        </is>
      </c>
      <c r="K24" s="273" t="inlineStr">
        <is>
          <t>TEMPO</t>
        </is>
      </c>
      <c r="L24" s="273" t="inlineStr">
        <is>
          <t>PEDAGGI</t>
        </is>
      </c>
      <c r="M24" s="273" t="inlineStr">
        <is>
          <t>ALTRI COSTI</t>
        </is>
      </c>
      <c r="N24" s="273" t="inlineStr">
        <is>
          <t>PREZZO BILICO</t>
        </is>
      </c>
      <c r="O24" s="273" t="inlineStr">
        <is>
          <t>LUOGO</t>
        </is>
      </c>
      <c r="P24" s="273" t="inlineStr">
        <is>
          <t>TARIFFA</t>
        </is>
      </c>
      <c r="Q24" s="273" t="inlineStr">
        <is>
          <t>DISTANZA</t>
        </is>
      </c>
      <c r="R24" s="273" t="inlineStr">
        <is>
          <t>TEMPO</t>
        </is>
      </c>
      <c r="S24" s="273" t="inlineStr">
        <is>
          <t>PEDAGGI</t>
        </is>
      </c>
      <c r="T24" s="273" t="inlineStr">
        <is>
          <t>ALTRI COSTI</t>
        </is>
      </c>
      <c r="U24" s="273" t="inlineStr">
        <is>
          <t>PREZZO BILICO</t>
        </is>
      </c>
    </row>
    <row r="25">
      <c r="A25" s="217" t="inlineStr">
        <is>
          <t>ACILIA (RM)</t>
        </is>
      </c>
      <c r="B25" s="210" t="inlineStr">
        <is>
          <t>A</t>
        </is>
      </c>
      <c r="C25" s="211" t="n">
        <v>30</v>
      </c>
      <c r="D25" s="211">
        <f>+MAXA(_xlfn.CEILING.MATH(C25/60)+2,1)</f>
        <v/>
      </c>
      <c r="E25" s="915" t="n">
        <v>0</v>
      </c>
      <c r="F25" s="915" t="n">
        <v>0</v>
      </c>
      <c r="G25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5" s="294" t="inlineStr">
        <is>
          <t>ACILIA (RM)</t>
        </is>
      </c>
      <c r="I25" s="210" t="inlineStr">
        <is>
          <t>A</t>
        </is>
      </c>
      <c r="J25" s="211" t="n">
        <v>630</v>
      </c>
      <c r="K25" s="211">
        <f>+MAXA(_xlfn.CEILING.MATH(J25/60)+2,1)</f>
        <v/>
      </c>
      <c r="L25" s="916" t="n">
        <v>50</v>
      </c>
      <c r="M25" s="916" t="n">
        <v>0</v>
      </c>
      <c r="N25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5" s="294" t="inlineStr">
        <is>
          <t>ACILIA (RM)</t>
        </is>
      </c>
      <c r="P25" s="210" t="inlineStr">
        <is>
          <t>C</t>
        </is>
      </c>
      <c r="Q25" s="211" t="n">
        <v>235</v>
      </c>
      <c r="R25" s="211">
        <f>+MAXA(_xlfn.CEILING.MATH(Q25/60)+2,1)</f>
        <v/>
      </c>
      <c r="S25" s="916" t="n">
        <v>16</v>
      </c>
      <c r="T25" s="916" t="n">
        <v>0</v>
      </c>
      <c r="U25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6">
      <c r="A26" s="217" t="inlineStr">
        <is>
          <t>AGEN (F)</t>
        </is>
      </c>
      <c r="B26" s="210" t="inlineStr">
        <is>
          <t>F</t>
        </is>
      </c>
      <c r="C26" s="211" t="n">
        <v>1380</v>
      </c>
      <c r="D26" s="211">
        <f>+MAXA(_xlfn.CEILING.MATH(C26/60)+2,1)</f>
        <v/>
      </c>
      <c r="E26" s="915" t="n">
        <v>140</v>
      </c>
      <c r="F26" s="915" t="n">
        <v>0</v>
      </c>
      <c r="G26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6" s="294" t="inlineStr">
        <is>
          <t>AGEN (F)</t>
        </is>
      </c>
      <c r="I26" s="210" t="inlineStr">
        <is>
          <t>F</t>
        </is>
      </c>
      <c r="J26" s="211" t="n">
        <v>1040</v>
      </c>
      <c r="K26" s="211">
        <f>+MAXA(_xlfn.CEILING.MATH(J26/60)+2,1)</f>
        <v/>
      </c>
      <c r="L26" s="917" t="n">
        <v>190</v>
      </c>
      <c r="M26" s="917" t="n">
        <v>0</v>
      </c>
      <c r="N26" s="917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6" s="294" t="inlineStr">
        <is>
          <t>AGEN (F)</t>
        </is>
      </c>
      <c r="P26" s="210" t="inlineStr">
        <is>
          <t>F</t>
        </is>
      </c>
      <c r="Q26" s="211" t="n">
        <v>1500</v>
      </c>
      <c r="R26" s="211">
        <f>+MAXA(_xlfn.CEILING.MATH(Q26/60)+2,1)</f>
        <v/>
      </c>
      <c r="S26" s="917" t="n">
        <v>150</v>
      </c>
      <c r="T26" s="916" t="n">
        <v>0</v>
      </c>
      <c r="U26" s="917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7">
      <c r="A27" s="217" t="inlineStr">
        <is>
          <t>AGNADELLO (CR)</t>
        </is>
      </c>
      <c r="B27" s="210" t="inlineStr">
        <is>
          <t>A</t>
        </is>
      </c>
      <c r="C27" s="211" t="n">
        <v>600</v>
      </c>
      <c r="D27" s="211">
        <f>+MAXA(_xlfn.CEILING.MATH(C27/60)+2,1)</f>
        <v/>
      </c>
      <c r="E27" s="915" t="n">
        <v>40</v>
      </c>
      <c r="F27" s="915" t="n">
        <v>0</v>
      </c>
      <c r="G27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7" s="294" t="inlineStr">
        <is>
          <t>AGNADELLO (CR)</t>
        </is>
      </c>
      <c r="I27" s="210" t="inlineStr">
        <is>
          <t>A</t>
        </is>
      </c>
      <c r="J27" s="211" t="n">
        <v>32</v>
      </c>
      <c r="K27" s="211">
        <f>+MAXA(_xlfn.CEILING.MATH(J27/60)+2,1)</f>
        <v/>
      </c>
      <c r="L27" s="917" t="n">
        <v>5</v>
      </c>
      <c r="M27" s="917" t="n">
        <v>0</v>
      </c>
      <c r="N27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7" s="294" t="inlineStr">
        <is>
          <t>AGNADELLO (CR)</t>
        </is>
      </c>
      <c r="P27" s="210" t="inlineStr">
        <is>
          <t>C</t>
        </is>
      </c>
      <c r="Q27" s="211" t="n">
        <v>555</v>
      </c>
      <c r="R27" s="211">
        <f>+MAXA(_xlfn.CEILING.MATH(Q27/60)+2,1)</f>
        <v/>
      </c>
      <c r="S27" s="917" t="n">
        <v>39</v>
      </c>
      <c r="T27" s="917" t="n">
        <v>0</v>
      </c>
      <c r="U27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8">
      <c r="A28" s="217" t="inlineStr">
        <is>
          <t>AJACCIO (F)</t>
        </is>
      </c>
      <c r="B28" s="210" t="inlineStr">
        <is>
          <t>F</t>
        </is>
      </c>
      <c r="C28" s="211" t="n">
        <v>550</v>
      </c>
      <c r="D28" s="211">
        <f>+MAXA(_xlfn.CEILING.MATH(C28/60)+2,1)</f>
        <v/>
      </c>
      <c r="E28" s="915" t="n">
        <v>6</v>
      </c>
      <c r="F28" s="915" t="n">
        <v>750</v>
      </c>
      <c r="G28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8" s="294" t="inlineStr">
        <is>
          <t>AJACCIO (F)</t>
        </is>
      </c>
      <c r="I28" s="210" t="inlineStr">
        <is>
          <t>F</t>
        </is>
      </c>
      <c r="J28" s="211" t="n">
        <v>600</v>
      </c>
      <c r="K28" s="211">
        <f>+MAXA(_xlfn.CEILING.MATH(J28/60)+2,1)</f>
        <v/>
      </c>
      <c r="L28" s="916" t="n">
        <v>36</v>
      </c>
      <c r="M28" s="916" t="n">
        <v>750</v>
      </c>
      <c r="N28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8" s="294" t="inlineStr">
        <is>
          <t>AJACCIO (F)</t>
        </is>
      </c>
      <c r="P28" s="210" t="inlineStr">
        <is>
          <t>G</t>
        </is>
      </c>
      <c r="Q28" s="211" t="n">
        <v>730</v>
      </c>
      <c r="R28" s="211">
        <f>+MAXA(_xlfn.CEILING.MATH(Q28/60)+2,1)</f>
        <v/>
      </c>
      <c r="S28" s="916" t="n">
        <v>27</v>
      </c>
      <c r="T28" s="916" t="n">
        <v>750</v>
      </c>
      <c r="U28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9">
      <c r="A29" s="217" t="inlineStr">
        <is>
          <t>ALA (TN)</t>
        </is>
      </c>
      <c r="B29" s="210" t="inlineStr">
        <is>
          <t>C</t>
        </is>
      </c>
      <c r="C29" s="211" t="n">
        <v>585</v>
      </c>
      <c r="D29" s="211">
        <f>+MAXA(_xlfn.CEILING.MATH(C29/60)+2,1)</f>
        <v/>
      </c>
      <c r="E29" s="915" t="n">
        <v>41</v>
      </c>
      <c r="F29" s="915" t="n">
        <v>0</v>
      </c>
      <c r="G29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9" s="294" t="inlineStr">
        <is>
          <t>ALA (TN)</t>
        </is>
      </c>
      <c r="I29" s="210" t="inlineStr">
        <is>
          <t>C</t>
        </is>
      </c>
      <c r="J29" s="211" t="n">
        <v>165</v>
      </c>
      <c r="K29" s="211">
        <f>+MAXA(_xlfn.CEILING.MATH(J29/60)+2,1)</f>
        <v/>
      </c>
      <c r="L29" s="917" t="n">
        <v>8</v>
      </c>
      <c r="M29" s="917" t="n">
        <v>0</v>
      </c>
      <c r="N29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9" s="294" t="inlineStr">
        <is>
          <t>ALA (TN)</t>
        </is>
      </c>
      <c r="P29" s="210" t="inlineStr">
        <is>
          <t>F</t>
        </is>
      </c>
      <c r="Q29" s="211" t="n">
        <v>530</v>
      </c>
      <c r="R29" s="211">
        <f>+MAXA(_xlfn.CEILING.MATH(Q29/60)+2,1)</f>
        <v/>
      </c>
      <c r="S29" s="917" t="n">
        <v>40</v>
      </c>
      <c r="T29" s="917" t="n">
        <v>0</v>
      </c>
      <c r="U29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0">
      <c r="A30" s="217" t="inlineStr">
        <is>
          <t>ALBA (CN)</t>
        </is>
      </c>
      <c r="B30" s="210" t="inlineStr">
        <is>
          <t>C</t>
        </is>
      </c>
      <c r="C30" s="211" t="n">
        <v>652</v>
      </c>
      <c r="D30" s="211">
        <f>+MAXA(_xlfn.CEILING.MATH(C30/60)+2,1)</f>
        <v/>
      </c>
      <c r="E30" s="915" t="n">
        <v>52</v>
      </c>
      <c r="F30" s="915" t="n">
        <v>0</v>
      </c>
      <c r="G30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0" s="294" t="inlineStr">
        <is>
          <t>ALBA (CN)</t>
        </is>
      </c>
      <c r="I30" s="210" t="inlineStr">
        <is>
          <t>C</t>
        </is>
      </c>
      <c r="J30" s="211" t="n">
        <v>190</v>
      </c>
      <c r="K30" s="211">
        <f>+MAXA(_xlfn.CEILING.MATH(J30/60)+2,1)</f>
        <v/>
      </c>
      <c r="L30" s="917" t="n">
        <v>22</v>
      </c>
      <c r="M30" s="917" t="n">
        <v>0</v>
      </c>
      <c r="N30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0" s="294" t="inlineStr">
        <is>
          <t>ALBA (CN)</t>
        </is>
      </c>
      <c r="P30" s="210" t="inlineStr">
        <is>
          <t>D</t>
        </is>
      </c>
      <c r="Q30" s="211" t="n">
        <v>660</v>
      </c>
      <c r="R30" s="211" t="n">
        <v>13</v>
      </c>
      <c r="S30" s="917" t="n">
        <v>60</v>
      </c>
      <c r="T30" s="917" t="n">
        <v>0</v>
      </c>
      <c r="U30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1">
      <c r="A31" s="217" t="inlineStr">
        <is>
          <t>ALBANO LAZIALE (RM)</t>
        </is>
      </c>
      <c r="B31" s="210" t="inlineStr">
        <is>
          <t>A</t>
        </is>
      </c>
      <c r="C31" s="211" t="n">
        <v>20</v>
      </c>
      <c r="D31" s="211">
        <f>+MAXA(_xlfn.CEILING.MATH(C31/60)+2,1)</f>
        <v/>
      </c>
      <c r="E31" s="915" t="n">
        <v>0</v>
      </c>
      <c r="F31" s="915" t="n">
        <v>0</v>
      </c>
      <c r="G31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1" s="294" t="inlineStr">
        <is>
          <t>ALBANO LAZIALE (RM)</t>
        </is>
      </c>
      <c r="I31" s="210" t="inlineStr">
        <is>
          <t>A</t>
        </is>
      </c>
      <c r="J31" s="211" t="n">
        <v>680</v>
      </c>
      <c r="K31" s="211">
        <f>+MAXA(_xlfn.CEILING.MATH(J31/60)+2,1)</f>
        <v/>
      </c>
      <c r="L31" s="917" t="n">
        <v>50</v>
      </c>
      <c r="M31" s="917" t="n">
        <v>0</v>
      </c>
      <c r="N31" s="917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1" s="294" t="inlineStr">
        <is>
          <t>ALBANO LAZIALE (RM)</t>
        </is>
      </c>
      <c r="P31" s="210" t="inlineStr">
        <is>
          <t>C</t>
        </is>
      </c>
      <c r="Q31" s="211" t="n">
        <v>225</v>
      </c>
      <c r="R31" s="211">
        <f>+MAXA(_xlfn.CEILING.MATH(Q31/60)+2,1)</f>
        <v/>
      </c>
      <c r="S31" s="917" t="n">
        <v>16</v>
      </c>
      <c r="T31" s="917" t="n">
        <v>0</v>
      </c>
      <c r="U31" s="917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2">
      <c r="A32" s="217" t="inlineStr">
        <is>
          <t>ALESSANDRIA (AL)</t>
        </is>
      </c>
      <c r="B32" s="210" t="inlineStr">
        <is>
          <t>F</t>
        </is>
      </c>
      <c r="C32" s="211" t="n">
        <v>580</v>
      </c>
      <c r="D32" s="211">
        <f>+MAXA(_xlfn.CEILING.MATH(C32/60)+2,1)</f>
        <v/>
      </c>
      <c r="E32" s="915" t="n">
        <v>40</v>
      </c>
      <c r="F32" s="915" t="n">
        <v>0</v>
      </c>
      <c r="G32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2" s="217" t="inlineStr">
        <is>
          <t>ALESSANDRIA (AL)</t>
        </is>
      </c>
      <c r="I32" s="210" t="inlineStr">
        <is>
          <t>F</t>
        </is>
      </c>
      <c r="J32" s="211" t="n">
        <v>135</v>
      </c>
      <c r="K32" s="211">
        <f>+MAXA(_xlfn.CEILING.MATH(J32/60)+2,1)</f>
        <v/>
      </c>
      <c r="L32" s="916" t="n">
        <v>10</v>
      </c>
      <c r="M32" s="916" t="n">
        <v>0</v>
      </c>
      <c r="N32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2" s="217" t="inlineStr">
        <is>
          <t>ALESSANDRIA (AL)</t>
        </is>
      </c>
      <c r="P32" s="210" t="inlineStr">
        <is>
          <t>F</t>
        </is>
      </c>
      <c r="Q32" s="211" t="n">
        <v>600</v>
      </c>
      <c r="R32" s="211">
        <f>+MAXA(_xlfn.CEILING.MATH(Q32/60)+2,1)</f>
        <v/>
      </c>
      <c r="S32" s="916" t="n">
        <v>46</v>
      </c>
      <c r="T32" s="916" t="n">
        <v>0</v>
      </c>
      <c r="U32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3">
      <c r="A33" s="217" t="inlineStr">
        <is>
          <t>ALTFELD (DE)</t>
        </is>
      </c>
      <c r="B33" s="210" t="inlineStr">
        <is>
          <t>F</t>
        </is>
      </c>
      <c r="C33" s="211" t="n">
        <v>1250</v>
      </c>
      <c r="D33" s="211">
        <f>+MAXA(_xlfn.CEILING.MATH(C33/60)+2,1)</f>
        <v/>
      </c>
      <c r="E33" s="915" t="n">
        <v>70</v>
      </c>
      <c r="F33" s="915" t="n">
        <v>0</v>
      </c>
      <c r="G33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3" s="294" t="inlineStr">
        <is>
          <t>ALTFELD (DE)</t>
        </is>
      </c>
      <c r="I33" s="210" t="inlineStr">
        <is>
          <t>F</t>
        </is>
      </c>
      <c r="J33" s="211" t="n">
        <v>667</v>
      </c>
      <c r="K33" s="211">
        <f>+MAXA(_xlfn.CEILING.MATH(J33/60)+2,1)</f>
        <v/>
      </c>
      <c r="L33" s="917" t="n">
        <v>6</v>
      </c>
      <c r="M33" s="917" t="n">
        <v>0</v>
      </c>
      <c r="N33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3" s="294" t="inlineStr">
        <is>
          <t>ALTFELD (DE)</t>
        </is>
      </c>
      <c r="P33" s="210" t="inlineStr">
        <is>
          <t>G</t>
        </is>
      </c>
      <c r="Q33" s="211" t="n">
        <v>1185</v>
      </c>
      <c r="R33" s="211">
        <f>+MAXA(_xlfn.CEILING.MATH(Q33/60)+2,1)</f>
        <v/>
      </c>
      <c r="S33" s="917" t="n">
        <v>70</v>
      </c>
      <c r="T33" s="917" t="n">
        <v>0</v>
      </c>
      <c r="U33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4">
      <c r="A34" s="217" t="inlineStr">
        <is>
          <t>ALTOPASCIO (LU)</t>
        </is>
      </c>
      <c r="B34" s="210" t="inlineStr">
        <is>
          <t>C</t>
        </is>
      </c>
      <c r="C34" s="211" t="n">
        <v>375</v>
      </c>
      <c r="D34" s="211">
        <f>+MAXA(_xlfn.CEILING.MATH(C34/60)+2,1)</f>
        <v/>
      </c>
      <c r="E34" s="915" t="n">
        <v>25</v>
      </c>
      <c r="F34" s="915" t="n">
        <v>0</v>
      </c>
      <c r="G34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4" s="294" t="inlineStr">
        <is>
          <t>ALTOPASCIO (LU)</t>
        </is>
      </c>
      <c r="I34" s="210" t="inlineStr">
        <is>
          <t>C</t>
        </is>
      </c>
      <c r="J34" s="211" t="n">
        <v>320</v>
      </c>
      <c r="K34" s="211">
        <f>+MAXA(_xlfn.CEILING.MATH(J34/60)+2,1)</f>
        <v/>
      </c>
      <c r="L34" s="917" t="n">
        <v>37</v>
      </c>
      <c r="M34" s="917" t="n">
        <v>0</v>
      </c>
      <c r="N34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4" s="294" t="inlineStr">
        <is>
          <t>ALTOPASCIO (LU)</t>
        </is>
      </c>
      <c r="P34" s="210" t="inlineStr">
        <is>
          <t>F</t>
        </is>
      </c>
      <c r="Q34" s="211" t="n">
        <v>450</v>
      </c>
      <c r="R34" s="211">
        <f>+MAXA(_xlfn.CEILING.MATH(Q34/60)+2,1)</f>
        <v/>
      </c>
      <c r="S34" s="917" t="n">
        <v>20</v>
      </c>
      <c r="T34" s="917" t="n">
        <v>0</v>
      </c>
      <c r="U34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5">
      <c r="A35" s="217" t="inlineStr">
        <is>
          <t>ALVERCA DO RIBATEJO (P)</t>
        </is>
      </c>
      <c r="B35" s="210" t="inlineStr">
        <is>
          <t>F</t>
        </is>
      </c>
      <c r="C35" s="211" t="n">
        <v>2500</v>
      </c>
      <c r="D35" s="211">
        <f>+MAXA(_xlfn.CEILING.MATH(C35/60)+2,1)</f>
        <v/>
      </c>
      <c r="E35" s="915" t="n">
        <v>185</v>
      </c>
      <c r="F35" s="915" t="n">
        <v>0</v>
      </c>
      <c r="G35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5" s="294" t="inlineStr">
        <is>
          <t>ALVERCA DO RIBATEJO (P)</t>
        </is>
      </c>
      <c r="I35" s="210" t="inlineStr">
        <is>
          <t>F</t>
        </is>
      </c>
      <c r="J35" s="211" t="n">
        <v>2170</v>
      </c>
      <c r="K35" s="211">
        <f>+MAXA(_xlfn.CEILING.MATH(J35/60)+2,1)</f>
        <v/>
      </c>
      <c r="L35" s="917" t="n">
        <v>240</v>
      </c>
      <c r="M35" s="917" t="n">
        <v>0</v>
      </c>
      <c r="N35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5" s="294" t="inlineStr">
        <is>
          <t>ALVERCA DO RIBATEJO (P)</t>
        </is>
      </c>
      <c r="P35" s="210" t="inlineStr">
        <is>
          <t>F</t>
        </is>
      </c>
      <c r="Q35" s="211" t="n">
        <v>2630</v>
      </c>
      <c r="R35" s="211">
        <f>+MAXA(_xlfn.CEILING.MATH(Q35/60)+2,1)</f>
        <v/>
      </c>
      <c r="S35" s="917" t="n">
        <v>195</v>
      </c>
      <c r="T35" s="917" t="n">
        <v>0</v>
      </c>
      <c r="U35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6">
      <c r="A36" s="294" t="inlineStr">
        <is>
          <t>AMIENS - SPI - PGIO (F)</t>
        </is>
      </c>
      <c r="B36" s="210" t="inlineStr">
        <is>
          <t>F</t>
        </is>
      </c>
      <c r="C36" s="211" t="n">
        <v>1550</v>
      </c>
      <c r="D36" s="211">
        <f>+MAXA(_xlfn.CEILING.MATH(C36/60)+2,1)</f>
        <v/>
      </c>
      <c r="E36" s="915" t="n">
        <v>75</v>
      </c>
      <c r="F36" s="915" t="n">
        <v>0</v>
      </c>
      <c r="G36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6" s="294" t="inlineStr">
        <is>
          <t>AMIENS - SPI - PGIO (F)</t>
        </is>
      </c>
      <c r="I36" s="210" t="inlineStr">
        <is>
          <t>F</t>
        </is>
      </c>
      <c r="J36" s="211" t="n">
        <v>950</v>
      </c>
      <c r="K36" s="211">
        <f>+MAXA(_xlfn.CEILING.MATH(J36/60)+2,1)</f>
        <v/>
      </c>
      <c r="L36" s="917" t="n">
        <v>32</v>
      </c>
      <c r="M36" s="917" t="n">
        <v>0</v>
      </c>
      <c r="N36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6" s="294" t="inlineStr">
        <is>
          <t>AMIENS - SPI - PGIO (F)</t>
        </is>
      </c>
      <c r="P36" s="210" t="inlineStr">
        <is>
          <t>G</t>
        </is>
      </c>
      <c r="Q36" s="211" t="n">
        <v>1500</v>
      </c>
      <c r="R36" s="211">
        <f>+MAXA(_xlfn.CEILING.MATH(Q36/60)+2,1)</f>
        <v/>
      </c>
      <c r="S36" s="917" t="n">
        <v>75</v>
      </c>
      <c r="T36" s="917" t="n">
        <v>0</v>
      </c>
      <c r="U36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7">
      <c r="A37" s="217" t="inlineStr">
        <is>
          <t>AMSTERDAM (NL)</t>
        </is>
      </c>
      <c r="B37" s="210" t="inlineStr">
        <is>
          <t>E</t>
        </is>
      </c>
      <c r="C37" s="211" t="n">
        <v>1700</v>
      </c>
      <c r="D37" s="211">
        <f>+MAXA(_xlfn.CEILING.MATH(C37/60)+2,1)</f>
        <v/>
      </c>
      <c r="E37" s="915" t="n">
        <v>50</v>
      </c>
      <c r="F37" s="915" t="n">
        <v>0</v>
      </c>
      <c r="G37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7" s="294" t="inlineStr">
        <is>
          <t>AMSTERDAM (NL)</t>
        </is>
      </c>
      <c r="I37" s="210" t="inlineStr">
        <is>
          <t>E</t>
        </is>
      </c>
      <c r="J37" s="211" t="n">
        <v>1100</v>
      </c>
      <c r="K37" s="211">
        <f>+MAXA(_xlfn.CEILING.MATH(J37/60)+2,1)</f>
        <v/>
      </c>
      <c r="L37" s="917" t="n">
        <v>10</v>
      </c>
      <c r="M37" s="917" t="n">
        <v>0</v>
      </c>
      <c r="N37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7" s="294" t="inlineStr">
        <is>
          <t>AMSTERDAM (NL)</t>
        </is>
      </c>
      <c r="P37" s="210" t="inlineStr">
        <is>
          <t>F</t>
        </is>
      </c>
      <c r="Q37" s="211" t="n">
        <v>1638</v>
      </c>
      <c r="R37" s="211">
        <f>+MAXA(_xlfn.CEILING.MATH(Q37/60)+2,1)</f>
        <v/>
      </c>
      <c r="S37" s="917" t="n">
        <v>55</v>
      </c>
      <c r="T37" s="917" t="n">
        <v>0</v>
      </c>
      <c r="U37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8">
      <c r="A38" s="217" t="inlineStr">
        <is>
          <t>ANAGNI (FR)</t>
        </is>
      </c>
      <c r="B38" s="210" t="inlineStr">
        <is>
          <t>C</t>
        </is>
      </c>
      <c r="C38" s="211" t="n">
        <v>88</v>
      </c>
      <c r="D38" s="211">
        <f>+MAXA(_xlfn.CEILING.MATH(C38/60)+2,1)</f>
        <v/>
      </c>
      <c r="E38" s="915" t="n">
        <v>5</v>
      </c>
      <c r="F38" s="915" t="n">
        <v>0</v>
      </c>
      <c r="G38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8" s="294" t="inlineStr">
        <is>
          <t>ANAGNI (FR)</t>
        </is>
      </c>
      <c r="I38" s="210" t="inlineStr">
        <is>
          <t>B</t>
        </is>
      </c>
      <c r="J38" s="211" t="n">
        <v>645</v>
      </c>
      <c r="K38" s="211">
        <f>+MAXA(_xlfn.CEILING.MATH(J38/60)+2,1)</f>
        <v/>
      </c>
      <c r="L38" s="917" t="n">
        <v>55</v>
      </c>
      <c r="M38" s="917" t="n">
        <v>0</v>
      </c>
      <c r="N38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8" s="294" t="inlineStr">
        <is>
          <t>ANAGNI (FR)</t>
        </is>
      </c>
      <c r="P38" s="210" t="inlineStr">
        <is>
          <t>D</t>
        </is>
      </c>
      <c r="Q38" s="211" t="n">
        <v>210</v>
      </c>
      <c r="R38" s="211">
        <f>+MAXA(_xlfn.CEILING.MATH(Q38/60)+2,1)</f>
        <v/>
      </c>
      <c r="S38" s="917" t="n">
        <v>12</v>
      </c>
      <c r="T38" s="917" t="n">
        <v>0</v>
      </c>
      <c r="U38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9">
      <c r="A39" s="294" t="inlineStr">
        <is>
          <t>ANCONA (AN)</t>
        </is>
      </c>
      <c r="B39" s="210" t="inlineStr">
        <is>
          <t>C</t>
        </is>
      </c>
      <c r="C39" s="211" t="n">
        <v>340</v>
      </c>
      <c r="D39" s="211">
        <f>+MAXA(_xlfn.CEILING.MATH(C39/60)+2,1)</f>
        <v/>
      </c>
      <c r="E39" s="915" t="n">
        <v>30</v>
      </c>
      <c r="F39" s="915" t="n">
        <v>0</v>
      </c>
      <c r="G39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9" s="294" t="inlineStr">
        <is>
          <t>ANCONA (AN)</t>
        </is>
      </c>
      <c r="I39" s="210" t="inlineStr">
        <is>
          <t>C</t>
        </is>
      </c>
      <c r="J39" s="211" t="n">
        <v>460</v>
      </c>
      <c r="K39" s="211">
        <f>+MAXA(_xlfn.CEILING.MATH(J39/60)+2,1)</f>
        <v/>
      </c>
      <c r="L39" s="917" t="n">
        <v>40</v>
      </c>
      <c r="M39" s="917" t="n">
        <v>0</v>
      </c>
      <c r="N39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9" s="294" t="inlineStr">
        <is>
          <t>ANCONA (AN)</t>
        </is>
      </c>
      <c r="P39" s="210" t="inlineStr">
        <is>
          <t>C</t>
        </is>
      </c>
      <c r="Q39" s="211" t="n">
        <v>150</v>
      </c>
      <c r="R39" s="211">
        <f>+MAXA(_xlfn.CEILING.MATH(Q39/60)+2,1)</f>
        <v/>
      </c>
      <c r="S39" s="917" t="n">
        <v>11</v>
      </c>
      <c r="T39" s="917" t="n">
        <v>0</v>
      </c>
      <c r="U39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40">
      <c r="A40" s="217" t="inlineStr">
        <is>
          <t>ANGRI (SA)</t>
        </is>
      </c>
      <c r="B40" s="210" t="inlineStr">
        <is>
          <t>A</t>
        </is>
      </c>
      <c r="C40" s="211" t="n">
        <v>270</v>
      </c>
      <c r="D40" s="211">
        <f>+MAXA(_xlfn.CEILING.MATH(C40/60)+2,1)</f>
        <v/>
      </c>
      <c r="E40" s="915" t="n">
        <v>20</v>
      </c>
      <c r="F40" s="915" t="n">
        <v>0</v>
      </c>
      <c r="G40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40" s="294" t="inlineStr">
        <is>
          <t>ANGRI (SA)</t>
        </is>
      </c>
      <c r="I40" s="210" t="inlineStr">
        <is>
          <t>A</t>
        </is>
      </c>
      <c r="J40" s="211" t="n">
        <v>820</v>
      </c>
      <c r="K40" s="211">
        <f>+MAXA(_xlfn.CEILING.MATH(J40/60)+2,1)</f>
        <v/>
      </c>
      <c r="L40" s="916" t="n">
        <v>71</v>
      </c>
      <c r="M40" s="916" t="n">
        <v>0</v>
      </c>
      <c r="N40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40" s="294" t="inlineStr">
        <is>
          <t>ANGRI (SA)</t>
        </is>
      </c>
      <c r="P40" s="210" t="inlineStr">
        <is>
          <t>D</t>
        </is>
      </c>
      <c r="Q40" s="211" t="n">
        <v>280</v>
      </c>
      <c r="R40" s="211">
        <f>+MAXA(_xlfn.CEILING.MATH(Q40/60)+2,1)</f>
        <v/>
      </c>
      <c r="S40" s="916" t="n">
        <v>16</v>
      </c>
      <c r="T40" s="916" t="n">
        <v>0</v>
      </c>
      <c r="U40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41">
      <c r="A41" s="217" t="inlineStr">
        <is>
          <t>ANZIO (RM)</t>
        </is>
      </c>
      <c r="B41" s="210" t="inlineStr">
        <is>
          <t>A</t>
        </is>
      </c>
      <c r="C41" s="211" t="n">
        <v>32</v>
      </c>
      <c r="D41" s="211">
        <f>+MAXA(_xlfn.CEILING.MATH(C41/60)+2,1)</f>
        <v/>
      </c>
      <c r="E41" s="915" t="n">
        <v>0</v>
      </c>
      <c r="F41" s="915" t="n">
        <v>0</v>
      </c>
      <c r="G41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41" s="294" t="inlineStr">
        <is>
          <t>ANZIO (RM)</t>
        </is>
      </c>
      <c r="I41" s="210" t="inlineStr">
        <is>
          <t>A</t>
        </is>
      </c>
      <c r="J41" s="211" t="n">
        <v>660</v>
      </c>
      <c r="K41" s="211">
        <f>+MAXA(_xlfn.CEILING.MATH(J41/60)+2,1)</f>
        <v/>
      </c>
      <c r="L41" s="917" t="n">
        <v>50</v>
      </c>
      <c r="M41" s="917" t="n">
        <v>0</v>
      </c>
      <c r="N41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41" s="294" t="inlineStr">
        <is>
          <t>ANZIO (RM)</t>
        </is>
      </c>
      <c r="P41" s="210" t="inlineStr">
        <is>
          <t>C</t>
        </is>
      </c>
      <c r="Q41" s="211" t="n">
        <v>270</v>
      </c>
      <c r="R41" s="211">
        <f>+MAXA(_xlfn.CEILING.MATH(Q41/60)+2,1)</f>
        <v/>
      </c>
      <c r="S41" s="917" t="n">
        <v>19</v>
      </c>
      <c r="T41" s="917" t="n">
        <v>0</v>
      </c>
      <c r="U41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42">
      <c r="A42" s="217" t="inlineStr">
        <is>
          <t>APRILIA (LT)</t>
        </is>
      </c>
      <c r="B42" s="210" t="inlineStr">
        <is>
          <t>A</t>
        </is>
      </c>
      <c r="C42" s="211" t="n">
        <v>20</v>
      </c>
      <c r="D42" s="211">
        <f>+MAXA(_xlfn.CEILING.MATH(C42/60)+2,1)</f>
        <v/>
      </c>
      <c r="E42" s="915" t="n">
        <v>0</v>
      </c>
      <c r="F42" s="915" t="n">
        <v>0</v>
      </c>
      <c r="G42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42" s="294" t="inlineStr">
        <is>
          <t>APRILIA (LT)</t>
        </is>
      </c>
      <c r="I42" s="210" t="inlineStr">
        <is>
          <t>A</t>
        </is>
      </c>
      <c r="J42" s="211" t="n">
        <v>660</v>
      </c>
      <c r="K42" s="211">
        <f>+MAXA(_xlfn.CEILING.MATH(J42/60)+2,1)</f>
        <v/>
      </c>
      <c r="L42" s="916" t="n">
        <v>50</v>
      </c>
      <c r="M42" s="916" t="n">
        <v>0</v>
      </c>
      <c r="N42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42" s="294" t="inlineStr">
        <is>
          <t>APRILIA (LT)</t>
        </is>
      </c>
      <c r="P42" s="210" t="inlineStr">
        <is>
          <t>C</t>
        </is>
      </c>
      <c r="Q42" s="211" t="n">
        <v>250</v>
      </c>
      <c r="R42" s="211">
        <f>+MAXA(_xlfn.CEILING.MATH(Q42/60)+2,1)</f>
        <v/>
      </c>
      <c r="S42" s="916" t="n">
        <v>22</v>
      </c>
      <c r="T42" s="916" t="n">
        <v>0</v>
      </c>
      <c r="U42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43">
      <c r="A43" s="217" t="inlineStr">
        <is>
          <t>ARCORE (MB)</t>
        </is>
      </c>
      <c r="B43" s="210" t="inlineStr">
        <is>
          <t>A</t>
        </is>
      </c>
      <c r="C43" s="211" t="n">
        <v>635</v>
      </c>
      <c r="D43" s="211">
        <f>+MAXA(_xlfn.CEILING.MATH(C43/60)+2,1)</f>
        <v/>
      </c>
      <c r="E43" s="915" t="n">
        <v>50</v>
      </c>
      <c r="F43" s="915" t="n"/>
      <c r="G43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43" s="294" t="inlineStr">
        <is>
          <t>ARCORE (MB)</t>
        </is>
      </c>
      <c r="I43" s="210" t="inlineStr">
        <is>
          <t>A</t>
        </is>
      </c>
      <c r="J43" s="211" t="n">
        <v>15</v>
      </c>
      <c r="K43" s="211">
        <f>+MAXA(_xlfn.CEILING.MATH(J43/60)+2,1)</f>
        <v/>
      </c>
      <c r="L43" s="916" t="n">
        <v>0</v>
      </c>
      <c r="M43" s="916" t="n"/>
      <c r="N43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43" s="294" t="inlineStr">
        <is>
          <t>ARCORE (MB)</t>
        </is>
      </c>
      <c r="P43" s="210" t="inlineStr">
        <is>
          <t>F</t>
        </is>
      </c>
      <c r="Q43" s="211" t="n">
        <v>590</v>
      </c>
      <c r="R43" s="211">
        <f>+MAXA(_xlfn.CEILING.MATH(Q43/60)+2,1)</f>
        <v/>
      </c>
      <c r="S43" s="916" t="n">
        <v>50</v>
      </c>
      <c r="T43" s="916" t="n">
        <v>0</v>
      </c>
      <c r="U43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44">
      <c r="A44" s="217" t="inlineStr">
        <is>
          <t>ARDEA (RM)</t>
        </is>
      </c>
      <c r="B44" s="210" t="inlineStr">
        <is>
          <t>A</t>
        </is>
      </c>
      <c r="C44" s="211" t="n">
        <v>15</v>
      </c>
      <c r="D44" s="211">
        <f>+MAXA(_xlfn.CEILING.MATH(C44/60)+2,1)</f>
        <v/>
      </c>
      <c r="E44" s="915" t="n">
        <v>0</v>
      </c>
      <c r="F44" s="915" t="n">
        <v>0</v>
      </c>
      <c r="G44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44" s="294" t="inlineStr">
        <is>
          <t>ARDEA (RM)</t>
        </is>
      </c>
      <c r="I44" s="210" t="inlineStr">
        <is>
          <t>A</t>
        </is>
      </c>
      <c r="J44" s="211" t="n">
        <v>650</v>
      </c>
      <c r="K44" s="211">
        <f>+MAXA(_xlfn.CEILING.MATH(J44/60)+2,1)</f>
        <v/>
      </c>
      <c r="L44" s="916" t="n">
        <v>50</v>
      </c>
      <c r="M44" s="916" t="n">
        <v>0</v>
      </c>
      <c r="N44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44" s="294" t="inlineStr">
        <is>
          <t>ARDEA (RM)</t>
        </is>
      </c>
      <c r="P44" s="210" t="inlineStr">
        <is>
          <t>C</t>
        </is>
      </c>
      <c r="Q44" s="211" t="n">
        <v>245</v>
      </c>
      <c r="R44" s="211">
        <f>+MAXA(_xlfn.CEILING.MATH(Q44/60)+2,1)</f>
        <v/>
      </c>
      <c r="S44" s="916" t="n">
        <v>16</v>
      </c>
      <c r="T44" s="916" t="n">
        <v>0</v>
      </c>
      <c r="U44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45">
      <c r="A45" s="217" t="inlineStr">
        <is>
          <t>AREZZO (AR)</t>
        </is>
      </c>
      <c r="B45" s="210" t="inlineStr">
        <is>
          <t>A</t>
        </is>
      </c>
      <c r="C45" s="211" t="n">
        <v>260</v>
      </c>
      <c r="D45" s="211">
        <f>+MAXA(_xlfn.CEILING.MATH(C45/60)+2,1)</f>
        <v/>
      </c>
      <c r="E45" s="915" t="n">
        <v>15</v>
      </c>
      <c r="F45" s="915" t="n">
        <v>0</v>
      </c>
      <c r="G45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45" s="217" t="inlineStr">
        <is>
          <t>AREZZO (AR)</t>
        </is>
      </c>
      <c r="I45" s="210" t="inlineStr">
        <is>
          <t>A</t>
        </is>
      </c>
      <c r="J45" s="211" t="n">
        <v>400</v>
      </c>
      <c r="K45" s="211">
        <f>+MAXA(_xlfn.CEILING.MATH(J45/60)+2,1)</f>
        <v/>
      </c>
      <c r="L45" s="916" t="n">
        <v>40</v>
      </c>
      <c r="M45" s="916" t="n">
        <v>0</v>
      </c>
      <c r="N45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45" s="217" t="inlineStr">
        <is>
          <t>AREZZO (AR)</t>
        </is>
      </c>
      <c r="P45" s="210" t="inlineStr">
        <is>
          <t>D</t>
        </is>
      </c>
      <c r="Q45" s="211" t="n">
        <v>330</v>
      </c>
      <c r="R45" s="211">
        <f>+MAXA(_xlfn.CEILING.MATH(Q45/60)+2,1)</f>
        <v/>
      </c>
      <c r="S45" s="916" t="n">
        <v>10</v>
      </c>
      <c r="T45" s="916" t="n">
        <v>0</v>
      </c>
      <c r="U45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46">
      <c r="A46" s="217" t="inlineStr">
        <is>
          <t>ARICCIA (RM)</t>
        </is>
      </c>
      <c r="B46" s="210" t="inlineStr">
        <is>
          <t>A</t>
        </is>
      </c>
      <c r="C46" s="211" t="n">
        <v>20</v>
      </c>
      <c r="D46" s="211">
        <f>+MAXA(_xlfn.CEILING.MATH(C46/60)+2,1)</f>
        <v/>
      </c>
      <c r="E46" s="915" t="n">
        <v>0</v>
      </c>
      <c r="F46" s="915" t="n">
        <v>0</v>
      </c>
      <c r="G46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46" s="294" t="inlineStr">
        <is>
          <t>ARICCIA (RM)</t>
        </is>
      </c>
      <c r="I46" s="210" t="inlineStr">
        <is>
          <t>A</t>
        </is>
      </c>
      <c r="J46" s="211" t="n">
        <v>680</v>
      </c>
      <c r="K46" s="211">
        <f>+MAXA(_xlfn.CEILING.MATH(J46/60)+2,1)</f>
        <v/>
      </c>
      <c r="L46" s="916" t="n">
        <v>50</v>
      </c>
      <c r="M46" s="916" t="n">
        <v>0</v>
      </c>
      <c r="N46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46" s="294" t="inlineStr">
        <is>
          <t>ARICCIA (RM)</t>
        </is>
      </c>
      <c r="P46" s="210" t="inlineStr">
        <is>
          <t>C</t>
        </is>
      </c>
      <c r="Q46" s="211" t="n">
        <v>225</v>
      </c>
      <c r="R46" s="211">
        <f>+MAXA(_xlfn.CEILING.MATH(Q46/60)+2,1)</f>
        <v/>
      </c>
      <c r="S46" s="916" t="n">
        <v>16</v>
      </c>
      <c r="T46" s="916" t="n">
        <v>0</v>
      </c>
      <c r="U46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47">
      <c r="A47" s="217" t="inlineStr">
        <is>
          <t>ASCHEIM (D)</t>
        </is>
      </c>
      <c r="B47" s="210" t="inlineStr">
        <is>
          <t>F</t>
        </is>
      </c>
      <c r="C47" s="211" t="n">
        <v>980</v>
      </c>
      <c r="D47" s="211">
        <f>+MAXA(_xlfn.CEILING.MATH(C47/60)+2,1)</f>
        <v/>
      </c>
      <c r="E47" s="915" t="n">
        <v>70</v>
      </c>
      <c r="F47" s="915" t="n">
        <v>0</v>
      </c>
      <c r="G47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47" s="294" t="inlineStr">
        <is>
          <t>ASCHEIM (D)</t>
        </is>
      </c>
      <c r="I47" s="210" t="inlineStr">
        <is>
          <t>F</t>
        </is>
      </c>
      <c r="J47" s="211" t="n">
        <v>570</v>
      </c>
      <c r="K47" s="211">
        <f>+MAXA(_xlfn.CEILING.MATH(J47/60)+2,1)</f>
        <v/>
      </c>
      <c r="L47" s="917" t="n">
        <v>41</v>
      </c>
      <c r="M47" s="917" t="n">
        <v>0</v>
      </c>
      <c r="N47" s="917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47" s="294" t="inlineStr">
        <is>
          <t>ASCHEIM (D)</t>
        </is>
      </c>
      <c r="P47" s="210" t="inlineStr">
        <is>
          <t>G</t>
        </is>
      </c>
      <c r="Q47" s="211" t="n">
        <v>920</v>
      </c>
      <c r="R47" s="211">
        <f>+MAXA(_xlfn.CEILING.MATH(Q47/60)+2,1)</f>
        <v/>
      </c>
      <c r="S47" s="917" t="n">
        <v>70</v>
      </c>
      <c r="T47" s="917" t="n">
        <v>0</v>
      </c>
      <c r="U47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48">
      <c r="A48" s="217" t="inlineStr">
        <is>
          <t>ASCOLI PICENO (AP)</t>
        </is>
      </c>
      <c r="B48" s="210" t="inlineStr">
        <is>
          <t>F</t>
        </is>
      </c>
      <c r="C48" s="211" t="n">
        <v>250</v>
      </c>
      <c r="D48" s="211">
        <f>+MAXA(_xlfn.CEILING.MATH(C48/60)+2,1)</f>
        <v/>
      </c>
      <c r="E48" s="915" t="n">
        <v>20</v>
      </c>
      <c r="F48" s="915" t="n">
        <v>0</v>
      </c>
      <c r="G48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48" s="217" t="inlineStr">
        <is>
          <t>ASCOLI PICENO (AP)</t>
        </is>
      </c>
      <c r="I48" s="210" t="inlineStr">
        <is>
          <t>F</t>
        </is>
      </c>
      <c r="J48" s="211" t="n">
        <v>570</v>
      </c>
      <c r="K48" s="211">
        <f>+MAXA(_xlfn.CEILING.MATH(J48/60)+2,1)</f>
        <v/>
      </c>
      <c r="L48" s="916" t="n">
        <v>45</v>
      </c>
      <c r="M48" s="916" t="n">
        <v>0</v>
      </c>
      <c r="N48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48" s="217" t="inlineStr">
        <is>
          <t>ASCOLI PICENO (AP)</t>
        </is>
      </c>
      <c r="P48" s="210" t="inlineStr">
        <is>
          <t>C</t>
        </is>
      </c>
      <c r="Q48" s="211" t="n">
        <v>86</v>
      </c>
      <c r="R48" s="211">
        <f>+MAXA(_xlfn.CEILING.MATH(Q48/60)+2,1)</f>
        <v/>
      </c>
      <c r="S48" s="916" t="n">
        <v>5</v>
      </c>
      <c r="T48" s="916" t="n">
        <v>0</v>
      </c>
      <c r="U48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49">
      <c r="A49" s="217" t="inlineStr">
        <is>
          <t>AVELLINO (AV)</t>
        </is>
      </c>
      <c r="B49" s="210" t="inlineStr">
        <is>
          <t>C</t>
        </is>
      </c>
      <c r="C49" s="211" t="n">
        <v>270</v>
      </c>
      <c r="D49" s="211">
        <f>+MAXA(_xlfn.CEILING.MATH(C49/60)+2,1)</f>
        <v/>
      </c>
      <c r="E49" s="915" t="n">
        <v>20</v>
      </c>
      <c r="F49" s="915" t="n">
        <v>0</v>
      </c>
      <c r="G49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49" s="217" t="inlineStr">
        <is>
          <t>AVELLINO (AV)</t>
        </is>
      </c>
      <c r="I49" s="210" t="inlineStr">
        <is>
          <t>C</t>
        </is>
      </c>
      <c r="J49" s="211" t="n">
        <v>640</v>
      </c>
      <c r="K49" s="211">
        <f>+MAXA(_xlfn.CEILING.MATH(J49/60)+2,1)</f>
        <v/>
      </c>
      <c r="L49" s="917" t="n">
        <v>50</v>
      </c>
      <c r="M49" s="917" t="n">
        <v>0</v>
      </c>
      <c r="N49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49" s="217" t="inlineStr">
        <is>
          <t>AVELLINO (AV)</t>
        </is>
      </c>
      <c r="P49" s="210" t="inlineStr">
        <is>
          <t>E</t>
        </is>
      </c>
      <c r="Q49" s="211" t="n">
        <v>265</v>
      </c>
      <c r="R49" s="211">
        <f>+MAXA(_xlfn.CEILING.MATH(Q49/60)+2,1)</f>
        <v/>
      </c>
      <c r="S49" s="917" t="n">
        <v>8</v>
      </c>
      <c r="T49" s="917" t="n">
        <v>0</v>
      </c>
      <c r="U49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50">
      <c r="A50" s="217" t="inlineStr">
        <is>
          <t>BALVANO (PZ)</t>
        </is>
      </c>
      <c r="B50" s="210" t="inlineStr">
        <is>
          <t>C</t>
        </is>
      </c>
      <c r="C50" s="211" t="n">
        <v>360</v>
      </c>
      <c r="D50" s="211">
        <f>+MAXA(_xlfn.CEILING.MATH(C50/60)+2,1)</f>
        <v/>
      </c>
      <c r="E50" s="915" t="n">
        <v>19</v>
      </c>
      <c r="F50" s="915" t="n">
        <v>0</v>
      </c>
      <c r="G50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50" s="294" t="inlineStr">
        <is>
          <t>BALVANO (PZ)</t>
        </is>
      </c>
      <c r="I50" s="210" t="inlineStr">
        <is>
          <t>C</t>
        </is>
      </c>
      <c r="J50" s="211" t="n">
        <v>915</v>
      </c>
      <c r="K50" s="211">
        <f>+MAXA(_xlfn.CEILING.MATH(J50/60)+2,1)</f>
        <v/>
      </c>
      <c r="L50" s="917" t="n">
        <v>71</v>
      </c>
      <c r="M50" s="917" t="n">
        <v>0</v>
      </c>
      <c r="N50" s="917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50" s="294" t="inlineStr">
        <is>
          <t>BALVANO (PZ)</t>
        </is>
      </c>
      <c r="P50" s="210" t="inlineStr">
        <is>
          <t>F</t>
        </is>
      </c>
      <c r="Q50" s="211" t="n">
        <v>312</v>
      </c>
      <c r="R50" s="211">
        <f>+MAXA(_xlfn.CEILING.MATH(Q50/60)+2,1)</f>
        <v/>
      </c>
      <c r="S50" s="917" t="n">
        <v>14</v>
      </c>
      <c r="T50" s="917" t="n">
        <v>0</v>
      </c>
      <c r="U50" s="917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51">
      <c r="A51" s="217" t="inlineStr">
        <is>
          <t>BARBERINO TAVERNELLE (FI)</t>
        </is>
      </c>
      <c r="B51" s="210" t="inlineStr">
        <is>
          <t>B</t>
        </is>
      </c>
      <c r="C51" s="211" t="n">
        <v>310</v>
      </c>
      <c r="D51" s="211">
        <f>+MAXA(_xlfn.CEILING.MATH(C51/60)+2,1)</f>
        <v/>
      </c>
      <c r="E51" s="915" t="n">
        <v>13</v>
      </c>
      <c r="F51" s="915" t="n">
        <v>0</v>
      </c>
      <c r="G51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51" s="294" t="inlineStr">
        <is>
          <t>BARBERINO TAVERNELLE (FI)</t>
        </is>
      </c>
      <c r="I51" s="210" t="inlineStr">
        <is>
          <t>B</t>
        </is>
      </c>
      <c r="J51" s="211" t="n">
        <v>350</v>
      </c>
      <c r="K51" s="211">
        <f>+MAXA(_xlfn.CEILING.MATH(J51/60)+2,1)</f>
        <v/>
      </c>
      <c r="L51" s="917" t="n">
        <v>31</v>
      </c>
      <c r="M51" s="916" t="n">
        <v>0</v>
      </c>
      <c r="N51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51" s="294" t="inlineStr">
        <is>
          <t>BARBERINO TAVERNELLE (FI)</t>
        </is>
      </c>
      <c r="P51" s="210" t="inlineStr">
        <is>
          <t>E</t>
        </is>
      </c>
      <c r="Q51" s="211" t="n">
        <v>380</v>
      </c>
      <c r="R51" s="211">
        <f>+MAXA(_xlfn.CEILING.MATH(Q51/60)+2,1)</f>
        <v/>
      </c>
      <c r="S51" s="917" t="n">
        <v>8</v>
      </c>
      <c r="T51" s="916" t="n">
        <v>0</v>
      </c>
      <c r="U51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52">
      <c r="A52" s="217" t="inlineStr">
        <is>
          <t>BARCELLONA (E)</t>
        </is>
      </c>
      <c r="B52" s="210" t="inlineStr">
        <is>
          <t>C</t>
        </is>
      </c>
      <c r="C52" s="211" t="n">
        <v>1370</v>
      </c>
      <c r="D52" s="211">
        <f>+MAXA(_xlfn.CEILING.MATH(C52/60)+2,1)</f>
        <v/>
      </c>
      <c r="E52" s="915" t="n">
        <v>115</v>
      </c>
      <c r="F52" s="915" t="n">
        <v>0</v>
      </c>
      <c r="G52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52" s="294" t="inlineStr">
        <is>
          <t>BARCELLONA (E)</t>
        </is>
      </c>
      <c r="I52" s="210" t="inlineStr">
        <is>
          <t>C</t>
        </is>
      </c>
      <c r="J52" s="211" t="n">
        <v>1030</v>
      </c>
      <c r="K52" s="211">
        <f>+MAXA(_xlfn.CEILING.MATH(J52/60)+2,1)</f>
        <v/>
      </c>
      <c r="L52" s="916" t="n">
        <v>110</v>
      </c>
      <c r="M52" s="916" t="n">
        <v>0</v>
      </c>
      <c r="N52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52" s="294" t="inlineStr">
        <is>
          <t>BARCELLONA (E)</t>
        </is>
      </c>
      <c r="P52" s="210" t="inlineStr">
        <is>
          <t>F</t>
        </is>
      </c>
      <c r="Q52" s="211" t="n">
        <v>1490</v>
      </c>
      <c r="R52" s="211">
        <f>+MAXA(_xlfn.CEILING.MATH(Q52/60)+2,1)</f>
        <v/>
      </c>
      <c r="S52" s="916" t="n">
        <v>132</v>
      </c>
      <c r="T52" s="916" t="n">
        <v>0</v>
      </c>
      <c r="U52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53">
      <c r="A53" s="217" t="inlineStr">
        <is>
          <t>BARI (BA)</t>
        </is>
      </c>
      <c r="B53" s="210" t="inlineStr">
        <is>
          <t>C</t>
        </is>
      </c>
      <c r="C53" s="211" t="n">
        <v>450</v>
      </c>
      <c r="D53" s="211">
        <f>+MAXA(_xlfn.CEILING.MATH(C53/60)+2,1)</f>
        <v/>
      </c>
      <c r="E53" s="915" t="n">
        <v>30</v>
      </c>
      <c r="F53" s="915" t="n">
        <v>0</v>
      </c>
      <c r="G53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53" s="217" t="inlineStr">
        <is>
          <t>BARI (BA)</t>
        </is>
      </c>
      <c r="I53" s="210" t="inlineStr">
        <is>
          <t>C</t>
        </is>
      </c>
      <c r="J53" s="211" t="n">
        <v>910</v>
      </c>
      <c r="K53" s="211">
        <f>+MAXA(_xlfn.CEILING.MATH(J53/60)+2,1)</f>
        <v/>
      </c>
      <c r="L53" s="916" t="n">
        <v>75</v>
      </c>
      <c r="M53" s="916" t="n">
        <v>0</v>
      </c>
      <c r="N53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53" s="217" t="inlineStr">
        <is>
          <t>BARI (BA)</t>
        </is>
      </c>
      <c r="P53" s="210" t="inlineStr">
        <is>
          <t>E</t>
        </is>
      </c>
      <c r="Q53" s="211" t="n">
        <v>315</v>
      </c>
      <c r="R53" s="211">
        <f>+MAXA(_xlfn.CEILING.MATH(Q53/60)+2,1)</f>
        <v/>
      </c>
      <c r="S53" s="916" t="n">
        <v>23</v>
      </c>
      <c r="T53" s="916" t="n">
        <v>0</v>
      </c>
      <c r="U53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54">
      <c r="A54" s="217" t="inlineStr">
        <is>
          <t>BATTIPAGLIA (SA)</t>
        </is>
      </c>
      <c r="B54" s="210" t="inlineStr">
        <is>
          <t>A</t>
        </is>
      </c>
      <c r="C54" s="211" t="n">
        <v>301</v>
      </c>
      <c r="D54" s="211">
        <f>+MAXA(_xlfn.CEILING.MATH(C54/60)+2,1)</f>
        <v/>
      </c>
      <c r="E54" s="915" t="n">
        <v>19</v>
      </c>
      <c r="F54" s="915" t="n">
        <v>0</v>
      </c>
      <c r="G54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54" s="294" t="inlineStr">
        <is>
          <t>BATTIPAGLIA (SA)</t>
        </is>
      </c>
      <c r="I54" s="210" t="inlineStr">
        <is>
          <t>A</t>
        </is>
      </c>
      <c r="J54" s="211" t="n">
        <v>860</v>
      </c>
      <c r="K54" s="211">
        <f>+MAXA(_xlfn.CEILING.MATH(J54/60)+2,1)</f>
        <v/>
      </c>
      <c r="L54" s="917" t="n">
        <v>70</v>
      </c>
      <c r="M54" s="916" t="n">
        <v>0</v>
      </c>
      <c r="N54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54" s="294" t="inlineStr">
        <is>
          <t>BATTIPAGLIA (SA)</t>
        </is>
      </c>
      <c r="P54" s="210" t="inlineStr">
        <is>
          <t>D</t>
        </is>
      </c>
      <c r="Q54" s="211" t="n">
        <v>315</v>
      </c>
      <c r="R54" s="211">
        <f>+MAXA(_xlfn.CEILING.MATH(Q54/60)+2,1)</f>
        <v/>
      </c>
      <c r="S54" s="917" t="n">
        <v>14</v>
      </c>
      <c r="T54" s="916" t="n">
        <v>0</v>
      </c>
      <c r="U54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55">
      <c r="A55" s="217" t="inlineStr">
        <is>
          <t>BELLUSCO (MB)</t>
        </is>
      </c>
      <c r="B55" s="210" t="inlineStr">
        <is>
          <t>A</t>
        </is>
      </c>
      <c r="C55" s="211" t="n">
        <v>635</v>
      </c>
      <c r="D55" s="211">
        <f>+MAXA(_xlfn.CEILING.MATH(C55/60)+2,1)</f>
        <v/>
      </c>
      <c r="E55" s="915" t="n">
        <v>55</v>
      </c>
      <c r="F55" s="915" t="n">
        <v>0</v>
      </c>
      <c r="G55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55" s="294" t="inlineStr">
        <is>
          <t>BELLUSCO (MB)</t>
        </is>
      </c>
      <c r="I55" s="210" t="inlineStr">
        <is>
          <t>A</t>
        </is>
      </c>
      <c r="J55" s="211" t="n">
        <v>3</v>
      </c>
      <c r="K55" s="211">
        <f>+MAXA(_xlfn.CEILING.MATH(J55/60)+2,1)</f>
        <v/>
      </c>
      <c r="L55" s="917" t="n">
        <v>0</v>
      </c>
      <c r="M55" s="917" t="n">
        <v>0</v>
      </c>
      <c r="N55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55" s="294" t="inlineStr">
        <is>
          <t>BELLUSCO (MB)</t>
        </is>
      </c>
      <c r="P55" s="210" t="inlineStr">
        <is>
          <t>F</t>
        </is>
      </c>
      <c r="Q55" s="211" t="n">
        <v>590</v>
      </c>
      <c r="R55" s="211">
        <f>+MAXA(_xlfn.CEILING.MATH(Q55/60)+2,1)</f>
        <v/>
      </c>
      <c r="S55" s="917" t="n">
        <v>49</v>
      </c>
      <c r="T55" s="916" t="n">
        <v>0</v>
      </c>
      <c r="U55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56">
      <c r="A56" s="294" t="inlineStr">
        <is>
          <t>BERGAMO (BG)</t>
        </is>
      </c>
      <c r="B56" s="210" t="inlineStr">
        <is>
          <t>A</t>
        </is>
      </c>
      <c r="C56" s="211" t="n">
        <v>640</v>
      </c>
      <c r="D56" s="211">
        <f>+MAXA(_xlfn.CEILING.MATH(C56/60)+2,1)</f>
        <v/>
      </c>
      <c r="E56" s="915" t="n">
        <v>45</v>
      </c>
      <c r="F56" s="915" t="n">
        <v>0</v>
      </c>
      <c r="G56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56" s="294" t="inlineStr">
        <is>
          <t>BERGAMO (BG)</t>
        </is>
      </c>
      <c r="I56" s="210" t="inlineStr">
        <is>
          <t>A</t>
        </is>
      </c>
      <c r="J56" s="211" t="n">
        <v>30</v>
      </c>
      <c r="K56" s="211">
        <f>+MAXA(_xlfn.CEILING.MATH(J56/60)+2,1)</f>
        <v/>
      </c>
      <c r="L56" s="916" t="n">
        <v>2</v>
      </c>
      <c r="M56" s="916" t="n">
        <v>0</v>
      </c>
      <c r="N56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56" s="294" t="inlineStr">
        <is>
          <t>BERGAMO (BG)</t>
        </is>
      </c>
      <c r="P56" s="210" t="inlineStr">
        <is>
          <t>D</t>
        </is>
      </c>
      <c r="Q56" s="211" t="n">
        <v>595</v>
      </c>
      <c r="R56" s="211">
        <f>+MAXA(_xlfn.CEILING.MATH(Q56/60)+2,1)</f>
        <v/>
      </c>
      <c r="S56" s="916" t="n">
        <v>44</v>
      </c>
      <c r="T56" s="916" t="n">
        <v>0</v>
      </c>
      <c r="U56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57">
      <c r="A57" s="217" t="inlineStr">
        <is>
          <t>BERLINO (D)</t>
        </is>
      </c>
      <c r="B57" s="210" t="inlineStr">
        <is>
          <t>F</t>
        </is>
      </c>
      <c r="C57" s="211" t="n">
        <v>1550</v>
      </c>
      <c r="D57" s="211">
        <f>+MAXA(_xlfn.CEILING.MATH(C57/60)+2,1)</f>
        <v/>
      </c>
      <c r="E57" s="915" t="n">
        <v>70</v>
      </c>
      <c r="F57" s="915" t="n">
        <v>0</v>
      </c>
      <c r="G57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57" s="294" t="inlineStr">
        <is>
          <t>BERLINO (D)</t>
        </is>
      </c>
      <c r="I57" s="210" t="inlineStr">
        <is>
          <t>F</t>
        </is>
      </c>
      <c r="J57" s="211" t="n">
        <v>1010</v>
      </c>
      <c r="K57" s="211">
        <f>+MAXA(_xlfn.CEILING.MATH(J57/60)+2,1)</f>
        <v/>
      </c>
      <c r="L57" s="916" t="n">
        <v>0</v>
      </c>
      <c r="M57" s="916" t="n">
        <v>0</v>
      </c>
      <c r="N57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57" s="294" t="inlineStr">
        <is>
          <t>BERLINO (D)</t>
        </is>
      </c>
      <c r="P57" s="210" t="inlineStr">
        <is>
          <t>G</t>
        </is>
      </c>
      <c r="Q57" s="211" t="n">
        <v>1500</v>
      </c>
      <c r="R57" s="211">
        <f>+MAXA(_xlfn.CEILING.MATH(Q57/60)+2,1)</f>
        <v/>
      </c>
      <c r="S57" s="916" t="n">
        <v>69</v>
      </c>
      <c r="T57" s="916" t="n">
        <v>0</v>
      </c>
      <c r="U57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58">
      <c r="A58" s="217" t="inlineStr">
        <is>
          <t>BERNA (CH)</t>
        </is>
      </c>
      <c r="B58" s="210" t="inlineStr">
        <is>
          <t>G</t>
        </is>
      </c>
      <c r="C58" s="211" t="n">
        <v>895</v>
      </c>
      <c r="D58" s="211">
        <f>+MAXA(_xlfn.CEILING.MATH(C58/60)+2,1)</f>
        <v/>
      </c>
      <c r="E58" s="915" t="n">
        <v>53</v>
      </c>
      <c r="F58" s="915" t="n">
        <v>200</v>
      </c>
      <c r="G58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58" s="294" t="inlineStr">
        <is>
          <t>BERNA (CH)</t>
        </is>
      </c>
      <c r="I58" s="210" t="inlineStr">
        <is>
          <t>G</t>
        </is>
      </c>
      <c r="J58" s="211" t="n">
        <v>305</v>
      </c>
      <c r="K58" s="211">
        <f>+MAXA(_xlfn.CEILING.MATH(J58/60)+2,1)</f>
        <v/>
      </c>
      <c r="L58" s="917" t="n">
        <v>10</v>
      </c>
      <c r="M58" s="917" t="n">
        <v>200</v>
      </c>
      <c r="N58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58" s="294" t="inlineStr">
        <is>
          <t>BERNA (CH)</t>
        </is>
      </c>
      <c r="P58" s="210" t="inlineStr">
        <is>
          <t>G</t>
        </is>
      </c>
      <c r="Q58" s="211" t="n">
        <v>850</v>
      </c>
      <c r="R58" s="211">
        <f>+MAXA(_xlfn.CEILING.MATH(Q58/60)+2,1)</f>
        <v/>
      </c>
      <c r="S58" s="917" t="n">
        <v>53</v>
      </c>
      <c r="T58" s="917" t="n">
        <v>200</v>
      </c>
      <c r="U58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59">
      <c r="A59" s="217" t="inlineStr">
        <is>
          <t>BERNATE TICINO (MI)</t>
        </is>
      </c>
      <c r="B59" s="210" t="inlineStr">
        <is>
          <t>A</t>
        </is>
      </c>
      <c r="C59" s="211" t="n">
        <v>645</v>
      </c>
      <c r="D59" s="211">
        <f>+MAXA(_xlfn.CEILING.MATH(C59/60)+2,1)</f>
        <v/>
      </c>
      <c r="E59" s="915" t="n">
        <v>50</v>
      </c>
      <c r="F59" s="915" t="n">
        <v>0</v>
      </c>
      <c r="G59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59" s="294" t="inlineStr">
        <is>
          <t>BERNATE TICINO (MI)</t>
        </is>
      </c>
      <c r="I59" s="210" t="inlineStr">
        <is>
          <t>A</t>
        </is>
      </c>
      <c r="J59" s="211" t="n">
        <v>60</v>
      </c>
      <c r="K59" s="211">
        <f>+MAXA(_xlfn.CEILING.MATH(J59/60)+2,1)</f>
        <v/>
      </c>
      <c r="L59" s="917" t="n">
        <v>6</v>
      </c>
      <c r="M59" s="917" t="n">
        <v>0</v>
      </c>
      <c r="N59" s="917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59" s="294" t="inlineStr">
        <is>
          <t>BERNATE TICINO (MI)</t>
        </is>
      </c>
      <c r="P59" s="210" t="inlineStr">
        <is>
          <t>D</t>
        </is>
      </c>
      <c r="Q59" s="211" t="n">
        <v>600</v>
      </c>
      <c r="R59" s="211">
        <f>+MAXA(_xlfn.CEILING.MATH(Q59/60)+2,1)</f>
        <v/>
      </c>
      <c r="S59" s="917" t="n">
        <v>50</v>
      </c>
      <c r="T59" s="917" t="n">
        <v>0</v>
      </c>
      <c r="U59" s="917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60">
      <c r="A60" s="217" t="inlineStr">
        <is>
          <t>BIASSONO (MB)</t>
        </is>
      </c>
      <c r="B60" s="210" t="inlineStr">
        <is>
          <t>A</t>
        </is>
      </c>
      <c r="C60" s="211" t="n">
        <v>630</v>
      </c>
      <c r="D60" s="211">
        <f>+MAXA(_xlfn.CEILING.MATH(C60/60)+2,1)</f>
        <v/>
      </c>
      <c r="E60" s="915" t="n">
        <v>50</v>
      </c>
      <c r="F60" s="915" t="n">
        <v>0</v>
      </c>
      <c r="G60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60" s="294" t="inlineStr">
        <is>
          <t>BIASSONO (MB)</t>
        </is>
      </c>
      <c r="I60" s="210" t="inlineStr">
        <is>
          <t>A</t>
        </is>
      </c>
      <c r="J60" s="211" t="n">
        <v>19</v>
      </c>
      <c r="K60" s="211">
        <f>+MAXA(_xlfn.CEILING.MATH(J60/60)+2,1)</f>
        <v/>
      </c>
      <c r="L60" s="916" t="n">
        <v>0</v>
      </c>
      <c r="M60" s="917" t="n">
        <v>0</v>
      </c>
      <c r="N60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60" s="294" t="inlineStr">
        <is>
          <t>BIASSONO (MB)</t>
        </is>
      </c>
      <c r="P60" s="210" t="inlineStr">
        <is>
          <t>F</t>
        </is>
      </c>
      <c r="Q60" s="211" t="n">
        <v>585</v>
      </c>
      <c r="R60" s="211">
        <f>+MAXA(_xlfn.CEILING.MATH(Q60/60)+2,1)</f>
        <v/>
      </c>
      <c r="S60" s="916" t="n">
        <v>46</v>
      </c>
      <c r="T60" s="916" t="n">
        <v>0</v>
      </c>
      <c r="U60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61">
      <c r="A61" s="217" t="inlineStr">
        <is>
          <t>BOLOGNA (BO)</t>
        </is>
      </c>
      <c r="B61" s="210" t="inlineStr">
        <is>
          <t>A</t>
        </is>
      </c>
      <c r="C61" s="211" t="n">
        <v>420</v>
      </c>
      <c r="D61" s="211">
        <f>+MAXA(_xlfn.CEILING.MATH(C61/60)+2,1)</f>
        <v/>
      </c>
      <c r="E61" s="915" t="n">
        <v>30</v>
      </c>
      <c r="F61" s="915" t="n">
        <v>0</v>
      </c>
      <c r="G61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61" s="217" t="inlineStr">
        <is>
          <t>BOLOGNA (BO)</t>
        </is>
      </c>
      <c r="I61" s="210" t="inlineStr">
        <is>
          <t>A</t>
        </is>
      </c>
      <c r="J61" s="211" t="n">
        <v>250</v>
      </c>
      <c r="K61" s="211">
        <f>+MAXA(_xlfn.CEILING.MATH(J61/60)+2,1)</f>
        <v/>
      </c>
      <c r="L61" s="916" t="n">
        <v>25</v>
      </c>
      <c r="M61" s="917" t="n">
        <v>0</v>
      </c>
      <c r="N61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61" s="217" t="inlineStr">
        <is>
          <t>BOLOGNA (BO)</t>
        </is>
      </c>
      <c r="P61" s="210" t="inlineStr">
        <is>
          <t>C</t>
        </is>
      </c>
      <c r="Q61" s="211" t="n">
        <v>355</v>
      </c>
      <c r="R61" s="211">
        <f>+MAXA(_xlfn.CEILING.MATH(Q61/60)+2,1)</f>
        <v/>
      </c>
      <c r="S61" s="916" t="n">
        <v>27</v>
      </c>
      <c r="T61" s="916" t="n">
        <v>0</v>
      </c>
      <c r="U61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62">
      <c r="A62" s="217" t="inlineStr">
        <is>
          <t>BOLZANO (BZ)</t>
        </is>
      </c>
      <c r="B62" s="210" t="inlineStr">
        <is>
          <t>C</t>
        </is>
      </c>
      <c r="C62" s="211" t="n">
        <v>680</v>
      </c>
      <c r="D62" s="211">
        <f>+MAXA(_xlfn.CEILING.MATH(C62/60)+2,1)</f>
        <v/>
      </c>
      <c r="E62" s="915" t="n">
        <v>50</v>
      </c>
      <c r="F62" s="915" t="n">
        <v>0</v>
      </c>
      <c r="G62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62" s="217" t="inlineStr">
        <is>
          <t>BOLZANO (BZ)</t>
        </is>
      </c>
      <c r="I62" s="210" t="inlineStr">
        <is>
          <t>C</t>
        </is>
      </c>
      <c r="J62" s="211" t="n">
        <v>280</v>
      </c>
      <c r="K62" s="211">
        <f>+MAXA(_xlfn.CEILING.MATH(J62/60)+2,1)</f>
        <v/>
      </c>
      <c r="L62" s="916" t="n">
        <v>20</v>
      </c>
      <c r="M62" s="917" t="n">
        <v>0</v>
      </c>
      <c r="N62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62" s="217" t="inlineStr">
        <is>
          <t>BOLZANO (BZ)</t>
        </is>
      </c>
      <c r="P62" s="210" t="inlineStr">
        <is>
          <t>F</t>
        </is>
      </c>
      <c r="Q62" s="211" t="n">
        <v>635</v>
      </c>
      <c r="R62" s="211">
        <f>+MAXA(_xlfn.CEILING.MATH(Q62/60)+2,1)</f>
        <v/>
      </c>
      <c r="S62" s="916" t="n">
        <v>47</v>
      </c>
      <c r="T62" s="916" t="n">
        <v>0</v>
      </c>
      <c r="U62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63">
      <c r="A63" s="217" t="inlineStr">
        <is>
          <t>BORGO INCORONATA (FG)</t>
        </is>
      </c>
      <c r="B63" s="210" t="inlineStr">
        <is>
          <t>F</t>
        </is>
      </c>
      <c r="C63" s="211" t="n">
        <v>360</v>
      </c>
      <c r="D63" s="211">
        <f>+MAXA(_xlfn.CEILING.MATH(C63/60)+2,1)</f>
        <v/>
      </c>
      <c r="E63" s="915" t="n">
        <v>11</v>
      </c>
      <c r="F63" s="915" t="n"/>
      <c r="G63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63" s="294" t="inlineStr">
        <is>
          <t>BORGO INCORONATA (FG)</t>
        </is>
      </c>
      <c r="I63" s="210" t="inlineStr">
        <is>
          <t>F</t>
        </is>
      </c>
      <c r="J63" s="211" t="n">
        <v>800</v>
      </c>
      <c r="K63" s="211">
        <f>+MAXA(_xlfn.CEILING.MATH(J63/60)+2,1)</f>
        <v/>
      </c>
      <c r="L63" s="917" t="n">
        <v>65</v>
      </c>
      <c r="M63" s="917" t="n">
        <v>0</v>
      </c>
      <c r="N63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63" s="294" t="inlineStr">
        <is>
          <t>BORGO INCORONATA (FG)</t>
        </is>
      </c>
      <c r="P63" s="210" t="inlineStr">
        <is>
          <t>D</t>
        </is>
      </c>
      <c r="Q63" s="211" t="n">
        <v>201</v>
      </c>
      <c r="R63" s="211">
        <f>+MAXA(_xlfn.CEILING.MATH(Q63/60)+2,1)</f>
        <v/>
      </c>
      <c r="S63" s="917" t="n">
        <v>14</v>
      </c>
      <c r="T63" s="917" t="n">
        <v>0</v>
      </c>
      <c r="U63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64">
      <c r="A64" s="217" t="inlineStr">
        <is>
          <t>BORGO S. MICHELE (LT)</t>
        </is>
      </c>
      <c r="B64" s="210" t="inlineStr">
        <is>
          <t>A</t>
        </is>
      </c>
      <c r="C64" s="211" t="n">
        <v>55</v>
      </c>
      <c r="D64" s="211">
        <f>+MAXA(_xlfn.CEILING.MATH(C64/60)+2,1)</f>
        <v/>
      </c>
      <c r="E64" s="915" t="n">
        <v>0</v>
      </c>
      <c r="F64" s="915" t="n">
        <v>0</v>
      </c>
      <c r="G64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64" s="294" t="inlineStr">
        <is>
          <t>BORGO S. MICHELE (LT)</t>
        </is>
      </c>
      <c r="I64" s="210" t="inlineStr">
        <is>
          <t>A</t>
        </is>
      </c>
      <c r="J64" s="211" t="n">
        <v>680</v>
      </c>
      <c r="K64" s="211">
        <f>+MAXA(_xlfn.CEILING.MATH(J64/60)+2,1)</f>
        <v/>
      </c>
      <c r="L64" s="916" t="n">
        <v>50</v>
      </c>
      <c r="M64" s="917" t="n">
        <v>0</v>
      </c>
      <c r="N64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64" s="294" t="inlineStr">
        <is>
          <t>BORGO S. MICHELE (LT)</t>
        </is>
      </c>
      <c r="P64" s="210" t="inlineStr">
        <is>
          <t>D</t>
        </is>
      </c>
      <c r="Q64" s="211" t="n">
        <v>240</v>
      </c>
      <c r="R64" s="211">
        <f>+MAXA(_xlfn.CEILING.MATH(Q64/60)+2,1)</f>
        <v/>
      </c>
      <c r="S64" s="916" t="n">
        <v>12</v>
      </c>
      <c r="T64" s="916" t="n">
        <v>0</v>
      </c>
      <c r="U64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65">
      <c r="A65" s="217" t="inlineStr">
        <is>
          <t>BOVISIO MASCIAGO (MB)</t>
        </is>
      </c>
      <c r="B65" s="210" t="inlineStr">
        <is>
          <t>A</t>
        </is>
      </c>
      <c r="C65" s="211" t="n">
        <v>635</v>
      </c>
      <c r="D65" s="211">
        <f>+MAXA(_xlfn.CEILING.MATH(C65/60)+2,1)</f>
        <v/>
      </c>
      <c r="E65" s="915" t="n">
        <v>50</v>
      </c>
      <c r="F65" s="916" t="n">
        <v>0</v>
      </c>
      <c r="G65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65" s="294" t="inlineStr">
        <is>
          <t>BOVISIO MASCIAGO (MB)</t>
        </is>
      </c>
      <c r="I65" s="210" t="inlineStr">
        <is>
          <t>A</t>
        </is>
      </c>
      <c r="J65" s="211" t="n">
        <v>40</v>
      </c>
      <c r="K65" s="211">
        <f>+MAXA(_xlfn.CEILING.MATH(J65/60)+2,1)</f>
        <v/>
      </c>
      <c r="L65" s="917" t="n">
        <v>4</v>
      </c>
      <c r="M65" s="917" t="n">
        <v>0</v>
      </c>
      <c r="N65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65" s="294" t="inlineStr">
        <is>
          <t>BOVISIO MASCIAGO (MB)</t>
        </is>
      </c>
      <c r="P65" s="210" t="inlineStr">
        <is>
          <t>F</t>
        </is>
      </c>
      <c r="Q65" s="211" t="n">
        <v>590</v>
      </c>
      <c r="R65" s="211">
        <f>+MAXA(_xlfn.CEILING.MATH(Q65/60)+2,1)</f>
        <v/>
      </c>
      <c r="S65" s="917" t="n">
        <v>46</v>
      </c>
      <c r="T65" s="917" t="n">
        <v>0</v>
      </c>
      <c r="U65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66">
      <c r="A66" s="217" t="inlineStr">
        <is>
          <t>BRATISLAVA (SK)</t>
        </is>
      </c>
      <c r="B66" s="210" t="inlineStr">
        <is>
          <t>F</t>
        </is>
      </c>
      <c r="C66" s="211" t="n">
        <v>1300</v>
      </c>
      <c r="D66" s="211">
        <f>+MAXA(_xlfn.CEILING.MATH(C66/60)+2,1)</f>
        <v/>
      </c>
      <c r="E66" s="915" t="n">
        <v>40</v>
      </c>
      <c r="F66" s="915" t="n">
        <v>0</v>
      </c>
      <c r="G66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66" s="294" t="inlineStr">
        <is>
          <t>BRATISLAVA (SK)</t>
        </is>
      </c>
      <c r="I66" s="210" t="inlineStr">
        <is>
          <t>F</t>
        </is>
      </c>
      <c r="J66" s="211" t="n">
        <v>990</v>
      </c>
      <c r="K66" s="211">
        <f>+MAXA(_xlfn.CEILING.MATH(J66/60)+2,1)</f>
        <v/>
      </c>
      <c r="L66" s="917" t="n">
        <v>35</v>
      </c>
      <c r="M66" s="917" t="n">
        <v>0</v>
      </c>
      <c r="N66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66" s="294" t="inlineStr">
        <is>
          <t>BRATISLAVA (SK)</t>
        </is>
      </c>
      <c r="P66" s="210" t="inlineStr">
        <is>
          <t>G</t>
        </is>
      </c>
      <c r="Q66" s="211" t="n">
        <v>1107</v>
      </c>
      <c r="R66" s="211">
        <f>+MAXA(_xlfn.CEILING.MATH(Q66/60)+2,1)</f>
        <v/>
      </c>
      <c r="S66" s="917" t="n">
        <v>58</v>
      </c>
      <c r="T66" s="917" t="n">
        <v>0</v>
      </c>
      <c r="U66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67">
      <c r="A67" s="217" t="inlineStr">
        <is>
          <t>BRESCIA (BS)</t>
        </is>
      </c>
      <c r="B67" s="210" t="inlineStr">
        <is>
          <t>A</t>
        </is>
      </c>
      <c r="C67" s="211" t="n">
        <v>600</v>
      </c>
      <c r="D67" s="211">
        <f>+MAXA(_xlfn.CEILING.MATH(C67/60)+2,1)</f>
        <v/>
      </c>
      <c r="E67" s="915" t="n">
        <v>45</v>
      </c>
      <c r="F67" s="915" t="n">
        <v>0</v>
      </c>
      <c r="G67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67" s="217" t="inlineStr">
        <is>
          <t>BRESCIA (BS)</t>
        </is>
      </c>
      <c r="I67" s="210" t="inlineStr">
        <is>
          <t>A</t>
        </is>
      </c>
      <c r="J67" s="211" t="n">
        <v>80</v>
      </c>
      <c r="K67" s="211">
        <f>+MAXA(_xlfn.CEILING.MATH(J67/60)+2,1)</f>
        <v/>
      </c>
      <c r="L67" s="916" t="n">
        <v>5</v>
      </c>
      <c r="M67" s="917" t="n">
        <v>0</v>
      </c>
      <c r="N67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67" s="217" t="inlineStr">
        <is>
          <t>BRESCIA (BS)</t>
        </is>
      </c>
      <c r="P67" s="210" t="inlineStr">
        <is>
          <t>D</t>
        </is>
      </c>
      <c r="Q67" s="211" t="n">
        <v>550</v>
      </c>
      <c r="R67" s="211">
        <f>+MAXA(_xlfn.CEILING.MATH(Q67/60)+2,1)</f>
        <v/>
      </c>
      <c r="S67" s="916" t="n">
        <v>40</v>
      </c>
      <c r="T67" s="916" t="n">
        <v>0</v>
      </c>
      <c r="U67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68">
      <c r="A68" s="217" t="inlineStr">
        <is>
          <t>BROCCOSTELLA (FR)</t>
        </is>
      </c>
      <c r="B68" s="210" t="inlineStr">
        <is>
          <t>C</t>
        </is>
      </c>
      <c r="C68" s="211" t="n">
        <v>140</v>
      </c>
      <c r="D68" s="211">
        <f>+MAXA(_xlfn.CEILING.MATH(C68/60)+2,1)</f>
        <v/>
      </c>
      <c r="E68" s="915" t="n">
        <v>10</v>
      </c>
      <c r="F68" s="915" t="n">
        <v>0</v>
      </c>
      <c r="G68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68" s="294" t="inlineStr">
        <is>
          <t>BROCCOSTELLA (FR)</t>
        </is>
      </c>
      <c r="I68" s="210" t="inlineStr">
        <is>
          <t>B</t>
        </is>
      </c>
      <c r="J68" s="211" t="n">
        <v>690</v>
      </c>
      <c r="K68" s="211">
        <f>+MAXA(_xlfn.CEILING.MATH(J68/60)+2,1)</f>
        <v/>
      </c>
      <c r="L68" s="916" t="n">
        <v>60</v>
      </c>
      <c r="M68" s="917" t="n">
        <v>0</v>
      </c>
      <c r="N68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68" s="294" t="inlineStr">
        <is>
          <t>BROCCOSTELLA (FR)</t>
        </is>
      </c>
      <c r="P68" s="210" t="inlineStr">
        <is>
          <t>D</t>
        </is>
      </c>
      <c r="Q68" s="211" t="n">
        <v>165</v>
      </c>
      <c r="R68" s="211">
        <f>+MAXA(_xlfn.CEILING.MATH(Q68/60)+2,1)</f>
        <v/>
      </c>
      <c r="S68" s="916" t="n">
        <v>12</v>
      </c>
      <c r="T68" s="916" t="n">
        <v>0</v>
      </c>
      <c r="U68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69">
      <c r="A69" s="217" t="inlineStr">
        <is>
          <t>BROGLIE (VR)</t>
        </is>
      </c>
      <c r="B69" s="210" t="inlineStr">
        <is>
          <t>A</t>
        </is>
      </c>
      <c r="C69" s="211" t="n">
        <v>555</v>
      </c>
      <c r="D69" s="211">
        <f>+MAXA(_xlfn.CEILING.MATH(C69/60)+2,1)</f>
        <v/>
      </c>
      <c r="E69" s="915" t="n">
        <v>38</v>
      </c>
      <c r="F69" s="915" t="n">
        <v>0</v>
      </c>
      <c r="G69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69" s="294" t="inlineStr">
        <is>
          <t>BROGLIE (VR)</t>
        </is>
      </c>
      <c r="I69" s="210" t="inlineStr">
        <is>
          <t>B</t>
        </is>
      </c>
      <c r="J69" s="211" t="n">
        <v>115</v>
      </c>
      <c r="K69" s="211">
        <f>+MAXA(_xlfn.CEILING.MATH(J69/60)+2,1)</f>
        <v/>
      </c>
      <c r="L69" s="917" t="n">
        <v>7</v>
      </c>
      <c r="M69" s="917" t="n">
        <v>0</v>
      </c>
      <c r="N69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69" s="294" t="inlineStr">
        <is>
          <t>BROGLIE (VR)</t>
        </is>
      </c>
      <c r="P69" s="210" t="inlineStr">
        <is>
          <t>E</t>
        </is>
      </c>
      <c r="Q69" s="211" t="n">
        <v>510</v>
      </c>
      <c r="R69" s="211">
        <f>+MAXA(_xlfn.CEILING.MATH(Q69/60)+2,1)</f>
        <v/>
      </c>
      <c r="S69" s="917" t="n">
        <v>38</v>
      </c>
      <c r="T69" s="917" t="n">
        <v>0</v>
      </c>
      <c r="U69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70">
      <c r="A70" s="217" t="inlineStr">
        <is>
          <t>BRONTE (CT)</t>
        </is>
      </c>
      <c r="B70" s="210" t="inlineStr">
        <is>
          <t>E</t>
        </is>
      </c>
      <c r="C70" s="210" t="n">
        <v>818</v>
      </c>
      <c r="D70" s="211">
        <f>+MAXA(_xlfn.CEILING.MATH(C70/60)+2,1)</f>
        <v/>
      </c>
      <c r="E70" s="915" t="n">
        <v>21</v>
      </c>
      <c r="F70" s="915" t="n">
        <v>170</v>
      </c>
      <c r="G70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70" s="294" t="inlineStr">
        <is>
          <t>BRONTE (CT)</t>
        </is>
      </c>
      <c r="I70" s="210" t="inlineStr">
        <is>
          <t>E</t>
        </is>
      </c>
      <c r="J70" s="211" t="n">
        <v>1373</v>
      </c>
      <c r="K70" s="211">
        <f>+MAXA(_xlfn.CEILING.MATH(J70/60)+2,1)</f>
        <v/>
      </c>
      <c r="L70" s="917" t="n">
        <v>72</v>
      </c>
      <c r="M70" s="917" t="n">
        <v>170</v>
      </c>
      <c r="N70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70" s="294" t="inlineStr">
        <is>
          <t>BRONTE (CT)</t>
        </is>
      </c>
      <c r="P70" s="210" t="inlineStr">
        <is>
          <t>G</t>
        </is>
      </c>
      <c r="Q70" s="211" t="n">
        <v>810</v>
      </c>
      <c r="R70" s="211">
        <f>+MAXA(_xlfn.CEILING.MATH(Q70/60)+2,1)</f>
        <v/>
      </c>
      <c r="S70" s="917" t="n">
        <v>16</v>
      </c>
      <c r="T70" s="917" t="n">
        <v>170</v>
      </c>
      <c r="U70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71">
      <c r="A71" s="217" t="inlineStr">
        <is>
          <t>BRUXELLES (B)</t>
        </is>
      </c>
      <c r="B71" s="210" t="inlineStr">
        <is>
          <t>F</t>
        </is>
      </c>
      <c r="C71" s="211" t="n">
        <v>1500</v>
      </c>
      <c r="D71" s="211">
        <f>+MAXA(_xlfn.CEILING.MATH(C71/60)+2,1)</f>
        <v/>
      </c>
      <c r="E71" s="915" t="n">
        <v>60</v>
      </c>
      <c r="F71" s="915" t="n">
        <v>0</v>
      </c>
      <c r="G71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71" s="294" t="inlineStr">
        <is>
          <t>BRUXELLES (B)</t>
        </is>
      </c>
      <c r="I71" s="210" t="inlineStr">
        <is>
          <t>F</t>
        </is>
      </c>
      <c r="J71" s="211" t="n">
        <v>950</v>
      </c>
      <c r="K71" s="211">
        <f>+MAXA(_xlfn.CEILING.MATH(J71/60)+2,1)</f>
        <v/>
      </c>
      <c r="L71" s="916" t="n">
        <v>17</v>
      </c>
      <c r="M71" s="917" t="n">
        <v>0</v>
      </c>
      <c r="N71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71" s="294" t="inlineStr">
        <is>
          <t>BRUXELLES (B)</t>
        </is>
      </c>
      <c r="P71" s="210" t="inlineStr">
        <is>
          <t>G</t>
        </is>
      </c>
      <c r="Q71" s="211" t="n">
        <v>1450</v>
      </c>
      <c r="R71" s="211">
        <f>+MAXA(_xlfn.CEILING.MATH(Q71/60)+2,1)</f>
        <v/>
      </c>
      <c r="S71" s="916" t="n">
        <v>60</v>
      </c>
      <c r="T71" s="916" t="n">
        <v>0</v>
      </c>
      <c r="U71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72">
      <c r="A72" s="217" t="inlineStr">
        <is>
          <t>BUCAREST (RO)</t>
        </is>
      </c>
      <c r="B72" s="210" t="inlineStr">
        <is>
          <t>F</t>
        </is>
      </c>
      <c r="C72" s="211" t="n">
        <v>1950</v>
      </c>
      <c r="D72" s="211">
        <f>+MAXA(_xlfn.CEILING.MATH(C72/60)+2,1)</f>
        <v/>
      </c>
      <c r="E72" s="915" t="n">
        <v>80</v>
      </c>
      <c r="F72" s="915" t="n">
        <v>0</v>
      </c>
      <c r="G72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72" s="294" t="inlineStr">
        <is>
          <t>BUCAREST (RO)</t>
        </is>
      </c>
      <c r="I72" s="210" t="inlineStr">
        <is>
          <t>F</t>
        </is>
      </c>
      <c r="J72" s="211" t="n">
        <v>1650</v>
      </c>
      <c r="K72" s="211">
        <f>+MAXA(_xlfn.CEILING.MATH(J72/60)+2,1)</f>
        <v/>
      </c>
      <c r="L72" s="916" t="n">
        <v>55</v>
      </c>
      <c r="M72" s="917" t="n">
        <v>0</v>
      </c>
      <c r="N72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72" s="294" t="inlineStr">
        <is>
          <t>BUCAREST (RO)</t>
        </is>
      </c>
      <c r="P72" s="210" t="inlineStr">
        <is>
          <t>G</t>
        </is>
      </c>
      <c r="Q72" s="211" t="n">
        <v>1430</v>
      </c>
      <c r="R72" s="211">
        <f>+MAXA(_xlfn.CEILING.MATH(Q72/60)+2,1)</f>
        <v/>
      </c>
      <c r="S72" s="916" t="n">
        <v>45</v>
      </c>
      <c r="T72" s="916" t="n">
        <v>450</v>
      </c>
      <c r="U72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73">
      <c r="A73" s="217" t="inlineStr">
        <is>
          <t>BUDAPEST (H)</t>
        </is>
      </c>
      <c r="B73" s="210" t="inlineStr">
        <is>
          <t>F</t>
        </is>
      </c>
      <c r="C73" s="211" t="n">
        <v>1300</v>
      </c>
      <c r="D73" s="211">
        <f>+MAXA(_xlfn.CEILING.MATH(C73/60)+2,1)</f>
        <v/>
      </c>
      <c r="E73" s="915" t="n">
        <v>55</v>
      </c>
      <c r="F73" s="915" t="n">
        <v>0</v>
      </c>
      <c r="G73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73" s="294" t="inlineStr">
        <is>
          <t>BUDAPEST (H)</t>
        </is>
      </c>
      <c r="I73" s="210" t="inlineStr">
        <is>
          <t>F</t>
        </is>
      </c>
      <c r="J73" s="211" t="n">
        <v>970</v>
      </c>
      <c r="K73" s="211">
        <f>+MAXA(_xlfn.CEILING.MATH(J73/60)+2,1)</f>
        <v/>
      </c>
      <c r="L73" s="917" t="n">
        <v>30</v>
      </c>
      <c r="M73" s="917" t="n">
        <v>0</v>
      </c>
      <c r="N73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73" s="294" t="inlineStr">
        <is>
          <t>BUDAPEST (H)</t>
        </is>
      </c>
      <c r="P73" s="210" t="inlineStr">
        <is>
          <t>G</t>
        </is>
      </c>
      <c r="Q73" s="211" t="n">
        <v>1200</v>
      </c>
      <c r="R73" s="211">
        <f>+MAXA(_xlfn.CEILING.MATH(Q73/60)+2,1)</f>
        <v/>
      </c>
      <c r="S73" s="917" t="n">
        <v>50</v>
      </c>
      <c r="T73" s="917" t="n">
        <v>0</v>
      </c>
      <c r="U73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74">
      <c r="A74" s="217" t="inlineStr">
        <is>
          <t>CABANILLAS DEL CAMPO (E)</t>
        </is>
      </c>
      <c r="B74" s="210" t="inlineStr">
        <is>
          <t>C</t>
        </is>
      </c>
      <c r="C74" s="211" t="n">
        <v>1870</v>
      </c>
      <c r="D74" s="211">
        <f>+MAXA(_xlfn.CEILING.MATH(C74/60)+2,1)</f>
        <v/>
      </c>
      <c r="E74" s="915" t="n">
        <v>115</v>
      </c>
      <c r="F74" s="915" t="n">
        <v>0</v>
      </c>
      <c r="G74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74" s="294" t="inlineStr">
        <is>
          <t>CABANILLAS DEL CAMPO (E)</t>
        </is>
      </c>
      <c r="I74" s="210" t="inlineStr">
        <is>
          <t>C</t>
        </is>
      </c>
      <c r="J74" s="211" t="n">
        <v>1537</v>
      </c>
      <c r="K74" s="211">
        <f>+MAXA(_xlfn.CEILING.MATH(J74/60)+2,1)</f>
        <v/>
      </c>
      <c r="L74" s="917" t="n">
        <v>167</v>
      </c>
      <c r="M74" s="917" t="n">
        <v>0</v>
      </c>
      <c r="N74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74" s="294" t="inlineStr">
        <is>
          <t>CABANILLAS DEL CAMPO (E)</t>
        </is>
      </c>
      <c r="P74" s="210" t="inlineStr">
        <is>
          <t>F</t>
        </is>
      </c>
      <c r="Q74" s="211" t="n">
        <v>2077</v>
      </c>
      <c r="R74" s="211">
        <f>+MAXA(_xlfn.CEILING.MATH(Q74/60)+2,1)</f>
        <v/>
      </c>
      <c r="S74" s="917" t="n">
        <v>132</v>
      </c>
      <c r="T74" s="917" t="n">
        <v>0</v>
      </c>
      <c r="U74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75">
      <c r="A75" s="217" t="inlineStr">
        <is>
          <t>CAGLIARI (CA)</t>
        </is>
      </c>
      <c r="B75" s="210" t="inlineStr">
        <is>
          <t>F</t>
        </is>
      </c>
      <c r="C75" s="211">
        <f>93+10</f>
        <v/>
      </c>
      <c r="D75" s="211">
        <f>+MAXA(_xlfn.CEILING.MATH(C75/60)+2,1)</f>
        <v/>
      </c>
      <c r="E75" s="915" t="n">
        <v>4</v>
      </c>
      <c r="F75" s="915" t="n">
        <v>720</v>
      </c>
      <c r="G75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75" s="294" t="inlineStr">
        <is>
          <t>CAGLIARI (CA)</t>
        </is>
      </c>
      <c r="I75" s="210" t="inlineStr">
        <is>
          <t>F</t>
        </is>
      </c>
      <c r="J75" s="211">
        <f>190+10</f>
        <v/>
      </c>
      <c r="K75" s="211">
        <f>+MAXA(_xlfn.CEILING.MATH(J75/60)+2,1)</f>
        <v/>
      </c>
      <c r="L75" s="917" t="n">
        <v>14</v>
      </c>
      <c r="M75" s="917" t="n">
        <v>1430</v>
      </c>
      <c r="N75" s="917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75" s="294" t="inlineStr">
        <is>
          <t>CAGLIARI (CA)</t>
        </is>
      </c>
      <c r="P75" s="210" t="inlineStr">
        <is>
          <t>F</t>
        </is>
      </c>
      <c r="Q75" s="211">
        <f>295+10</f>
        <v/>
      </c>
      <c r="R75" s="211">
        <f>+MAXA(_xlfn.CEILING.MATH(Q75/60)+2,1)</f>
        <v/>
      </c>
      <c r="S75" s="917" t="n">
        <v>24</v>
      </c>
      <c r="T75" s="917" t="n">
        <v>720</v>
      </c>
      <c r="U75" s="917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76">
      <c r="A76" s="217" t="inlineStr">
        <is>
          <t>CAIVANO (NA)</t>
        </is>
      </c>
      <c r="B76" s="210" t="inlineStr">
        <is>
          <t>A</t>
        </is>
      </c>
      <c r="C76" s="211" t="n">
        <v>230</v>
      </c>
      <c r="D76" s="211">
        <f>+MAXA(_xlfn.CEILING.MATH(C76/60)+2,1)</f>
        <v/>
      </c>
      <c r="E76" s="915" t="n">
        <v>16</v>
      </c>
      <c r="F76" s="915" t="n">
        <v>0</v>
      </c>
      <c r="G76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76" s="294" t="inlineStr">
        <is>
          <t>CAIVANO (NA)</t>
        </is>
      </c>
      <c r="I76" s="210" t="inlineStr">
        <is>
          <t>A</t>
        </is>
      </c>
      <c r="J76" s="211" t="n">
        <v>785</v>
      </c>
      <c r="K76" s="211">
        <f>+MAXA(_xlfn.CEILING.MATH(J76/60)+2,1)</f>
        <v/>
      </c>
      <c r="L76" s="917" t="n">
        <v>66</v>
      </c>
      <c r="M76" s="917" t="n">
        <v>0</v>
      </c>
      <c r="N76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76" s="294" t="inlineStr">
        <is>
          <t>CAIVANO (NA)</t>
        </is>
      </c>
      <c r="P76" s="210" t="inlineStr">
        <is>
          <t>F</t>
        </is>
      </c>
      <c r="Q76" s="211" t="n">
        <v>240</v>
      </c>
      <c r="R76" s="211">
        <f>+MAXA(_xlfn.CEILING.MATH(Q76/60)+2,1)</f>
        <v/>
      </c>
      <c r="S76" s="917" t="n">
        <v>10</v>
      </c>
      <c r="T76" s="916" t="n">
        <v>0</v>
      </c>
      <c r="U76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77">
      <c r="A77" s="217" t="inlineStr">
        <is>
          <t>CALVENZANO (BG)</t>
        </is>
      </c>
      <c r="B77" s="210" t="inlineStr">
        <is>
          <t>A</t>
        </is>
      </c>
      <c r="C77" s="211" t="n">
        <v>610</v>
      </c>
      <c r="D77" s="211">
        <f>+MAXA(_xlfn.CEILING.MATH(C77/60)+2,1)</f>
        <v/>
      </c>
      <c r="E77" s="915" t="n">
        <v>40</v>
      </c>
      <c r="F77" s="915" t="n"/>
      <c r="G77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77" s="294" t="inlineStr">
        <is>
          <t>CALVENZANO (BG)</t>
        </is>
      </c>
      <c r="I77" s="210" t="inlineStr">
        <is>
          <t>A</t>
        </is>
      </c>
      <c r="J77" s="211" t="n">
        <v>30</v>
      </c>
      <c r="K77" s="211">
        <f>+MAXA(_xlfn.CEILING.MATH(J77/60)+2,1)</f>
        <v/>
      </c>
      <c r="L77" s="917" t="n">
        <v>0</v>
      </c>
      <c r="M77" s="917" t="n"/>
      <c r="N77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77" s="294" t="inlineStr">
        <is>
          <t>CALVENZANO (BG)</t>
        </is>
      </c>
      <c r="P77" s="210" t="inlineStr">
        <is>
          <t>D</t>
        </is>
      </c>
      <c r="Q77" s="211" t="n">
        <v>565</v>
      </c>
      <c r="R77" s="211">
        <f>+MAXA(_xlfn.CEILING.MATH(Q77/60)+2,1)</f>
        <v/>
      </c>
      <c r="S77" s="917" t="n">
        <v>39</v>
      </c>
      <c r="T77" s="917" t="n">
        <v>0</v>
      </c>
      <c r="U77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78">
      <c r="A78" s="217" t="inlineStr">
        <is>
          <t>CAMPOCHIARO (CB)</t>
        </is>
      </c>
      <c r="B78" s="210" t="inlineStr">
        <is>
          <t>F</t>
        </is>
      </c>
      <c r="C78" s="211" t="n">
        <v>230</v>
      </c>
      <c r="D78" s="211">
        <f>+MAXA(_xlfn.CEILING.MATH(C78/60)+2,1)</f>
        <v/>
      </c>
      <c r="E78" s="915" t="n">
        <v>10</v>
      </c>
      <c r="F78" s="915" t="n">
        <v>0</v>
      </c>
      <c r="G78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78" s="217" t="inlineStr">
        <is>
          <t>CAMPOCHIARO (CB)</t>
        </is>
      </c>
      <c r="I78" s="210" t="inlineStr">
        <is>
          <t>F</t>
        </is>
      </c>
      <c r="J78" s="211" t="n">
        <v>773</v>
      </c>
      <c r="K78" s="211">
        <f>+MAXA(_xlfn.CEILING.MATH(J78/60)+2,1)</f>
        <v/>
      </c>
      <c r="L78" s="917" t="n">
        <v>57</v>
      </c>
      <c r="M78" s="917" t="n">
        <v>0</v>
      </c>
      <c r="N78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78" s="217" t="inlineStr">
        <is>
          <t>CAMPOCHIARO (CB)</t>
        </is>
      </c>
      <c r="P78" s="210" t="inlineStr">
        <is>
          <t>C</t>
        </is>
      </c>
      <c r="Q78" s="211" t="n">
        <v>180</v>
      </c>
      <c r="R78" s="211">
        <f>+MAXA(_xlfn.CEILING.MATH(Q78/60)+2,1)</f>
        <v/>
      </c>
      <c r="S78" s="917" t="n">
        <v>6</v>
      </c>
      <c r="T78" s="917" t="n">
        <v>0</v>
      </c>
      <c r="U78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79">
      <c r="A79" s="217" t="inlineStr">
        <is>
          <t>CAPALLE (FI)</t>
        </is>
      </c>
      <c r="B79" s="210" t="inlineStr">
        <is>
          <t>A</t>
        </is>
      </c>
      <c r="C79" s="211" t="n">
        <v>335</v>
      </c>
      <c r="D79" s="211">
        <f>+MAXA(_xlfn.CEILING.MATH(C79/60)+2,1)</f>
        <v/>
      </c>
      <c r="E79" s="915" t="n">
        <v>30</v>
      </c>
      <c r="F79" s="915" t="n">
        <v>0</v>
      </c>
      <c r="G79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79" s="294" t="inlineStr">
        <is>
          <t>CAPALLE (FI)</t>
        </is>
      </c>
      <c r="I79" s="210" t="inlineStr">
        <is>
          <t>A</t>
        </is>
      </c>
      <c r="J79" s="211" t="n">
        <v>320</v>
      </c>
      <c r="K79" s="211">
        <f>+MAXA(_xlfn.CEILING.MATH(J79/60)+2,1)</f>
        <v/>
      </c>
      <c r="L79" s="917" t="n">
        <v>30</v>
      </c>
      <c r="M79" s="917" t="n">
        <v>0</v>
      </c>
      <c r="N79" s="917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79" s="294" t="inlineStr">
        <is>
          <t>CAPALLE (FI)</t>
        </is>
      </c>
      <c r="P79" s="210" t="inlineStr">
        <is>
          <t>E</t>
        </is>
      </c>
      <c r="Q79" s="211" t="n">
        <v>410</v>
      </c>
      <c r="R79" s="211">
        <f>+MAXA(_xlfn.CEILING.MATH(Q79/60)+2,1)</f>
        <v/>
      </c>
      <c r="S79" s="917" t="n">
        <v>27</v>
      </c>
      <c r="T79" s="917" t="n">
        <v>0</v>
      </c>
      <c r="U79" s="917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80">
      <c r="A80" s="217" t="inlineStr">
        <is>
          <t>CAPANNORI (LU)</t>
        </is>
      </c>
      <c r="B80" s="210" t="inlineStr">
        <is>
          <t>C</t>
        </is>
      </c>
      <c r="C80" s="211" t="n">
        <v>385</v>
      </c>
      <c r="D80" s="211">
        <f>+MAXA(_xlfn.CEILING.MATH(C80/60)+2,1)</f>
        <v/>
      </c>
      <c r="E80" s="915" t="n">
        <v>25</v>
      </c>
      <c r="F80" s="915" t="n"/>
      <c r="G80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80" s="294" t="inlineStr">
        <is>
          <t>CAPANNORI (LU)</t>
        </is>
      </c>
      <c r="I80" s="210" t="inlineStr">
        <is>
          <t>C</t>
        </is>
      </c>
      <c r="J80" s="211" t="n">
        <v>310</v>
      </c>
      <c r="K80" s="211">
        <f>+MAXA(_xlfn.CEILING.MATH(J80/60)+2,1)</f>
        <v/>
      </c>
      <c r="L80" s="917" t="n">
        <v>40</v>
      </c>
      <c r="M80" s="917" t="n"/>
      <c r="N80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80" s="294" t="inlineStr">
        <is>
          <t>CAPANNORI (LU)</t>
        </is>
      </c>
      <c r="P80" s="210" t="inlineStr">
        <is>
          <t>F</t>
        </is>
      </c>
      <c r="Q80" s="211" t="n">
        <v>460</v>
      </c>
      <c r="R80" s="211">
        <f>+MAXA(_xlfn.CEILING.MATH(Q80/60)+2,1)</f>
        <v/>
      </c>
      <c r="S80" s="917" t="n">
        <v>20</v>
      </c>
      <c r="T80" s="917" t="n">
        <v>0</v>
      </c>
      <c r="U80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81">
      <c r="A81" s="217" t="inlineStr">
        <is>
          <t>CAPELLE AAN DEN IJSSEL (NL)</t>
        </is>
      </c>
      <c r="B81" s="210" t="inlineStr">
        <is>
          <t>E</t>
        </is>
      </c>
      <c r="C81" s="211" t="n">
        <v>1727</v>
      </c>
      <c r="D81" s="211">
        <f>+MAXA(_xlfn.CEILING.MATH(C81/60)+2,1)</f>
        <v/>
      </c>
      <c r="E81" s="915" t="n">
        <v>62</v>
      </c>
      <c r="F81" s="915" t="n">
        <v>0</v>
      </c>
      <c r="G81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81" s="294" t="inlineStr">
        <is>
          <t>CAPELLE AAN DEN IJSSEL (NL)</t>
        </is>
      </c>
      <c r="I81" s="210" t="inlineStr">
        <is>
          <t>E</t>
        </is>
      </c>
      <c r="J81" s="211" t="n">
        <v>1124</v>
      </c>
      <c r="K81" s="211">
        <f>+MAXA(_xlfn.CEILING.MATH(J81/60)+2,1)</f>
        <v/>
      </c>
      <c r="L81" s="917" t="n">
        <v>17</v>
      </c>
      <c r="M81" s="917" t="n">
        <v>0</v>
      </c>
      <c r="N81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81" s="294" t="inlineStr">
        <is>
          <t>CAPELLE AAN DEN IJSSEL (NL)</t>
        </is>
      </c>
      <c r="P81" s="210" t="inlineStr">
        <is>
          <t>F</t>
        </is>
      </c>
      <c r="Q81" s="211" t="n">
        <v>1596</v>
      </c>
      <c r="R81" s="211">
        <f>+MAXA(_xlfn.CEILING.MATH(Q81/60)+2,1)</f>
        <v/>
      </c>
      <c r="S81" s="917" t="n">
        <v>60</v>
      </c>
      <c r="T81" s="917" t="n">
        <v>0</v>
      </c>
      <c r="U81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82">
      <c r="A82" s="217" t="inlineStr">
        <is>
          <t>CAPENA (RM)</t>
        </is>
      </c>
      <c r="B82" s="210" t="inlineStr">
        <is>
          <t>B</t>
        </is>
      </c>
      <c r="C82" s="211" t="n">
        <v>80</v>
      </c>
      <c r="D82" s="211">
        <f>+MAXA(_xlfn.CEILING.MATH(C82/60)+2,1)</f>
        <v/>
      </c>
      <c r="E82" s="915" t="n">
        <v>1</v>
      </c>
      <c r="F82" s="915" t="n">
        <v>0</v>
      </c>
      <c r="G82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82" s="294" t="inlineStr">
        <is>
          <t>CAPENA (RM)</t>
        </is>
      </c>
      <c r="I82" s="210" t="inlineStr">
        <is>
          <t>B</t>
        </is>
      </c>
      <c r="J82" s="211" t="n">
        <v>580</v>
      </c>
      <c r="K82" s="211">
        <f>+MAXA(_xlfn.CEILING.MATH(J82/60)+2,1)</f>
        <v/>
      </c>
      <c r="L82" s="916" t="n">
        <v>50</v>
      </c>
      <c r="M82" s="917" t="n">
        <v>0</v>
      </c>
      <c r="N82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82" s="294" t="inlineStr">
        <is>
          <t>CAPENA (RM)</t>
        </is>
      </c>
      <c r="P82" s="210" t="inlineStr">
        <is>
          <t>C</t>
        </is>
      </c>
      <c r="Q82" s="211" t="n">
        <v>230</v>
      </c>
      <c r="R82" s="211">
        <f>+MAXA(_xlfn.CEILING.MATH(Q82/60)+2,1)</f>
        <v/>
      </c>
      <c r="S82" s="916" t="n">
        <v>21</v>
      </c>
      <c r="T82" s="916" t="n">
        <v>0</v>
      </c>
      <c r="U82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83">
      <c r="A83" s="217" t="inlineStr">
        <is>
          <t>CARDANO AL CAMPO (VA)</t>
        </is>
      </c>
      <c r="B83" s="210" t="inlineStr">
        <is>
          <t>A</t>
        </is>
      </c>
      <c r="C83" s="211" t="n">
        <v>660</v>
      </c>
      <c r="D83" s="211">
        <f>+MAXA(_xlfn.CEILING.MATH(C83/60)+2,1)</f>
        <v/>
      </c>
      <c r="E83" s="915" t="n">
        <v>50</v>
      </c>
      <c r="F83" s="915" t="n">
        <v>0</v>
      </c>
      <c r="G83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83" s="294" t="inlineStr">
        <is>
          <t>CARDANO AL CAMPO (VA)</t>
        </is>
      </c>
      <c r="I83" s="210" t="inlineStr">
        <is>
          <t>A</t>
        </is>
      </c>
      <c r="J83" s="211" t="n">
        <v>70</v>
      </c>
      <c r="K83" s="211">
        <f>+MAXA(_xlfn.CEILING.MATH(J83/60)+2,1)</f>
        <v/>
      </c>
      <c r="L83" s="917" t="n">
        <v>4</v>
      </c>
      <c r="M83" s="917" t="n">
        <v>0</v>
      </c>
      <c r="N83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83" s="294" t="inlineStr">
        <is>
          <t>CARDANO AL CAMPO (VA)</t>
        </is>
      </c>
      <c r="P83" s="210" t="inlineStr">
        <is>
          <t>D</t>
        </is>
      </c>
      <c r="Q83" s="211" t="n">
        <v>610</v>
      </c>
      <c r="R83" s="211">
        <f>+MAXA(_xlfn.CEILING.MATH(Q83/60)+2,1)</f>
        <v/>
      </c>
      <c r="S83" s="917" t="n">
        <v>47</v>
      </c>
      <c r="T83" s="917" t="n">
        <v>0</v>
      </c>
      <c r="U83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84">
      <c r="A84" s="217" t="inlineStr">
        <is>
          <t>CARINI (PA)</t>
        </is>
      </c>
      <c r="B84" s="210" t="inlineStr">
        <is>
          <t>E</t>
        </is>
      </c>
      <c r="C84" s="211" t="n">
        <v>965</v>
      </c>
      <c r="D84" s="211">
        <f>+MAXA(_xlfn.CEILING.MATH(C84/60)+2,1)</f>
        <v/>
      </c>
      <c r="E84" s="915" t="n">
        <v>30</v>
      </c>
      <c r="F84" s="915" t="n">
        <v>170</v>
      </c>
      <c r="G84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84" s="294" t="inlineStr">
        <is>
          <t>CARINI (PA)</t>
        </is>
      </c>
      <c r="I84" s="210" t="inlineStr">
        <is>
          <t>E</t>
        </is>
      </c>
      <c r="J84" s="211" t="n">
        <v>1521</v>
      </c>
      <c r="K84" s="211">
        <f>+MAXA(_xlfn.CEILING.MATH(J84/60)+2,1)</f>
        <v/>
      </c>
      <c r="L84" s="917" t="n">
        <v>82</v>
      </c>
      <c r="M84" s="917" t="n">
        <v>170</v>
      </c>
      <c r="N84" s="917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84" s="294" t="inlineStr">
        <is>
          <t>CARINI (PA)</t>
        </is>
      </c>
      <c r="P84" s="210" t="inlineStr">
        <is>
          <t>F</t>
        </is>
      </c>
      <c r="Q84" s="211" t="n">
        <v>960</v>
      </c>
      <c r="R84" s="211">
        <f>+MAXA(_xlfn.CEILING.MATH(Q84/60)+2,1)</f>
        <v/>
      </c>
      <c r="S84" s="917" t="n">
        <v>25</v>
      </c>
      <c r="T84" s="917" t="n">
        <v>170</v>
      </c>
      <c r="U84" s="917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85">
      <c r="A85" s="217" t="inlineStr">
        <is>
          <t>CARSOLI (AQ)</t>
        </is>
      </c>
      <c r="B85" s="210" t="inlineStr">
        <is>
          <t>C</t>
        </is>
      </c>
      <c r="C85" s="211" t="n">
        <v>96</v>
      </c>
      <c r="D85" s="211">
        <f>+MAXA(_xlfn.CEILING.MATH(C85/60)+2,1)</f>
        <v/>
      </c>
      <c r="E85" s="915" t="n">
        <v>7</v>
      </c>
      <c r="F85" s="915" t="n"/>
      <c r="G85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85" s="294" t="inlineStr">
        <is>
          <t>CARSOLI (AQ)</t>
        </is>
      </c>
      <c r="I85" s="210" t="inlineStr">
        <is>
          <t>C</t>
        </is>
      </c>
      <c r="J85" s="211" t="n">
        <v>637</v>
      </c>
      <c r="K85" s="211">
        <f>+MAXA(_xlfn.CEILING.MATH(J85/60)+2,1)</f>
        <v/>
      </c>
      <c r="L85" s="917" t="n">
        <v>56</v>
      </c>
      <c r="M85" s="917" t="n"/>
      <c r="N85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85" s="294" t="inlineStr">
        <is>
          <t>CARSOLI (AQ)</t>
        </is>
      </c>
      <c r="P85" s="210" t="inlineStr">
        <is>
          <t>C</t>
        </is>
      </c>
      <c r="Q85" s="211" t="n">
        <v>160</v>
      </c>
      <c r="R85" s="211">
        <f>+MAXA(_xlfn.CEILING.MATH(Q85/60)+2,1)</f>
        <v/>
      </c>
      <c r="S85" s="917" t="n">
        <v>16</v>
      </c>
      <c r="T85" s="917" t="n">
        <v>0</v>
      </c>
      <c r="U85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86">
      <c r="A86" s="217" t="inlineStr">
        <is>
          <t>CASALVIERI (FR)</t>
        </is>
      </c>
      <c r="B86" s="210" t="inlineStr">
        <is>
          <t>C</t>
        </is>
      </c>
      <c r="C86" s="211" t="n">
        <v>140</v>
      </c>
      <c r="D86" s="211">
        <f>+MAXA(_xlfn.CEILING.MATH(C86/60)+2,1)</f>
        <v/>
      </c>
      <c r="E86" s="915" t="n">
        <v>5</v>
      </c>
      <c r="F86" s="915" t="n">
        <v>0</v>
      </c>
      <c r="G86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86" s="294" t="inlineStr">
        <is>
          <t>CASALVIERI (FR)</t>
        </is>
      </c>
      <c r="I86" s="210" t="inlineStr">
        <is>
          <t>B</t>
        </is>
      </c>
      <c r="J86" s="211" t="n">
        <v>705</v>
      </c>
      <c r="K86" s="211">
        <f>+MAXA(_xlfn.CEILING.MATH(J86/60)+2,1)</f>
        <v/>
      </c>
      <c r="L86" s="917" t="n">
        <v>58</v>
      </c>
      <c r="M86" s="917" t="n">
        <v>0</v>
      </c>
      <c r="N86" s="917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86" s="294" t="inlineStr">
        <is>
          <t>CASALVIERI (FR)</t>
        </is>
      </c>
      <c r="P86" s="210" t="inlineStr">
        <is>
          <t>D</t>
        </is>
      </c>
      <c r="Q86" s="211" t="n">
        <v>185</v>
      </c>
      <c r="R86" s="211">
        <f>+MAXA(_xlfn.CEILING.MATH(Q86/60)+2,1)</f>
        <v/>
      </c>
      <c r="S86" s="917" t="n">
        <v>12</v>
      </c>
      <c r="T86" s="917" t="n">
        <v>0</v>
      </c>
      <c r="U86" s="917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87">
      <c r="A87" s="217" t="inlineStr">
        <is>
          <t>CASAMASSIMA (BA)</t>
        </is>
      </c>
      <c r="B87" s="210" t="inlineStr">
        <is>
          <t>C</t>
        </is>
      </c>
      <c r="C87" s="211" t="n">
        <v>460</v>
      </c>
      <c r="D87" s="211">
        <f>+MAXA(_xlfn.CEILING.MATH(C87/60)+2,1)</f>
        <v/>
      </c>
      <c r="E87" s="915" t="n">
        <v>30</v>
      </c>
      <c r="F87" s="915" t="n">
        <v>0</v>
      </c>
      <c r="G87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87" s="294" t="inlineStr">
        <is>
          <t>CASAMASSIMA (BA)</t>
        </is>
      </c>
      <c r="I87" s="210" t="inlineStr">
        <is>
          <t>C</t>
        </is>
      </c>
      <c r="J87" s="211" t="n">
        <v>930</v>
      </c>
      <c r="K87" s="211">
        <f>+MAXA(_xlfn.CEILING.MATH(J87/60)+2,1)</f>
        <v/>
      </c>
      <c r="L87" s="916" t="n">
        <v>75</v>
      </c>
      <c r="M87" s="917" t="n">
        <v>0</v>
      </c>
      <c r="N87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87" s="294" t="inlineStr">
        <is>
          <t>CASAMASSIMA (BA)</t>
        </is>
      </c>
      <c r="P87" s="210" t="inlineStr">
        <is>
          <t>E</t>
        </is>
      </c>
      <c r="Q87" s="211" t="n">
        <v>330</v>
      </c>
      <c r="R87" s="211">
        <f>+MAXA(_xlfn.CEILING.MATH(Q87/60)+2,1)</f>
        <v/>
      </c>
      <c r="S87" s="916" t="n">
        <v>23</v>
      </c>
      <c r="T87" s="916" t="n">
        <v>0</v>
      </c>
      <c r="U87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88">
      <c r="A88" s="217" t="inlineStr">
        <is>
          <t>CASERTA (CE)</t>
        </is>
      </c>
      <c r="B88" s="210" t="inlineStr">
        <is>
          <t>A</t>
        </is>
      </c>
      <c r="C88" s="211" t="n">
        <v>220</v>
      </c>
      <c r="D88" s="211">
        <f>+MAXA(_xlfn.CEILING.MATH(C88/60)+2,1)</f>
        <v/>
      </c>
      <c r="E88" s="915" t="n">
        <v>14</v>
      </c>
      <c r="F88" s="915" t="n"/>
      <c r="G88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88" s="217" t="inlineStr">
        <is>
          <t>CASERTA (CE)</t>
        </is>
      </c>
      <c r="I88" s="210" t="inlineStr">
        <is>
          <t>A</t>
        </is>
      </c>
      <c r="J88" s="211" t="n">
        <v>775</v>
      </c>
      <c r="K88" s="211">
        <f>+MAXA(_xlfn.CEILING.MATH(J88/60)+2,1)</f>
        <v/>
      </c>
      <c r="L88" s="917" t="n">
        <v>65</v>
      </c>
      <c r="M88" s="917" t="n"/>
      <c r="N88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88" s="217" t="inlineStr">
        <is>
          <t>CASERTA (CE)</t>
        </is>
      </c>
      <c r="P88" s="210" t="inlineStr">
        <is>
          <t>E</t>
        </is>
      </c>
      <c r="Q88" s="211" t="n">
        <v>230</v>
      </c>
      <c r="R88" s="211">
        <f>+MAXA(_xlfn.CEILING.MATH(Q88/60)+2,1)</f>
        <v/>
      </c>
      <c r="S88" s="917" t="n">
        <v>9</v>
      </c>
      <c r="T88" s="917" t="n">
        <v>0</v>
      </c>
      <c r="U88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89">
      <c r="A89" s="217" t="inlineStr">
        <is>
          <t>CASORATE PRIMO (MI)</t>
        </is>
      </c>
      <c r="B89" s="210" t="inlineStr">
        <is>
          <t>A</t>
        </is>
      </c>
      <c r="C89" s="211" t="n">
        <v>620</v>
      </c>
      <c r="D89" s="211">
        <f>+MAXA(_xlfn.CEILING.MATH(C89/60)+2,1)</f>
        <v/>
      </c>
      <c r="E89" s="915" t="n">
        <v>44</v>
      </c>
      <c r="F89" s="915" t="n">
        <v>0</v>
      </c>
      <c r="G89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89" s="294" t="inlineStr">
        <is>
          <t>CASORATE PRIMO (MI)</t>
        </is>
      </c>
      <c r="I89" s="210" t="inlineStr">
        <is>
          <t>A</t>
        </is>
      </c>
      <c r="J89" s="211" t="n">
        <v>66</v>
      </c>
      <c r="K89" s="211">
        <f>+MAXA(_xlfn.CEILING.MATH(J89/60)+2,1)</f>
        <v/>
      </c>
      <c r="L89" s="917" t="n">
        <v>5</v>
      </c>
      <c r="M89" s="917" t="n"/>
      <c r="N89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89" s="294" t="inlineStr">
        <is>
          <t>CASORATE PRIMO (MI)</t>
        </is>
      </c>
      <c r="P89" s="210" t="inlineStr">
        <is>
          <t>D</t>
        </is>
      </c>
      <c r="Q89" s="211" t="n">
        <v>575</v>
      </c>
      <c r="R89" s="211">
        <f>+MAXA(_xlfn.CEILING.MATH(Q89/60)+2,1)</f>
        <v/>
      </c>
      <c r="S89" s="917" t="n">
        <v>44</v>
      </c>
      <c r="T89" s="917" t="n"/>
      <c r="U89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90">
      <c r="A90" s="217" t="inlineStr">
        <is>
          <t>CASORIA (NA)</t>
        </is>
      </c>
      <c r="B90" s="210" t="inlineStr">
        <is>
          <t>A</t>
        </is>
      </c>
      <c r="C90" s="211" t="n">
        <v>240</v>
      </c>
      <c r="D90" s="211">
        <f>+MAXA(_xlfn.CEILING.MATH(C90/60)+2,1)</f>
        <v/>
      </c>
      <c r="E90" s="915" t="n">
        <v>16</v>
      </c>
      <c r="F90" s="915" t="n">
        <v>0</v>
      </c>
      <c r="G90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90" s="294" t="inlineStr">
        <is>
          <t>CASORIA (NA)</t>
        </is>
      </c>
      <c r="I90" s="210" t="inlineStr">
        <is>
          <t>A</t>
        </is>
      </c>
      <c r="J90" s="211" t="n">
        <v>790</v>
      </c>
      <c r="K90" s="211">
        <f>+MAXA(_xlfn.CEILING.MATH(J90/60)+2,1)</f>
        <v/>
      </c>
      <c r="L90" s="917" t="n">
        <v>66</v>
      </c>
      <c r="M90" s="917" t="n">
        <v>0</v>
      </c>
      <c r="N90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90" s="294" t="inlineStr">
        <is>
          <t>CASORIA (NA)</t>
        </is>
      </c>
      <c r="P90" s="210" t="inlineStr">
        <is>
          <t>E</t>
        </is>
      </c>
      <c r="Q90" s="211" t="n">
        <v>250</v>
      </c>
      <c r="R90" s="211">
        <f>+MAXA(_xlfn.CEILING.MATH(Q90/60)+2,1)</f>
        <v/>
      </c>
      <c r="S90" s="917" t="n">
        <v>11</v>
      </c>
      <c r="T90" s="917" t="n">
        <v>0</v>
      </c>
      <c r="U90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91">
      <c r="A91" s="217" t="inlineStr">
        <is>
          <t>CASSIBILE (SR)</t>
        </is>
      </c>
      <c r="B91" s="210" t="inlineStr">
        <is>
          <t>E</t>
        </is>
      </c>
      <c r="C91" s="211" t="n">
        <v>900</v>
      </c>
      <c r="D91" s="211">
        <f>+MAXA(_xlfn.CEILING.MATH(C91/60)+2,1)</f>
        <v/>
      </c>
      <c r="E91" s="915" t="n">
        <v>25</v>
      </c>
      <c r="F91" s="915" t="n">
        <v>170</v>
      </c>
      <c r="G91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91" s="294" t="inlineStr">
        <is>
          <t>CASSIBILE (SR)</t>
        </is>
      </c>
      <c r="I91" s="210" t="inlineStr">
        <is>
          <t>E</t>
        </is>
      </c>
      <c r="J91" s="211" t="n">
        <v>1440</v>
      </c>
      <c r="K91" s="211">
        <f>+MAXA(_xlfn.CEILING.MATH(J91/60)+2,1)</f>
        <v/>
      </c>
      <c r="L91" s="916" t="n">
        <v>75</v>
      </c>
      <c r="M91" s="917" t="n">
        <v>170</v>
      </c>
      <c r="N91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91" s="294" t="inlineStr">
        <is>
          <t>CASSIBILE (SR)</t>
        </is>
      </c>
      <c r="P91" s="210" t="inlineStr">
        <is>
          <t>G</t>
        </is>
      </c>
      <c r="Q91" s="211" t="n">
        <v>875</v>
      </c>
      <c r="R91" s="211">
        <f>+MAXA(_xlfn.CEILING.MATH(Q91/60)+2,1)</f>
        <v/>
      </c>
      <c r="S91" s="916" t="n">
        <v>18</v>
      </c>
      <c r="T91" s="916" t="n">
        <v>170</v>
      </c>
      <c r="U91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92">
      <c r="A92" s="217" t="inlineStr">
        <is>
          <t>CASSINO (FR)</t>
        </is>
      </c>
      <c r="B92" s="210" t="inlineStr">
        <is>
          <t>C</t>
        </is>
      </c>
      <c r="C92" s="211" t="n">
        <v>160</v>
      </c>
      <c r="D92" s="211">
        <f>+MAXA(_xlfn.CEILING.MATH(C92/60)+2,1)</f>
        <v/>
      </c>
      <c r="E92" s="915" t="n">
        <v>10</v>
      </c>
      <c r="F92" s="915" t="n">
        <v>0</v>
      </c>
      <c r="G92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92" s="294" t="inlineStr">
        <is>
          <t>CASSINO (FR)</t>
        </is>
      </c>
      <c r="I92" s="210" t="inlineStr">
        <is>
          <t>B</t>
        </is>
      </c>
      <c r="J92" s="211" t="n">
        <v>710</v>
      </c>
      <c r="K92" s="211">
        <f>+MAXA(_xlfn.CEILING.MATH(J92/60)+2,1)</f>
        <v/>
      </c>
      <c r="L92" s="916" t="n">
        <v>60</v>
      </c>
      <c r="M92" s="917" t="n">
        <v>0</v>
      </c>
      <c r="N92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92" s="294" t="inlineStr">
        <is>
          <t>CASSINO (FR)</t>
        </is>
      </c>
      <c r="P92" s="210" t="inlineStr">
        <is>
          <t>D</t>
        </is>
      </c>
      <c r="Q92" s="211" t="n">
        <v>200</v>
      </c>
      <c r="R92" s="211">
        <f>+MAXA(_xlfn.CEILING.MATH(Q92/60)+2,1)</f>
        <v/>
      </c>
      <c r="S92" s="916" t="n">
        <v>12</v>
      </c>
      <c r="T92" s="916" t="n">
        <v>0</v>
      </c>
      <c r="U92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93">
      <c r="A93" s="217" t="inlineStr">
        <is>
          <t>CASTEL MADAMA (RM)</t>
        </is>
      </c>
      <c r="B93" s="210" t="inlineStr">
        <is>
          <t>B</t>
        </is>
      </c>
      <c r="C93" s="211" t="n">
        <v>75</v>
      </c>
      <c r="D93" s="211">
        <f>+MAXA(_xlfn.CEILING.MATH(C93/60)+2,1)</f>
        <v/>
      </c>
      <c r="E93" s="915" t="n">
        <v>5</v>
      </c>
      <c r="F93" s="915" t="n"/>
      <c r="G93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93" s="294" t="inlineStr">
        <is>
          <t>CASTEL MADAMA (RM)</t>
        </is>
      </c>
      <c r="I93" s="210" t="inlineStr">
        <is>
          <t>B</t>
        </is>
      </c>
      <c r="J93" s="211" t="n">
        <v>620</v>
      </c>
      <c r="K93" s="211">
        <f>+MAXA(_xlfn.CEILING.MATH(J93/60)+2,1)</f>
        <v/>
      </c>
      <c r="L93" s="917" t="n">
        <v>52</v>
      </c>
      <c r="M93" s="917" t="n"/>
      <c r="N93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93" s="294" t="inlineStr">
        <is>
          <t>CASTEL MADAMA (RM)</t>
        </is>
      </c>
      <c r="P93" s="210" t="inlineStr">
        <is>
          <t>C</t>
        </is>
      </c>
      <c r="Q93" s="211" t="n">
        <v>180</v>
      </c>
      <c r="R93" s="211">
        <f>+MAXA(_xlfn.CEILING.MATH(Q93/60)+2,1)</f>
        <v/>
      </c>
      <c r="S93" s="917" t="n">
        <v>16</v>
      </c>
      <c r="T93" s="917" t="n">
        <v>0</v>
      </c>
      <c r="U93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94">
      <c r="A94" s="217" t="inlineStr">
        <is>
          <t>CASTEL S. PIETRO TERME (BO)</t>
        </is>
      </c>
      <c r="B94" s="210" t="inlineStr">
        <is>
          <t>A</t>
        </is>
      </c>
      <c r="C94" s="211" t="n">
        <v>444</v>
      </c>
      <c r="D94" s="211">
        <f>+MAXA(_xlfn.CEILING.MATH(C94/60)+2,1)</f>
        <v/>
      </c>
      <c r="E94" s="915" t="n">
        <v>75.90000000000001</v>
      </c>
      <c r="F94" s="915" t="n">
        <v>0</v>
      </c>
      <c r="G94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94" s="294" t="inlineStr">
        <is>
          <t>CASTEL S. PIETRO TERME (BO)</t>
        </is>
      </c>
      <c r="I94" s="210" t="inlineStr">
        <is>
          <t>A</t>
        </is>
      </c>
      <c r="J94" s="211" t="n">
        <v>266</v>
      </c>
      <c r="K94" s="211">
        <f>+MAXA(_xlfn.CEILING.MATH(J94/60)+2,1)</f>
        <v/>
      </c>
      <c r="L94" s="915" t="n">
        <v>49</v>
      </c>
      <c r="M94" s="917" t="n">
        <v>0</v>
      </c>
      <c r="N94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94" s="294" t="inlineStr">
        <is>
          <t>CASTEL S. PIETRO TERME (BO)</t>
        </is>
      </c>
      <c r="P94" s="210" t="inlineStr">
        <is>
          <t>D</t>
        </is>
      </c>
      <c r="Q94" s="211" t="n">
        <v>335</v>
      </c>
      <c r="R94" s="211">
        <f>+MAXA(_xlfn.CEILING.MATH(Q94/60)+2,1)</f>
        <v/>
      </c>
      <c r="S94" s="917" t="n">
        <v>61</v>
      </c>
      <c r="T94" s="916" t="n">
        <v>0</v>
      </c>
      <c r="U94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95">
      <c r="A95" s="217" t="inlineStr">
        <is>
          <t>CASTEL SAN GIOVANNI (PC)</t>
        </is>
      </c>
      <c r="B95" s="210" t="inlineStr">
        <is>
          <t>A</t>
        </is>
      </c>
      <c r="C95" s="211" t="n">
        <v>572</v>
      </c>
      <c r="D95" s="211">
        <f>+MAXA(_xlfn.CEILING.MATH(C95/60)+2,1)</f>
        <v/>
      </c>
      <c r="E95" s="915" t="n">
        <v>41</v>
      </c>
      <c r="F95" s="915" t="n">
        <v>0</v>
      </c>
      <c r="G95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95" s="294" t="inlineStr">
        <is>
          <t>CASTEL SAN GIOVANNI (PC)</t>
        </is>
      </c>
      <c r="I95" s="210" t="inlineStr">
        <is>
          <t>A</t>
        </is>
      </c>
      <c r="J95" s="211" t="n">
        <v>85</v>
      </c>
      <c r="K95" s="211">
        <f>+MAXA(_xlfn.CEILING.MATH(J95/60)+2,1)</f>
        <v/>
      </c>
      <c r="L95" s="917" t="n">
        <v>8</v>
      </c>
      <c r="M95" s="917" t="n">
        <v>0</v>
      </c>
      <c r="N95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95" s="294" t="inlineStr">
        <is>
          <t>CASTEL SAN GIOVANNI (PC)</t>
        </is>
      </c>
      <c r="P95" s="210" t="inlineStr">
        <is>
          <t>D</t>
        </is>
      </c>
      <c r="Q95" s="211" t="n">
        <v>530</v>
      </c>
      <c r="R95" s="211">
        <f>+MAXA(_xlfn.CEILING.MATH(Q95/60)+2,1)</f>
        <v/>
      </c>
      <c r="S95" s="917" t="n">
        <v>41</v>
      </c>
      <c r="T95" s="917" t="n">
        <v>0</v>
      </c>
      <c r="U95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96">
      <c r="A96" s="217" t="inlineStr">
        <is>
          <t>CASTELFIORENTINO (FI)</t>
        </is>
      </c>
      <c r="B96" s="210" t="inlineStr">
        <is>
          <t>B</t>
        </is>
      </c>
      <c r="C96" s="211" t="n">
        <v>325</v>
      </c>
      <c r="D96" s="211">
        <f>+MAXA(_xlfn.CEILING.MATH(C96/60)+2,1)</f>
        <v/>
      </c>
      <c r="E96" s="915" t="n">
        <v>13</v>
      </c>
      <c r="F96" s="915" t="n">
        <v>0</v>
      </c>
      <c r="G96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96" s="294" t="inlineStr">
        <is>
          <t>CASTELFIORENTINO (FI)</t>
        </is>
      </c>
      <c r="I96" s="210" t="inlineStr">
        <is>
          <t>B</t>
        </is>
      </c>
      <c r="J96" s="211" t="n">
        <v>355</v>
      </c>
      <c r="K96" s="211">
        <f>+MAXA(_xlfn.CEILING.MATH(J96/60)+2,1)</f>
        <v/>
      </c>
      <c r="L96" s="917" t="n">
        <v>30</v>
      </c>
      <c r="M96" s="917" t="n">
        <v>0</v>
      </c>
      <c r="N96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96" s="294" t="inlineStr">
        <is>
          <t>CASTELFIORENTINO (FI)</t>
        </is>
      </c>
      <c r="P96" s="210" t="inlineStr">
        <is>
          <t>E</t>
        </is>
      </c>
      <c r="Q96" s="211" t="n">
        <v>395</v>
      </c>
      <c r="R96" s="211">
        <f>+MAXA(_xlfn.CEILING.MATH(Q96/60)+2,1)</f>
        <v/>
      </c>
      <c r="S96" s="917" t="n">
        <v>8</v>
      </c>
      <c r="T96" s="916" t="n">
        <v>0</v>
      </c>
      <c r="U96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97">
      <c r="A97" s="217" t="inlineStr">
        <is>
          <t>CASTELLINA IN CHIANTI (SI)</t>
        </is>
      </c>
      <c r="B97" s="210" t="inlineStr">
        <is>
          <t>B</t>
        </is>
      </c>
      <c r="C97" s="211" t="n">
        <v>290</v>
      </c>
      <c r="D97" s="211">
        <f>+MAXA(_xlfn.CEILING.MATH(C97/60)+2,1)</f>
        <v/>
      </c>
      <c r="E97" s="915" t="n">
        <v>14</v>
      </c>
      <c r="F97" s="915" t="n">
        <v>0</v>
      </c>
      <c r="G97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97" s="294" t="inlineStr">
        <is>
          <t>CASTELLINA IN CHIANTI (SI)</t>
        </is>
      </c>
      <c r="I97" s="210" t="inlineStr">
        <is>
          <t>B</t>
        </is>
      </c>
      <c r="J97" s="211" t="n">
        <v>380</v>
      </c>
      <c r="K97" s="211">
        <f>+MAXA(_xlfn.CEILING.MATH(J97/60)+2,1)</f>
        <v/>
      </c>
      <c r="L97" s="917" t="n">
        <v>32</v>
      </c>
      <c r="M97" s="917" t="n">
        <v>0</v>
      </c>
      <c r="N97" s="917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97" s="294" t="inlineStr">
        <is>
          <t>CASTELLINA IN CHIANTI (SI)</t>
        </is>
      </c>
      <c r="P97" s="210" t="inlineStr">
        <is>
          <t>E</t>
        </is>
      </c>
      <c r="Q97" s="211" t="n">
        <v>365</v>
      </c>
      <c r="R97" s="211">
        <f>+MAXA(_xlfn.CEILING.MATH(Q97/60)+2,1)</f>
        <v/>
      </c>
      <c r="S97" s="917" t="n">
        <v>8</v>
      </c>
      <c r="T97" s="917" t="n">
        <v>0</v>
      </c>
      <c r="U97" s="917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98">
      <c r="A98" s="217" t="inlineStr">
        <is>
          <t>CASTELNUOVO BERARDENGA (SI)</t>
        </is>
      </c>
      <c r="B98" s="210" t="inlineStr">
        <is>
          <t>B</t>
        </is>
      </c>
      <c r="C98" s="211" t="n">
        <v>260</v>
      </c>
      <c r="D98" s="211">
        <f>+MAXA(_xlfn.CEILING.MATH(C98/60)+2,1)</f>
        <v/>
      </c>
      <c r="E98" s="915" t="n">
        <v>14</v>
      </c>
      <c r="F98" s="915" t="n">
        <v>0</v>
      </c>
      <c r="G98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98" s="294" t="inlineStr">
        <is>
          <t>CASTELNUOVO BERARDENGA (SI)</t>
        </is>
      </c>
      <c r="I98" s="210" t="inlineStr">
        <is>
          <t>B</t>
        </is>
      </c>
      <c r="J98" s="211" t="n">
        <v>410</v>
      </c>
      <c r="K98" s="211">
        <f>+MAXA(_xlfn.CEILING.MATH(J98/60)+2,1)</f>
        <v/>
      </c>
      <c r="L98" s="917" t="n">
        <v>32</v>
      </c>
      <c r="M98" s="917" t="n">
        <v>0</v>
      </c>
      <c r="N98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98" s="294" t="inlineStr">
        <is>
          <t>CASTELNUOVO BERARDENGA (SI)</t>
        </is>
      </c>
      <c r="P98" s="210" t="inlineStr">
        <is>
          <t>E</t>
        </is>
      </c>
      <c r="Q98" s="211" t="n">
        <v>330</v>
      </c>
      <c r="R98" s="211">
        <f>+MAXA(_xlfn.CEILING.MATH(Q98/60)+2,1)</f>
        <v/>
      </c>
      <c r="S98" s="917" t="n">
        <v>8</v>
      </c>
      <c r="T98" s="916" t="n">
        <v>0</v>
      </c>
      <c r="U98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99">
      <c r="A99" s="217" t="inlineStr">
        <is>
          <t>CASTELVETRANO (TP)</t>
        </is>
      </c>
      <c r="B99" s="210" t="inlineStr">
        <is>
          <t>E</t>
        </is>
      </c>
      <c r="C99" s="211" t="n">
        <v>1043</v>
      </c>
      <c r="D99" s="211">
        <f>+MAXA(_xlfn.CEILING.MATH(C99/60)+2,1)</f>
        <v/>
      </c>
      <c r="E99" s="915" t="n">
        <v>30</v>
      </c>
      <c r="F99" s="915" t="n">
        <v>170</v>
      </c>
      <c r="G99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99" s="294" t="inlineStr">
        <is>
          <t>CASTELVETRANO (TP)</t>
        </is>
      </c>
      <c r="I99" s="210" t="inlineStr">
        <is>
          <t>E</t>
        </is>
      </c>
      <c r="J99" s="211" t="n">
        <v>1599</v>
      </c>
      <c r="K99" s="211">
        <f>+MAXA(_xlfn.CEILING.MATH(J99/60)+2,1)</f>
        <v/>
      </c>
      <c r="L99" s="917" t="n">
        <v>81</v>
      </c>
      <c r="M99" s="917" t="n">
        <v>170</v>
      </c>
      <c r="N99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99" s="294" t="inlineStr">
        <is>
          <t>CASTELVETRANO (TP)</t>
        </is>
      </c>
      <c r="P99" s="210" t="inlineStr">
        <is>
          <t>F</t>
        </is>
      </c>
      <c r="Q99" s="211" t="n">
        <v>1036</v>
      </c>
      <c r="R99" s="211">
        <f>+MAXA(_xlfn.CEILING.MATH(Q99/60)+2,1)</f>
        <v/>
      </c>
      <c r="S99" s="917" t="n">
        <v>25</v>
      </c>
      <c r="T99" s="917" t="n">
        <v>170</v>
      </c>
      <c r="U99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00">
      <c r="A100" s="217" t="inlineStr">
        <is>
          <t>CASTIGLIONE DEL LAGO (PG)</t>
        </is>
      </c>
      <c r="B100" s="210" t="inlineStr">
        <is>
          <t>B</t>
        </is>
      </c>
      <c r="C100" s="211" t="n">
        <v>230</v>
      </c>
      <c r="D100" s="211">
        <f>+MAXA(_xlfn.CEILING.MATH(C100/60)+2,1)</f>
        <v/>
      </c>
      <c r="E100" s="915" t="n">
        <v>15</v>
      </c>
      <c r="F100" s="915" t="n">
        <v>0</v>
      </c>
      <c r="G100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00" s="294" t="inlineStr">
        <is>
          <t>CASTIGLIONE DEL LAGO (PG)</t>
        </is>
      </c>
      <c r="I100" s="210" t="inlineStr">
        <is>
          <t>B</t>
        </is>
      </c>
      <c r="J100" s="211" t="n">
        <v>450</v>
      </c>
      <c r="K100" s="211">
        <f>+MAXA(_xlfn.CEILING.MATH(J100/60)+2,1)</f>
        <v/>
      </c>
      <c r="L100" s="917" t="n">
        <v>40</v>
      </c>
      <c r="M100" s="917" t="n">
        <v>0</v>
      </c>
      <c r="N100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00" s="294" t="inlineStr">
        <is>
          <t>CASTIGLIONE DEL LAGO (PG)</t>
        </is>
      </c>
      <c r="P100" s="210" t="inlineStr">
        <is>
          <t>E</t>
        </is>
      </c>
      <c r="Q100" s="211" t="n">
        <v>330</v>
      </c>
      <c r="R100" s="211">
        <f>+MAXA(_xlfn.CEILING.MATH(Q100/60)+2,1)</f>
        <v/>
      </c>
      <c r="S100" s="917" t="n">
        <v>8</v>
      </c>
      <c r="T100" s="917" t="n">
        <v>0</v>
      </c>
      <c r="U100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01">
      <c r="A101" s="217" t="inlineStr">
        <is>
          <t>CATANIA (CT)</t>
        </is>
      </c>
      <c r="B101" s="210" t="inlineStr">
        <is>
          <t>E</t>
        </is>
      </c>
      <c r="C101" s="211" t="n">
        <v>820</v>
      </c>
      <c r="D101" s="211">
        <f>+MAXA(_xlfn.CEILING.MATH(C101/60)+2,1)</f>
        <v/>
      </c>
      <c r="E101" s="915" t="n">
        <v>25</v>
      </c>
      <c r="F101" s="915" t="n">
        <v>170</v>
      </c>
      <c r="G101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01" s="217" t="inlineStr">
        <is>
          <t>CATANIA (CT)</t>
        </is>
      </c>
      <c r="I101" s="210" t="inlineStr">
        <is>
          <t>E</t>
        </is>
      </c>
      <c r="J101" s="211" t="n">
        <v>1370</v>
      </c>
      <c r="K101" s="211">
        <f>+MAXA(_xlfn.CEILING.MATH(J101/60)+2,1)</f>
        <v/>
      </c>
      <c r="L101" s="916" t="n">
        <v>75</v>
      </c>
      <c r="M101" s="917" t="n">
        <v>170</v>
      </c>
      <c r="N101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01" s="217" t="inlineStr">
        <is>
          <t>CATANIA (CT)</t>
        </is>
      </c>
      <c r="P101" s="210" t="inlineStr">
        <is>
          <t>G</t>
        </is>
      </c>
      <c r="Q101" s="211" t="n">
        <v>805</v>
      </c>
      <c r="R101" s="211">
        <f>+MAXA(_xlfn.CEILING.MATH(Q101/60)+2,1)</f>
        <v/>
      </c>
      <c r="S101" s="916" t="n">
        <v>18</v>
      </c>
      <c r="T101" s="916" t="n">
        <v>170</v>
      </c>
      <c r="U101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02">
      <c r="A102" s="217" t="inlineStr">
        <is>
          <t>CERMENATE (CO)</t>
        </is>
      </c>
      <c r="B102" s="210" t="inlineStr">
        <is>
          <t>A</t>
        </is>
      </c>
      <c r="C102" s="211" t="n">
        <v>650</v>
      </c>
      <c r="D102" s="211">
        <f>+MAXA(_xlfn.CEILING.MATH(C102/60)+2,1)</f>
        <v/>
      </c>
      <c r="E102" s="915" t="n">
        <v>50</v>
      </c>
      <c r="F102" s="915" t="n"/>
      <c r="G102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02" s="294" t="inlineStr">
        <is>
          <t>CERMENATE (CO)</t>
        </is>
      </c>
      <c r="I102" s="210" t="inlineStr">
        <is>
          <t>A</t>
        </is>
      </c>
      <c r="J102" s="211" t="n">
        <v>50</v>
      </c>
      <c r="K102" s="211">
        <f>+MAXA(_xlfn.CEILING.MATH(J102/60)+2,1)</f>
        <v/>
      </c>
      <c r="L102" s="917" t="n">
        <v>4</v>
      </c>
      <c r="M102" s="917" t="n"/>
      <c r="N102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02" s="294" t="inlineStr">
        <is>
          <t>CERMENATE (CO)</t>
        </is>
      </c>
      <c r="P102" s="210" t="inlineStr">
        <is>
          <t>E</t>
        </is>
      </c>
      <c r="Q102" s="211" t="n">
        <v>600</v>
      </c>
      <c r="R102" s="211">
        <f>+MAXA(_xlfn.CEILING.MATH(Q102/60)+2,1)</f>
        <v/>
      </c>
      <c r="S102" s="917" t="n">
        <v>46</v>
      </c>
      <c r="T102" s="917" t="n">
        <v>0</v>
      </c>
      <c r="U102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03">
      <c r="A103" s="217" t="inlineStr">
        <is>
          <t>CESENA (FC)</t>
        </is>
      </c>
      <c r="B103" s="210" t="inlineStr">
        <is>
          <t>C</t>
        </is>
      </c>
      <c r="C103" s="211" t="n">
        <v>360</v>
      </c>
      <c r="D103" s="211">
        <f>+MAXA(_xlfn.CEILING.MATH(C103/60)+2,1)</f>
        <v/>
      </c>
      <c r="E103" s="915" t="n">
        <v>5</v>
      </c>
      <c r="F103" s="915" t="n">
        <v>0</v>
      </c>
      <c r="G103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03" s="294" t="inlineStr">
        <is>
          <t>CESENA (FC)</t>
        </is>
      </c>
      <c r="I103" s="210" t="inlineStr">
        <is>
          <t>C</t>
        </is>
      </c>
      <c r="J103" s="211" t="n">
        <v>330</v>
      </c>
      <c r="K103" s="211">
        <f>+MAXA(_xlfn.CEILING.MATH(J103/60)+2,1)</f>
        <v/>
      </c>
      <c r="L103" s="917" t="n">
        <v>30</v>
      </c>
      <c r="M103" s="917" t="n">
        <v>0</v>
      </c>
      <c r="N103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03" s="294" t="inlineStr">
        <is>
          <t>CESENA (FC)</t>
        </is>
      </c>
      <c r="P103" s="210" t="inlineStr">
        <is>
          <t>D</t>
        </is>
      </c>
      <c r="Q103" s="211" t="n">
        <v>280</v>
      </c>
      <c r="R103" s="211">
        <f>+MAXA(_xlfn.CEILING.MATH(Q103/60)+2,1)</f>
        <v/>
      </c>
      <c r="S103" s="917" t="n">
        <v>21</v>
      </c>
      <c r="T103" s="917" t="n">
        <v>0</v>
      </c>
      <c r="U103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04">
      <c r="A104" s="217" t="inlineStr">
        <is>
          <t>CHIRAVALLE (AN)</t>
        </is>
      </c>
      <c r="B104" s="210" t="inlineStr">
        <is>
          <t>C</t>
        </is>
      </c>
      <c r="C104" s="211" t="n">
        <v>320</v>
      </c>
      <c r="D104" s="211">
        <f>+MAXA(_xlfn.CEILING.MATH(C104/60)+2,1)</f>
        <v/>
      </c>
      <c r="E104" s="915" t="n">
        <v>5</v>
      </c>
      <c r="F104" s="915" t="n">
        <v>0</v>
      </c>
      <c r="G104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04" s="294" t="inlineStr">
        <is>
          <t>CHIRAVALLE (AN)</t>
        </is>
      </c>
      <c r="I104" s="210" t="inlineStr">
        <is>
          <t>C</t>
        </is>
      </c>
      <c r="J104" s="211" t="n">
        <v>440</v>
      </c>
      <c r="K104" s="211">
        <f>+MAXA(_xlfn.CEILING.MATH(J104/60)+2,1)</f>
        <v/>
      </c>
      <c r="L104" s="917" t="n">
        <v>38</v>
      </c>
      <c r="M104" s="917" t="n">
        <v>0</v>
      </c>
      <c r="N104" s="917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04" s="294" t="inlineStr">
        <is>
          <t>CHIRAVALLE (AN)</t>
        </is>
      </c>
      <c r="P104" s="210" t="inlineStr">
        <is>
          <t>C</t>
        </is>
      </c>
      <c r="Q104" s="211" t="n">
        <v>160</v>
      </c>
      <c r="R104" s="211">
        <f>+MAXA(_xlfn.CEILING.MATH(Q104/60)+2,1)</f>
        <v/>
      </c>
      <c r="S104" s="917" t="n">
        <v>12</v>
      </c>
      <c r="T104" s="917" t="n">
        <v>0</v>
      </c>
      <c r="U104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05">
      <c r="A105" s="217" t="inlineStr">
        <is>
          <t>CISTERNA DI LATINA (LT)</t>
        </is>
      </c>
      <c r="B105" s="210" t="inlineStr">
        <is>
          <t>A</t>
        </is>
      </c>
      <c r="C105" s="211" t="n">
        <v>40</v>
      </c>
      <c r="D105" s="211">
        <f>+MAXA(_xlfn.CEILING.MATH(C105/60)+2,1)</f>
        <v/>
      </c>
      <c r="E105" s="915" t="n">
        <v>0</v>
      </c>
      <c r="F105" s="915" t="n">
        <v>0</v>
      </c>
      <c r="G105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05" s="294" t="inlineStr">
        <is>
          <t>CISTERNA DI LATINA (LT)</t>
        </is>
      </c>
      <c r="I105" s="210" t="inlineStr">
        <is>
          <t>A</t>
        </is>
      </c>
      <c r="J105" s="211" t="n">
        <v>650</v>
      </c>
      <c r="K105" s="211">
        <f>+MAXA(_xlfn.CEILING.MATH(J105/60)+2,1)</f>
        <v/>
      </c>
      <c r="L105" s="916" t="n">
        <v>50</v>
      </c>
      <c r="M105" s="917" t="n">
        <v>0</v>
      </c>
      <c r="N105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05" s="294" t="inlineStr">
        <is>
          <t>CISTERNA DI LATINA (LT)</t>
        </is>
      </c>
      <c r="P105" s="210" t="inlineStr">
        <is>
          <t>C</t>
        </is>
      </c>
      <c r="Q105" s="211" t="n">
        <v>250</v>
      </c>
      <c r="R105" s="211">
        <f>+MAXA(_xlfn.CEILING.MATH(Q105/60)+2,1)</f>
        <v/>
      </c>
      <c r="S105" s="916" t="n">
        <v>22</v>
      </c>
      <c r="T105" s="916" t="n">
        <v>0</v>
      </c>
      <c r="U105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06">
      <c r="A106" s="217" t="inlineStr">
        <is>
          <t>CIVITA CASTELLANA (VT)</t>
        </is>
      </c>
      <c r="B106" s="210" t="inlineStr">
        <is>
          <t>B</t>
        </is>
      </c>
      <c r="C106" s="211" t="n">
        <v>90</v>
      </c>
      <c r="D106" s="211">
        <f>+MAXA(_xlfn.CEILING.MATH(C106/60)+2,1)</f>
        <v/>
      </c>
      <c r="E106" s="915" t="n">
        <v>0</v>
      </c>
      <c r="F106" s="915" t="n">
        <v>0</v>
      </c>
      <c r="G106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06" s="294" t="inlineStr">
        <is>
          <t>CIVITA CASTELLANA (VT)</t>
        </is>
      </c>
      <c r="I106" s="210" t="inlineStr">
        <is>
          <t>B</t>
        </is>
      </c>
      <c r="J106" s="211" t="n">
        <v>550</v>
      </c>
      <c r="K106" s="211">
        <f>+MAXA(_xlfn.CEILING.MATH(J106/60)+2,1)</f>
        <v/>
      </c>
      <c r="L106" s="917" t="n">
        <v>48</v>
      </c>
      <c r="M106" s="917" t="n">
        <v>0</v>
      </c>
      <c r="N106" s="917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06" s="294" t="inlineStr">
        <is>
          <t>CIVITA CASTELLANA (VT)</t>
        </is>
      </c>
      <c r="P106" s="210" t="inlineStr">
        <is>
          <t>F</t>
        </is>
      </c>
      <c r="Q106" s="211" t="n">
        <v>270</v>
      </c>
      <c r="R106" s="211">
        <f>+MAXA(_xlfn.CEILING.MATH(Q106/60)+2,1)</f>
        <v/>
      </c>
      <c r="S106" s="917" t="n">
        <v>25</v>
      </c>
      <c r="T106" s="917" t="n">
        <v>0</v>
      </c>
      <c r="U106" s="917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07">
      <c r="A107" s="217" t="inlineStr">
        <is>
          <t>CIVITAVECCHIA (RM)</t>
        </is>
      </c>
      <c r="B107" s="210" t="inlineStr">
        <is>
          <t>B</t>
        </is>
      </c>
      <c r="C107" s="211" t="n">
        <v>90</v>
      </c>
      <c r="D107" s="211">
        <f>+MAXA(_xlfn.CEILING.MATH(C107/60)+2,1)</f>
        <v/>
      </c>
      <c r="E107" s="915" t="n">
        <v>4</v>
      </c>
      <c r="F107" s="915" t="n">
        <v>0</v>
      </c>
      <c r="G107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07" s="294" t="inlineStr">
        <is>
          <t>CIVITAVECCHIA (RM)</t>
        </is>
      </c>
      <c r="I107" s="210" t="inlineStr">
        <is>
          <t>B</t>
        </is>
      </c>
      <c r="J107" s="211" t="n">
        <v>565</v>
      </c>
      <c r="K107" s="211">
        <f>+MAXA(_xlfn.CEILING.MATH(J107/60)+2,1)</f>
        <v/>
      </c>
      <c r="L107" s="916" t="n">
        <v>45</v>
      </c>
      <c r="M107" s="917" t="n">
        <v>0</v>
      </c>
      <c r="N107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07" s="294" t="inlineStr">
        <is>
          <t>CIVITAVECCHIA (RM)</t>
        </is>
      </c>
      <c r="P107" s="210" t="inlineStr">
        <is>
          <t>C</t>
        </is>
      </c>
      <c r="Q107" s="211" t="n">
        <v>285</v>
      </c>
      <c r="R107" s="211">
        <f>+MAXA(_xlfn.CEILING.MATH(Q107/60)+2,1)</f>
        <v/>
      </c>
      <c r="S107" s="916" t="n">
        <v>22</v>
      </c>
      <c r="T107" s="916" t="n">
        <v>0</v>
      </c>
      <c r="U107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08">
      <c r="A108" s="217" t="inlineStr">
        <is>
          <t>CODOGNO (LO)</t>
        </is>
      </c>
      <c r="B108" s="210" t="inlineStr">
        <is>
          <t>A</t>
        </is>
      </c>
      <c r="C108" s="211" t="n">
        <v>640</v>
      </c>
      <c r="D108" s="211">
        <f>+MAXA(_xlfn.CEILING.MATH(C108/60)+2,1)</f>
        <v/>
      </c>
      <c r="E108" s="915" t="n">
        <v>50</v>
      </c>
      <c r="F108" s="915" t="n"/>
      <c r="G108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08" s="294" t="inlineStr">
        <is>
          <t>CODOGNO (LO)</t>
        </is>
      </c>
      <c r="I108" s="210" t="inlineStr">
        <is>
          <t>A</t>
        </is>
      </c>
      <c r="J108" s="211" t="n">
        <v>85</v>
      </c>
      <c r="K108" s="211">
        <f>+MAXA(_xlfn.CEILING.MATH(J108/60)+2,1)</f>
        <v/>
      </c>
      <c r="L108" s="917" t="n">
        <v>10</v>
      </c>
      <c r="M108" s="917" t="n"/>
      <c r="N108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08" s="294" t="inlineStr">
        <is>
          <t>CODOGNO (LO)</t>
        </is>
      </c>
      <c r="P108" s="210" t="inlineStr">
        <is>
          <t>D</t>
        </is>
      </c>
      <c r="Q108" s="211" t="n">
        <v>520</v>
      </c>
      <c r="R108" s="211">
        <f>+MAXA(_xlfn.CEILING.MATH(Q108/60)+2,1)</f>
        <v/>
      </c>
      <c r="S108" s="917" t="n">
        <v>39</v>
      </c>
      <c r="T108" s="917" t="n">
        <v>0</v>
      </c>
      <c r="U108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09">
      <c r="A109" s="217" t="inlineStr">
        <is>
          <t>COLLEFERRO (RM)</t>
        </is>
      </c>
      <c r="B109" s="210" t="inlineStr">
        <is>
          <t>B</t>
        </is>
      </c>
      <c r="C109" s="211" t="n">
        <v>75</v>
      </c>
      <c r="D109" s="211">
        <f>+MAXA(_xlfn.CEILING.MATH(C109/60)+2,1)</f>
        <v/>
      </c>
      <c r="E109" s="915" t="n">
        <v>3</v>
      </c>
      <c r="F109" s="915" t="n">
        <v>0</v>
      </c>
      <c r="G109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09" s="294" t="inlineStr">
        <is>
          <t>COLLEFERRO (RM)</t>
        </is>
      </c>
      <c r="I109" s="210" t="inlineStr">
        <is>
          <t>B</t>
        </is>
      </c>
      <c r="J109" s="211" t="n">
        <v>630</v>
      </c>
      <c r="K109" s="211">
        <f>+MAXA(_xlfn.CEILING.MATH(J109/60)+2,1)</f>
        <v/>
      </c>
      <c r="L109" s="916" t="n">
        <v>55</v>
      </c>
      <c r="M109" s="917" t="n">
        <v>0</v>
      </c>
      <c r="N109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09" s="294" t="inlineStr">
        <is>
          <t>COLLEFERRO (RM)</t>
        </is>
      </c>
      <c r="P109" s="210" t="inlineStr">
        <is>
          <t>C</t>
        </is>
      </c>
      <c r="Q109" s="211" t="n">
        <v>220</v>
      </c>
      <c r="R109" s="211">
        <f>+MAXA(_xlfn.CEILING.MATH(Q109/60)+2,1)</f>
        <v/>
      </c>
      <c r="S109" s="916" t="n">
        <v>20</v>
      </c>
      <c r="T109" s="916" t="n">
        <v>0</v>
      </c>
      <c r="U109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10">
      <c r="A110" s="217" t="inlineStr">
        <is>
          <t>COLONIA (D)</t>
        </is>
      </c>
      <c r="B110" s="210" t="inlineStr">
        <is>
          <t>F</t>
        </is>
      </c>
      <c r="C110" s="211" t="n">
        <v>1440</v>
      </c>
      <c r="D110" s="211">
        <f>+MAXA(_xlfn.CEILING.MATH(C110/60)+2,1)</f>
        <v/>
      </c>
      <c r="E110" s="915" t="n">
        <v>96</v>
      </c>
      <c r="F110" s="915" t="n">
        <v>0</v>
      </c>
      <c r="G110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10" s="294" t="inlineStr">
        <is>
          <t>COLONIA (D)</t>
        </is>
      </c>
      <c r="I110" s="210" t="inlineStr">
        <is>
          <t>F</t>
        </is>
      </c>
      <c r="J110" s="211" t="n">
        <v>852</v>
      </c>
      <c r="K110" s="211">
        <f>+MAXA(_xlfn.CEILING.MATH(J110/60)+2,1)</f>
        <v/>
      </c>
      <c r="L110" s="917" t="n">
        <v>92</v>
      </c>
      <c r="M110" s="917" t="n">
        <v>0</v>
      </c>
      <c r="N110" s="917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10" s="294" t="inlineStr">
        <is>
          <t>COLONIA (D)</t>
        </is>
      </c>
      <c r="P110" s="210" t="inlineStr">
        <is>
          <t>G</t>
        </is>
      </c>
      <c r="Q110" s="211" t="n">
        <v>1394</v>
      </c>
      <c r="R110" s="211">
        <f>+MAXA(_xlfn.CEILING.MATH(Q110/60)+2,1)</f>
        <v/>
      </c>
      <c r="S110" s="917" t="n">
        <v>95</v>
      </c>
      <c r="T110" s="917" t="n">
        <v>0</v>
      </c>
      <c r="U110" s="917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11">
      <c r="A111" s="217" t="inlineStr">
        <is>
          <t>COMO (CO)</t>
        </is>
      </c>
      <c r="B111" s="210" t="inlineStr">
        <is>
          <t>A</t>
        </is>
      </c>
      <c r="C111" s="211" t="n">
        <v>670</v>
      </c>
      <c r="D111" s="211">
        <f>+MAXA(_xlfn.CEILING.MATH(C111/60)+2,1)</f>
        <v/>
      </c>
      <c r="E111" s="915" t="n">
        <v>50</v>
      </c>
      <c r="F111" s="915" t="n"/>
      <c r="G111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11" s="217" t="inlineStr">
        <is>
          <t>COMO (CO)</t>
        </is>
      </c>
      <c r="I111" s="210" t="inlineStr">
        <is>
          <t>A</t>
        </is>
      </c>
      <c r="J111" s="211" t="n">
        <v>50</v>
      </c>
      <c r="K111" s="211">
        <f>+MAXA(_xlfn.CEILING.MATH(J111/60)+2,1)</f>
        <v/>
      </c>
      <c r="L111" s="917" t="n">
        <v>0</v>
      </c>
      <c r="M111" s="917" t="n"/>
      <c r="N111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11" s="217" t="inlineStr">
        <is>
          <t>COMO (CO)</t>
        </is>
      </c>
      <c r="P111" s="210" t="inlineStr">
        <is>
          <t>E</t>
        </is>
      </c>
      <c r="Q111" s="211" t="n">
        <v>620</v>
      </c>
      <c r="R111" s="211">
        <f>+MAXA(_xlfn.CEILING.MATH(Q111/60)+2,1)</f>
        <v/>
      </c>
      <c r="S111" s="917" t="n">
        <v>49</v>
      </c>
      <c r="T111" s="917" t="n">
        <v>0</v>
      </c>
      <c r="U111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12">
      <c r="A112" s="217" t="inlineStr">
        <is>
          <t>CONDI PLUS (F)</t>
        </is>
      </c>
      <c r="B112" s="210" t="inlineStr">
        <is>
          <t>F</t>
        </is>
      </c>
      <c r="C112" s="211" t="n">
        <v>1460</v>
      </c>
      <c r="D112" s="211">
        <f>+MAXA(_xlfn.CEILING.MATH(C112/60)+2,1)</f>
        <v/>
      </c>
      <c r="E112" s="915" t="n">
        <v>70</v>
      </c>
      <c r="F112" s="915" t="n">
        <v>0</v>
      </c>
      <c r="G112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12" s="294" t="inlineStr">
        <is>
          <t>CONDI PLUS (F)</t>
        </is>
      </c>
      <c r="I112" s="210" t="inlineStr">
        <is>
          <t>F</t>
        </is>
      </c>
      <c r="J112" s="211" t="n">
        <v>873</v>
      </c>
      <c r="K112" s="211">
        <f>+MAXA(_xlfn.CEILING.MATH(J112/60)+2,1)</f>
        <v/>
      </c>
      <c r="L112" s="917" t="n">
        <v>26</v>
      </c>
      <c r="M112" s="917" t="n">
        <v>0</v>
      </c>
      <c r="N112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12" s="294" t="inlineStr">
        <is>
          <t>CONDI PLUS (F)</t>
        </is>
      </c>
      <c r="P112" s="210" t="inlineStr">
        <is>
          <t>G</t>
        </is>
      </c>
      <c r="Q112" s="211" t="n">
        <v>1560</v>
      </c>
      <c r="R112" s="211">
        <f>+MAXA(_xlfn.CEILING.MATH(Q112/60)+2,1)</f>
        <v/>
      </c>
      <c r="S112" s="917" t="n">
        <v>200</v>
      </c>
      <c r="T112" s="917" t="n">
        <v>0</v>
      </c>
      <c r="U112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13">
      <c r="A113" s="294" t="inlineStr">
        <is>
          <t>COPENAGHEN (DK)</t>
        </is>
      </c>
      <c r="B113" s="210" t="inlineStr">
        <is>
          <t>E</t>
        </is>
      </c>
      <c r="C113" s="211" t="n">
        <v>2035</v>
      </c>
      <c r="D113" s="211">
        <f>+MAXA(_xlfn.CEILING.MATH(C113/60)+2,1)</f>
        <v/>
      </c>
      <c r="E113" s="915" t="n">
        <v>60</v>
      </c>
      <c r="F113" s="915" t="n">
        <v>260</v>
      </c>
      <c r="G113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13" s="294" t="inlineStr">
        <is>
          <t>COPENAGHEN (DK)</t>
        </is>
      </c>
      <c r="I113" s="210" t="inlineStr">
        <is>
          <t>E</t>
        </is>
      </c>
      <c r="J113" s="211" t="n">
        <v>1417</v>
      </c>
      <c r="K113" s="211">
        <f>+MAXA(_xlfn.CEILING.MATH(J113/60)+2,1)</f>
        <v/>
      </c>
      <c r="L113" s="917" t="n">
        <v>0</v>
      </c>
      <c r="M113" s="917" t="n">
        <v>260</v>
      </c>
      <c r="N113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13" s="294" t="inlineStr">
        <is>
          <t>COPENAGHEN (DK)</t>
        </is>
      </c>
      <c r="P113" s="210" t="inlineStr">
        <is>
          <t>G</t>
        </is>
      </c>
      <c r="Q113" s="211" t="n">
        <v>2175</v>
      </c>
      <c r="R113" s="211">
        <f>+MAXA(_xlfn.CEILING.MATH(Q113/60)+2,1)</f>
        <v/>
      </c>
      <c r="S113" s="917" t="n">
        <v>69</v>
      </c>
      <c r="T113" s="917" t="n">
        <v>260</v>
      </c>
      <c r="U113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14">
      <c r="A114" s="217" t="inlineStr">
        <is>
          <t>CORI (LT)</t>
        </is>
      </c>
      <c r="B114" s="210" t="inlineStr">
        <is>
          <t>B</t>
        </is>
      </c>
      <c r="C114" s="211" t="n">
        <v>50</v>
      </c>
      <c r="D114" s="211">
        <f>+MAXA(_xlfn.CEILING.MATH(C114/60)+2,1)</f>
        <v/>
      </c>
      <c r="E114" s="915" t="n">
        <v>0</v>
      </c>
      <c r="F114" s="915" t="n">
        <v>0</v>
      </c>
      <c r="G114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14" s="294" t="inlineStr">
        <is>
          <t>CORI (LT)</t>
        </is>
      </c>
      <c r="I114" s="210" t="inlineStr">
        <is>
          <t>B</t>
        </is>
      </c>
      <c r="J114" s="211" t="n">
        <v>650</v>
      </c>
      <c r="K114" s="211">
        <f>+MAXA(_xlfn.CEILING.MATH(J114/60)+2,1)</f>
        <v/>
      </c>
      <c r="L114" s="916" t="n">
        <v>55</v>
      </c>
      <c r="M114" s="917" t="n">
        <v>0</v>
      </c>
      <c r="N114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14" s="294" t="inlineStr">
        <is>
          <t>CORI (LT)</t>
        </is>
      </c>
      <c r="P114" s="210" t="inlineStr">
        <is>
          <t>C</t>
        </is>
      </c>
      <c r="Q114" s="211" t="n">
        <v>250</v>
      </c>
      <c r="R114" s="211">
        <f>+MAXA(_xlfn.CEILING.MATH(Q114/60)+2,1)</f>
        <v/>
      </c>
      <c r="S114" s="916" t="n">
        <v>22</v>
      </c>
      <c r="T114" s="916" t="n">
        <v>0</v>
      </c>
      <c r="U114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15">
      <c r="A115" s="217" t="inlineStr">
        <is>
          <t>CORSICO (MI)</t>
        </is>
      </c>
      <c r="B115" s="210" t="inlineStr">
        <is>
          <t>A</t>
        </is>
      </c>
      <c r="C115" s="211" t="n">
        <v>620</v>
      </c>
      <c r="D115" s="211">
        <f>+MAXA(_xlfn.CEILING.MATH(C115/60)+2,1)</f>
        <v/>
      </c>
      <c r="E115" s="915" t="n">
        <v>45</v>
      </c>
      <c r="F115" s="915" t="n">
        <v>0</v>
      </c>
      <c r="G115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15" s="294" t="inlineStr">
        <is>
          <t>CORSICO (MI)</t>
        </is>
      </c>
      <c r="I115" s="210" t="inlineStr">
        <is>
          <t>A</t>
        </is>
      </c>
      <c r="J115" s="211" t="n">
        <v>55</v>
      </c>
      <c r="K115" s="211">
        <f>+MAXA(_xlfn.CEILING.MATH(J115/60)+2,1)</f>
        <v/>
      </c>
      <c r="L115" s="917" t="n">
        <v>2</v>
      </c>
      <c r="M115" s="917" t="n">
        <v>0</v>
      </c>
      <c r="N115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15" s="294" t="inlineStr">
        <is>
          <t>CORSICO (MI)</t>
        </is>
      </c>
      <c r="P115" s="210" t="inlineStr">
        <is>
          <t>D</t>
        </is>
      </c>
      <c r="Q115" s="211" t="n">
        <v>575</v>
      </c>
      <c r="R115" s="211">
        <f>+MAXA(_xlfn.CEILING.MATH(Q115/60)+2,1)</f>
        <v/>
      </c>
      <c r="S115" s="917" t="n">
        <v>44</v>
      </c>
      <c r="T115" s="917" t="n">
        <v>0</v>
      </c>
      <c r="U115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16">
      <c r="A116" s="217" t="inlineStr">
        <is>
          <t>CRAILSHEIM PLANT (D)</t>
        </is>
      </c>
      <c r="B116" s="210" t="inlineStr">
        <is>
          <t>F</t>
        </is>
      </c>
      <c r="C116" s="211" t="n">
        <v>1115</v>
      </c>
      <c r="D116" s="211">
        <f>+MAXA(_xlfn.CEILING.MATH(C116/60)+2,1)</f>
        <v/>
      </c>
      <c r="E116" s="915" t="n">
        <v>70</v>
      </c>
      <c r="F116" s="915" t="n">
        <v>0</v>
      </c>
      <c r="G116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16" s="294" t="inlineStr">
        <is>
          <t>CRAILSHEIM PLANT (D)</t>
        </is>
      </c>
      <c r="I116" s="210" t="inlineStr">
        <is>
          <t>F</t>
        </is>
      </c>
      <c r="J116" s="211" t="n">
        <v>550</v>
      </c>
      <c r="K116" s="211">
        <f>+MAXA(_xlfn.CEILING.MATH(J116/60)+2,1)</f>
        <v/>
      </c>
      <c r="L116" s="917" t="n">
        <v>10</v>
      </c>
      <c r="M116" s="917" t="n">
        <v>0</v>
      </c>
      <c r="N116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16" s="294" t="inlineStr">
        <is>
          <t>CRAILSHEIM PLANT (D)</t>
        </is>
      </c>
      <c r="P116" s="210" t="inlineStr">
        <is>
          <t>G</t>
        </is>
      </c>
      <c r="Q116" s="211" t="n">
        <v>1100</v>
      </c>
      <c r="R116" s="211">
        <f>+MAXA(_xlfn.CEILING.MATH(Q116/60)+2,1)</f>
        <v/>
      </c>
      <c r="S116" s="917" t="n">
        <v>69</v>
      </c>
      <c r="T116" s="917" t="n">
        <v>0</v>
      </c>
      <c r="U116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17">
      <c r="A117" s="217" t="inlineStr">
        <is>
          <t>CRAWICK - DHL GLOBAL (F)</t>
        </is>
      </c>
      <c r="B117" s="210" t="inlineStr">
        <is>
          <t>F</t>
        </is>
      </c>
      <c r="C117" s="211" t="n">
        <v>1632</v>
      </c>
      <c r="D117" s="211">
        <f>+MAXA(_xlfn.CEILING.MATH(C117/60)+2,1)</f>
        <v/>
      </c>
      <c r="E117" s="915" t="n">
        <v>85</v>
      </c>
      <c r="F117" s="915" t="n">
        <v>0</v>
      </c>
      <c r="G117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17" s="294" t="inlineStr">
        <is>
          <t>CRAWICK - DHL GLOBAL (F)</t>
        </is>
      </c>
      <c r="I117" s="210" t="inlineStr">
        <is>
          <t>F</t>
        </is>
      </c>
      <c r="J117" s="211" t="n">
        <v>1045</v>
      </c>
      <c r="K117" s="211">
        <f>+MAXA(_xlfn.CEILING.MATH(J117/60)+2,1)</f>
        <v/>
      </c>
      <c r="L117" s="917" t="n">
        <v>40</v>
      </c>
      <c r="M117" s="917" t="n">
        <v>0</v>
      </c>
      <c r="N117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17" s="294" t="inlineStr">
        <is>
          <t>CRAWICK - DHL GLOBAL (F)</t>
        </is>
      </c>
      <c r="P117" s="210" t="inlineStr">
        <is>
          <t>G</t>
        </is>
      </c>
      <c r="Q117" s="211" t="n">
        <v>1590</v>
      </c>
      <c r="R117" s="211">
        <f>+MAXA(_xlfn.CEILING.MATH(Q117/60)+2,1)</f>
        <v/>
      </c>
      <c r="S117" s="917" t="n">
        <v>85</v>
      </c>
      <c r="T117" s="917" t="n">
        <v>0</v>
      </c>
      <c r="U117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18">
      <c r="A118" s="217" t="inlineStr">
        <is>
          <t>CREMA (CR)</t>
        </is>
      </c>
      <c r="B118" s="210" t="inlineStr">
        <is>
          <t>A</t>
        </is>
      </c>
      <c r="C118" s="211" t="n">
        <v>585</v>
      </c>
      <c r="D118" s="211">
        <f>+MAXA(_xlfn.CEILING.MATH(C118/60)+2,1)</f>
        <v/>
      </c>
      <c r="E118" s="915" t="n">
        <v>40</v>
      </c>
      <c r="F118" s="915" t="n"/>
      <c r="G118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18" s="294" t="inlineStr">
        <is>
          <t>CREMA (CR)</t>
        </is>
      </c>
      <c r="I118" s="210" t="inlineStr">
        <is>
          <t>A</t>
        </is>
      </c>
      <c r="J118" s="211" t="n">
        <v>56</v>
      </c>
      <c r="K118" s="211">
        <f>+MAXA(_xlfn.CEILING.MATH(J118/60)+2,1)</f>
        <v/>
      </c>
      <c r="L118" s="917" t="n">
        <v>5</v>
      </c>
      <c r="M118" s="917" t="n"/>
      <c r="N118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18" s="294" t="inlineStr">
        <is>
          <t>CREMA (CR)</t>
        </is>
      </c>
      <c r="P118" s="210" t="inlineStr">
        <is>
          <t>C</t>
        </is>
      </c>
      <c r="Q118" s="211" t="n">
        <v>540</v>
      </c>
      <c r="R118" s="211">
        <f>+MAXA(_xlfn.CEILING.MATH(Q118/60)+2,1)</f>
        <v/>
      </c>
      <c r="S118" s="917" t="n">
        <v>39</v>
      </c>
      <c r="T118" s="917" t="n">
        <v>0</v>
      </c>
      <c r="U118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19">
      <c r="A119" s="217" t="inlineStr">
        <is>
          <t>CREMONA (CR)</t>
        </is>
      </c>
      <c r="B119" s="210" t="inlineStr">
        <is>
          <t>A</t>
        </is>
      </c>
      <c r="C119" s="211" t="n">
        <v>565</v>
      </c>
      <c r="D119" s="211">
        <f>+MAXA(_xlfn.CEILING.MATH(C119/60)+2,1)</f>
        <v/>
      </c>
      <c r="E119" s="915" t="n">
        <v>41</v>
      </c>
      <c r="F119" s="915" t="n">
        <v>40</v>
      </c>
      <c r="G119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19" s="217" t="inlineStr">
        <is>
          <t>CREMONA (CR)</t>
        </is>
      </c>
      <c r="I119" s="210" t="inlineStr">
        <is>
          <t>A</t>
        </is>
      </c>
      <c r="J119" s="211" t="n">
        <v>100</v>
      </c>
      <c r="K119" s="211">
        <f>+MAXA(_xlfn.CEILING.MATH(J119/60)+2,1)</f>
        <v/>
      </c>
      <c r="L119" s="917" t="n">
        <v>5</v>
      </c>
      <c r="M119" s="917" t="n">
        <v>40</v>
      </c>
      <c r="N119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19" s="217" t="inlineStr">
        <is>
          <t>CREMONA (CR)</t>
        </is>
      </c>
      <c r="P119" s="210" t="inlineStr">
        <is>
          <t>C</t>
        </is>
      </c>
      <c r="Q119" s="211" t="n">
        <v>515</v>
      </c>
      <c r="R119" s="211">
        <f>+MAXA(_xlfn.CEILING.MATH(Q119/60)+2,1)</f>
        <v/>
      </c>
      <c r="S119" s="917" t="n">
        <v>40</v>
      </c>
      <c r="T119" s="917" t="n">
        <v>0</v>
      </c>
      <c r="U119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20">
      <c r="A120" s="217" t="inlineStr">
        <is>
          <t>CUNEO (CN)</t>
        </is>
      </c>
      <c r="B120" s="210" t="inlineStr">
        <is>
          <t>C</t>
        </is>
      </c>
      <c r="C120" s="211" t="n">
        <v>650</v>
      </c>
      <c r="D120" s="211">
        <f>+MAXA(_xlfn.CEILING.MATH(C120/60)+2,1)</f>
        <v/>
      </c>
      <c r="E120" s="915" t="n">
        <v>40</v>
      </c>
      <c r="F120" s="915" t="n">
        <v>0</v>
      </c>
      <c r="G120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20" s="217" t="inlineStr">
        <is>
          <t>CUNEO (CN)</t>
        </is>
      </c>
      <c r="I120" s="210" t="inlineStr">
        <is>
          <t>C</t>
        </is>
      </c>
      <c r="J120" s="211" t="n">
        <v>250</v>
      </c>
      <c r="K120" s="211">
        <f>+MAXA(_xlfn.CEILING.MATH(J120/60)+2,1)</f>
        <v/>
      </c>
      <c r="L120" s="917" t="n">
        <v>12</v>
      </c>
      <c r="M120" s="917" t="n">
        <v>0</v>
      </c>
      <c r="N120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20" s="217" t="inlineStr">
        <is>
          <t>CUNEO (CN)</t>
        </is>
      </c>
      <c r="P120" s="210" t="inlineStr">
        <is>
          <t>D</t>
        </is>
      </c>
      <c r="Q120" s="211" t="n">
        <v>720</v>
      </c>
      <c r="R120" s="211">
        <f>+MAXA(_xlfn.CEILING.MATH(Q120/60)+2,1)</f>
        <v/>
      </c>
      <c r="S120" s="917" t="n">
        <v>60</v>
      </c>
      <c r="T120" s="917" t="n">
        <v>0</v>
      </c>
      <c r="U120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21">
      <c r="A121" s="217" t="inlineStr">
        <is>
          <t>CURTAROLO (PD)</t>
        </is>
      </c>
      <c r="B121" s="210" t="inlineStr">
        <is>
          <t>B</t>
        </is>
      </c>
      <c r="C121" s="211" t="n">
        <v>543</v>
      </c>
      <c r="D121" s="211">
        <f>+MAXA(_xlfn.CEILING.MATH(C121/60)+2,1)</f>
        <v/>
      </c>
      <c r="E121" s="915" t="n">
        <v>37</v>
      </c>
      <c r="F121" s="915" t="n">
        <v>0</v>
      </c>
      <c r="G121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21" s="294" t="inlineStr">
        <is>
          <t>CURTAROLO (PD)</t>
        </is>
      </c>
      <c r="I121" s="210" t="inlineStr">
        <is>
          <t>B</t>
        </is>
      </c>
      <c r="J121" s="211" t="n">
        <v>220</v>
      </c>
      <c r="K121" s="211">
        <f>+MAXA(_xlfn.CEILING.MATH(J121/60)+2,1)</f>
        <v/>
      </c>
      <c r="L121" s="917" t="n">
        <v>41</v>
      </c>
      <c r="M121" s="917" t="n">
        <v>0</v>
      </c>
      <c r="N121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21" s="294" t="inlineStr">
        <is>
          <t>CURTAROLO (PD)</t>
        </is>
      </c>
      <c r="P121" s="210" t="inlineStr">
        <is>
          <t>E</t>
        </is>
      </c>
      <c r="Q121" s="211" t="n">
        <v>480</v>
      </c>
      <c r="R121" s="211">
        <f>+MAXA(_xlfn.CEILING.MATH(Q121/60)+2,1)</f>
        <v/>
      </c>
      <c r="S121" s="917" t="n">
        <v>35</v>
      </c>
      <c r="T121" s="917" t="n"/>
      <c r="U121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22">
      <c r="A122" s="217" t="inlineStr">
        <is>
          <t>DIETZENBACH (D)</t>
        </is>
      </c>
      <c r="B122" s="210" t="inlineStr">
        <is>
          <t>F</t>
        </is>
      </c>
      <c r="C122" s="211" t="n">
        <v>1265</v>
      </c>
      <c r="D122" s="211">
        <f>+MAXA(_xlfn.CEILING.MATH(C122/60)+2,1)</f>
        <v/>
      </c>
      <c r="E122" s="915" t="n">
        <v>52</v>
      </c>
      <c r="F122" s="915" t="n">
        <v>0</v>
      </c>
      <c r="G122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22" s="294" t="inlineStr">
        <is>
          <t>DIETZENBACH (D)</t>
        </is>
      </c>
      <c r="I122" s="210" t="inlineStr">
        <is>
          <t>F</t>
        </is>
      </c>
      <c r="J122" s="211" t="n">
        <v>678</v>
      </c>
      <c r="K122" s="211">
        <f>+MAXA(_xlfn.CEILING.MATH(J122/60)+2,1)</f>
        <v/>
      </c>
      <c r="L122" s="917" t="n">
        <v>7</v>
      </c>
      <c r="M122" s="917" t="n">
        <v>0</v>
      </c>
      <c r="N122" s="917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22" s="294" t="inlineStr">
        <is>
          <t>DIETZENBACH (D)</t>
        </is>
      </c>
      <c r="P122" s="210" t="inlineStr">
        <is>
          <t>G</t>
        </is>
      </c>
      <c r="Q122" s="211" t="n">
        <v>1220</v>
      </c>
      <c r="R122" s="211">
        <f>+MAXA(_xlfn.CEILING.MATH(Q122/60)+2,1)</f>
        <v/>
      </c>
      <c r="S122" s="917" t="n">
        <v>51</v>
      </c>
      <c r="T122" s="917" t="n">
        <v>0</v>
      </c>
      <c r="U122" s="917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23">
      <c r="A123" s="217" t="inlineStr">
        <is>
          <t>DUBLINO (IRL)</t>
        </is>
      </c>
      <c r="B123" s="210" t="inlineStr">
        <is>
          <t>F</t>
        </is>
      </c>
      <c r="C123" s="211" t="n">
        <v>2900</v>
      </c>
      <c r="D123" s="211">
        <f>+MAXA(_xlfn.CEILING.MATH(C123/60)+2,1)</f>
        <v/>
      </c>
      <c r="E123" s="915" t="n">
        <v>45</v>
      </c>
      <c r="F123" s="915" t="n">
        <v>500</v>
      </c>
      <c r="G123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23" s="294" t="inlineStr">
        <is>
          <t>DUBLINO (IRL)</t>
        </is>
      </c>
      <c r="I123" s="210" t="inlineStr">
        <is>
          <t>F</t>
        </is>
      </c>
      <c r="J123" s="211" t="n">
        <v>2250</v>
      </c>
      <c r="K123" s="211">
        <f>+MAXA(_xlfn.CEILING.MATH(J123/60)+2,1)</f>
        <v/>
      </c>
      <c r="L123" s="917" t="n">
        <v>15</v>
      </c>
      <c r="M123" s="917" t="n">
        <v>500</v>
      </c>
      <c r="N123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23" s="294" t="inlineStr">
        <is>
          <t>DUBLINO (IRL)</t>
        </is>
      </c>
      <c r="P123" s="210" t="inlineStr">
        <is>
          <t>G</t>
        </is>
      </c>
      <c r="Q123" s="211" t="n">
        <v>2335</v>
      </c>
      <c r="R123" s="211">
        <f>+MAXA(_xlfn.CEILING.MATH(Q123/60)+2,1)</f>
        <v/>
      </c>
      <c r="S123" s="917" t="n">
        <v>87</v>
      </c>
      <c r="T123" s="917" t="n">
        <v>500</v>
      </c>
      <c r="U123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24">
      <c r="A124" s="217" t="inlineStr">
        <is>
          <t>EMPOLI (FI)</t>
        </is>
      </c>
      <c r="B124" s="210" t="inlineStr">
        <is>
          <t>B</t>
        </is>
      </c>
      <c r="C124" s="211" t="n">
        <v>350</v>
      </c>
      <c r="D124" s="211">
        <f>+MAXA(_xlfn.CEILING.MATH(C124/60)+2,1)</f>
        <v/>
      </c>
      <c r="E124" s="915" t="n">
        <v>21</v>
      </c>
      <c r="F124" s="915" t="n">
        <v>0</v>
      </c>
      <c r="G124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24" s="294" t="inlineStr">
        <is>
          <t>EMPOLI (FI)</t>
        </is>
      </c>
      <c r="I124" s="210" t="inlineStr">
        <is>
          <t>B</t>
        </is>
      </c>
      <c r="J124" s="211" t="n">
        <v>345</v>
      </c>
      <c r="K124" s="211">
        <f>+MAXA(_xlfn.CEILING.MATH(J124/60)+2,1)</f>
        <v/>
      </c>
      <c r="L124" s="917" t="n">
        <v>30</v>
      </c>
      <c r="M124" s="917" t="n">
        <v>0</v>
      </c>
      <c r="N124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24" s="294" t="inlineStr">
        <is>
          <t>EMPOLI (FI)</t>
        </is>
      </c>
      <c r="P124" s="210" t="inlineStr">
        <is>
          <t>E</t>
        </is>
      </c>
      <c r="Q124" s="211" t="n">
        <v>420</v>
      </c>
      <c r="R124" s="211">
        <f>+MAXA(_xlfn.CEILING.MATH(Q124/60)+2,1)</f>
        <v/>
      </c>
      <c r="S124" s="917" t="n">
        <v>16</v>
      </c>
      <c r="T124" s="917" t="n">
        <v>0</v>
      </c>
      <c r="U124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25">
      <c r="A125" s="217" t="inlineStr">
        <is>
          <t>ESCALDES-ENGORDANY (AND)</t>
        </is>
      </c>
      <c r="B125" s="210" t="inlineStr">
        <is>
          <t>F</t>
        </is>
      </c>
      <c r="C125" s="211" t="n">
        <v>1330</v>
      </c>
      <c r="D125" s="211">
        <f>+MAXA(_xlfn.CEILING.MATH(C125/60)+2,1)</f>
        <v/>
      </c>
      <c r="E125" s="915" t="n">
        <v>130</v>
      </c>
      <c r="F125" s="915" t="n">
        <v>0</v>
      </c>
      <c r="G125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25" s="294" t="inlineStr">
        <is>
          <t>ESCALDES-ENGORDANY (AND)</t>
        </is>
      </c>
      <c r="I125" s="210" t="inlineStr">
        <is>
          <t>F</t>
        </is>
      </c>
      <c r="J125" s="211" t="n">
        <v>1000</v>
      </c>
      <c r="K125" s="211">
        <f>+MAXA(_xlfn.CEILING.MATH(J125/60)+2,1)</f>
        <v/>
      </c>
      <c r="L125" s="917" t="n">
        <v>180</v>
      </c>
      <c r="M125" s="917" t="n">
        <v>0</v>
      </c>
      <c r="N125" s="917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25" s="294" t="inlineStr">
        <is>
          <t>ESCALDES-ENGORDANY (AND)</t>
        </is>
      </c>
      <c r="P125" s="210" t="inlineStr">
        <is>
          <t>F</t>
        </is>
      </c>
      <c r="Q125" s="211" t="n">
        <v>1460</v>
      </c>
      <c r="R125" s="211">
        <f>+MAXA(_xlfn.CEILING.MATH(Q125/60)+2,1)</f>
        <v/>
      </c>
      <c r="S125" s="917" t="n">
        <v>150</v>
      </c>
      <c r="T125" s="916" t="n">
        <v>0</v>
      </c>
      <c r="U125" s="917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26">
      <c r="A126" s="217" t="inlineStr">
        <is>
          <t>EUSKIRCHEN PLANT (D)</t>
        </is>
      </c>
      <c r="B126" s="210" t="inlineStr">
        <is>
          <t>F</t>
        </is>
      </c>
      <c r="C126" s="211" t="n">
        <v>1412</v>
      </c>
      <c r="D126" s="211">
        <f>+MAXA(_xlfn.CEILING.MATH(C126/60)+2,1)</f>
        <v/>
      </c>
      <c r="E126" s="915" t="n">
        <v>50</v>
      </c>
      <c r="F126" s="915" t="n">
        <v>0</v>
      </c>
      <c r="G126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26" s="294" t="inlineStr">
        <is>
          <t>EUSKIRCHEN PLANT (D)</t>
        </is>
      </c>
      <c r="I126" s="210" t="inlineStr">
        <is>
          <t>F</t>
        </is>
      </c>
      <c r="J126" s="211" t="n">
        <v>824</v>
      </c>
      <c r="K126" s="211">
        <f>+MAXA(_xlfn.CEILING.MATH(J126/60)+2,1)</f>
        <v/>
      </c>
      <c r="L126" s="917" t="n">
        <v>10</v>
      </c>
      <c r="M126" s="917" t="n">
        <v>0</v>
      </c>
      <c r="N126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26" s="294" t="inlineStr">
        <is>
          <t>EUSKIRCHEN PLANT (D)</t>
        </is>
      </c>
      <c r="P126" s="210" t="inlineStr">
        <is>
          <t>G</t>
        </is>
      </c>
      <c r="Q126" s="211" t="n">
        <v>1365</v>
      </c>
      <c r="R126" s="211">
        <f>+MAXA(_xlfn.CEILING.MATH(Q126/60)+2,1)</f>
        <v/>
      </c>
      <c r="S126" s="917" t="n">
        <v>49</v>
      </c>
      <c r="T126" s="917" t="n">
        <v>0</v>
      </c>
      <c r="U126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27">
      <c r="A127" s="217" t="inlineStr">
        <is>
          <t>EXEL DC MATARO FHC - ENT (E)</t>
        </is>
      </c>
      <c r="B127" s="210" t="inlineStr">
        <is>
          <t>C</t>
        </is>
      </c>
      <c r="C127" s="211" t="n">
        <v>1345</v>
      </c>
      <c r="D127" s="211">
        <f>+MAXA(_xlfn.CEILING.MATH(C127/60)+2,1)</f>
        <v/>
      </c>
      <c r="E127" s="915" t="n">
        <v>115</v>
      </c>
      <c r="F127" s="915" t="n">
        <v>0</v>
      </c>
      <c r="G127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27" s="294" t="inlineStr">
        <is>
          <t>EXEL DC MATARO FHC - ENT (E)</t>
        </is>
      </c>
      <c r="I127" s="210" t="inlineStr">
        <is>
          <t>C</t>
        </is>
      </c>
      <c r="J127" s="211" t="n">
        <v>1012</v>
      </c>
      <c r="K127" s="211">
        <f>+MAXA(_xlfn.CEILING.MATH(J127/60)+2,1)</f>
        <v/>
      </c>
      <c r="L127" s="917" t="n">
        <v>167</v>
      </c>
      <c r="M127" s="917" t="n">
        <v>0</v>
      </c>
      <c r="N127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27" s="294" t="inlineStr">
        <is>
          <t>EXEL DC MATARO FHC - ENT (E)</t>
        </is>
      </c>
      <c r="P127" s="210" t="inlineStr">
        <is>
          <t>F</t>
        </is>
      </c>
      <c r="Q127" s="211" t="n">
        <v>1509</v>
      </c>
      <c r="R127" s="211">
        <f>+MAXA(_xlfn.CEILING.MATH(Q127/60)+2,1)</f>
        <v/>
      </c>
      <c r="S127" s="917" t="n">
        <v>132</v>
      </c>
      <c r="T127" s="917" t="n">
        <v>0</v>
      </c>
      <c r="U127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28">
      <c r="A128" s="217" t="inlineStr">
        <is>
          <t>FANO (PU)</t>
        </is>
      </c>
      <c r="B128" s="210" t="inlineStr">
        <is>
          <t>C</t>
        </is>
      </c>
      <c r="C128" s="211" t="n">
        <v>330</v>
      </c>
      <c r="D128" s="211">
        <f>+MAXA(_xlfn.CEILING.MATH(C128/60)+2,1)</f>
        <v/>
      </c>
      <c r="E128" s="915" t="n">
        <v>5</v>
      </c>
      <c r="F128" s="915" t="n">
        <v>0</v>
      </c>
      <c r="G128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28" s="294" t="inlineStr">
        <is>
          <t>FANO (PU)</t>
        </is>
      </c>
      <c r="I128" s="210" t="inlineStr">
        <is>
          <t>C</t>
        </is>
      </c>
      <c r="J128" s="211" t="n">
        <v>405</v>
      </c>
      <c r="K128" s="211">
        <f>+MAXA(_xlfn.CEILING.MATH(J128/60)+2,1)</f>
        <v/>
      </c>
      <c r="L128" s="917" t="n">
        <v>35</v>
      </c>
      <c r="M128" s="917" t="n">
        <v>0</v>
      </c>
      <c r="N128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28" s="294" t="inlineStr">
        <is>
          <t>FANO (PU)</t>
        </is>
      </c>
      <c r="P128" s="210" t="inlineStr">
        <is>
          <t>D</t>
        </is>
      </c>
      <c r="Q128" s="211" t="n">
        <v>200</v>
      </c>
      <c r="R128" s="211">
        <f>+MAXA(_xlfn.CEILING.MATH(Q128/60)+2,1)</f>
        <v/>
      </c>
      <c r="S128" s="917" t="n">
        <v>15</v>
      </c>
      <c r="T128" s="917" t="n">
        <v>0</v>
      </c>
      <c r="U128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29">
      <c r="A129" s="217" t="inlineStr">
        <is>
          <t>FARA IN SABINA (RI)</t>
        </is>
      </c>
      <c r="B129" s="210" t="inlineStr">
        <is>
          <t>B</t>
        </is>
      </c>
      <c r="C129" s="211" t="n">
        <v>90</v>
      </c>
      <c r="D129" s="211">
        <f>+MAXA(_xlfn.CEILING.MATH(C129/60)+2,1)</f>
        <v/>
      </c>
      <c r="E129" s="915" t="n">
        <v>2</v>
      </c>
      <c r="F129" s="915" t="n"/>
      <c r="G129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29" s="294" t="inlineStr">
        <is>
          <t>FARA IN SABINA (RI)</t>
        </is>
      </c>
      <c r="I129" s="210" t="inlineStr">
        <is>
          <t>B</t>
        </is>
      </c>
      <c r="J129" s="211" t="n">
        <v>580</v>
      </c>
      <c r="K129" s="211">
        <f>+MAXA(_xlfn.CEILING.MATH(J129/60)+2,1)</f>
        <v/>
      </c>
      <c r="L129" s="917" t="n">
        <v>48</v>
      </c>
      <c r="M129" s="917" t="n"/>
      <c r="N129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29" s="294" t="inlineStr">
        <is>
          <t>FARA IN SABINA (RI)</t>
        </is>
      </c>
      <c r="P129" s="210" t="inlineStr">
        <is>
          <t>E</t>
        </is>
      </c>
      <c r="Q129" s="211" t="n">
        <v>205</v>
      </c>
      <c r="R129" s="211">
        <f>+MAXA(_xlfn.CEILING.MATH(Q129/60)+2,1)</f>
        <v/>
      </c>
      <c r="S129" s="917" t="n">
        <v>16</v>
      </c>
      <c r="T129" s="917" t="n">
        <v>0</v>
      </c>
      <c r="U129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30">
      <c r="A130" s="217" t="inlineStr">
        <is>
          <t>FELINO (PR)</t>
        </is>
      </c>
      <c r="B130" s="210" t="inlineStr">
        <is>
          <t>B</t>
        </is>
      </c>
      <c r="C130" s="211" t="n">
        <v>508</v>
      </c>
      <c r="D130" s="211">
        <f>+MAXA(_xlfn.CEILING.MATH(C130/60)+2,1)</f>
        <v/>
      </c>
      <c r="E130" s="915" t="n">
        <v>35</v>
      </c>
      <c r="F130" s="915" t="n">
        <v>0</v>
      </c>
      <c r="G130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30" s="294" t="inlineStr">
        <is>
          <t>FELINO (PR)</t>
        </is>
      </c>
      <c r="I130" s="210" t="inlineStr">
        <is>
          <t>B</t>
        </is>
      </c>
      <c r="J130" s="211" t="n">
        <v>163</v>
      </c>
      <c r="K130" s="211">
        <f>+MAXA(_xlfn.CEILING.MATH(J130/60)+2,1)</f>
        <v/>
      </c>
      <c r="L130" s="917" t="n">
        <v>16</v>
      </c>
      <c r="M130" s="917" t="n">
        <v>0</v>
      </c>
      <c r="N130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30" s="294" t="inlineStr">
        <is>
          <t>FELINO (PR)</t>
        </is>
      </c>
      <c r="P130" s="210" t="inlineStr">
        <is>
          <t>F</t>
        </is>
      </c>
      <c r="Q130" s="211" t="n">
        <v>463</v>
      </c>
      <c r="R130" s="211">
        <f>+MAXA(_xlfn.CEILING.MATH(Q130/60)+2,1)</f>
        <v/>
      </c>
      <c r="S130" s="917" t="n">
        <v>33</v>
      </c>
      <c r="T130" s="917" t="n">
        <v>0</v>
      </c>
      <c r="U130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31">
      <c r="A131" s="217" t="inlineStr">
        <is>
          <t>FIANO ROMANO (RM)</t>
        </is>
      </c>
      <c r="B131" s="210" t="inlineStr">
        <is>
          <t>B</t>
        </is>
      </c>
      <c r="C131" s="211" t="n">
        <v>85</v>
      </c>
      <c r="D131" s="211">
        <f>+MAXA(_xlfn.CEILING.MATH(C131/60)+2,1)</f>
        <v/>
      </c>
      <c r="E131" s="915" t="n">
        <v>1</v>
      </c>
      <c r="F131" s="915" t="n">
        <v>0</v>
      </c>
      <c r="G131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31" s="294" t="inlineStr">
        <is>
          <t>FIANO ROMANO (RM)</t>
        </is>
      </c>
      <c r="I131" s="210" t="inlineStr">
        <is>
          <t>B</t>
        </is>
      </c>
      <c r="J131" s="211" t="n">
        <v>600</v>
      </c>
      <c r="K131" s="211">
        <f>+MAXA(_xlfn.CEILING.MATH(J131/60)+2,1)</f>
        <v/>
      </c>
      <c r="L131" s="916" t="n">
        <v>50</v>
      </c>
      <c r="M131" s="917" t="n">
        <v>0</v>
      </c>
      <c r="N131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31" s="294" t="inlineStr">
        <is>
          <t>FIANO ROMANO (RM)</t>
        </is>
      </c>
      <c r="P131" s="210" t="inlineStr">
        <is>
          <t>C</t>
        </is>
      </c>
      <c r="Q131" s="211" t="n">
        <v>225</v>
      </c>
      <c r="R131" s="211">
        <f>+MAXA(_xlfn.CEILING.MATH(Q131/60)+2,1)</f>
        <v/>
      </c>
      <c r="S131" s="916" t="n">
        <v>22</v>
      </c>
      <c r="T131" s="916" t="n">
        <v>0</v>
      </c>
      <c r="U131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32">
      <c r="A132" s="217" t="inlineStr">
        <is>
          <t>FIRENZE (FI)</t>
        </is>
      </c>
      <c r="B132" s="210" t="inlineStr">
        <is>
          <t>A</t>
        </is>
      </c>
      <c r="C132" s="211" t="n">
        <v>320</v>
      </c>
      <c r="D132" s="211">
        <f>+MAXA(_xlfn.CEILING.MATH(C132/60)+2,1)</f>
        <v/>
      </c>
      <c r="E132" s="915" t="n">
        <v>20</v>
      </c>
      <c r="F132" s="915" t="n">
        <v>0</v>
      </c>
      <c r="G132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32" s="217" t="inlineStr">
        <is>
          <t>FIRENZE (FI)</t>
        </is>
      </c>
      <c r="I132" s="210" t="inlineStr">
        <is>
          <t>A</t>
        </is>
      </c>
      <c r="J132" s="211" t="n">
        <v>330</v>
      </c>
      <c r="K132" s="211">
        <f>+MAXA(_xlfn.CEILING.MATH(J132/60)+2,1)</f>
        <v/>
      </c>
      <c r="L132" s="916" t="n">
        <v>28</v>
      </c>
      <c r="M132" s="917" t="n">
        <v>0</v>
      </c>
      <c r="N132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32" s="217" t="inlineStr">
        <is>
          <t>FIRENZE (FI)</t>
        </is>
      </c>
      <c r="P132" s="210" t="inlineStr">
        <is>
          <t>E</t>
        </is>
      </c>
      <c r="Q132" s="211" t="n">
        <v>390</v>
      </c>
      <c r="R132" s="211">
        <f>+MAXA(_xlfn.CEILING.MATH(Q132/60)+2,1)</f>
        <v/>
      </c>
      <c r="S132" s="916" t="n">
        <v>15</v>
      </c>
      <c r="T132" s="916" t="n">
        <v>0</v>
      </c>
      <c r="U132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33">
      <c r="A133" s="217" t="inlineStr">
        <is>
          <t>FIUMICINO (RM)</t>
        </is>
      </c>
      <c r="B133" s="210" t="inlineStr">
        <is>
          <t>A</t>
        </is>
      </c>
      <c r="C133" s="211" t="n">
        <v>45</v>
      </c>
      <c r="D133" s="211">
        <f>+MAXA(_xlfn.CEILING.MATH(C133/60)+2,1)</f>
        <v/>
      </c>
      <c r="E133" s="915" t="n">
        <v>0</v>
      </c>
      <c r="F133" s="915" t="n">
        <v>0</v>
      </c>
      <c r="G133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33" s="294" t="inlineStr">
        <is>
          <t>FIUMICINO (RM)</t>
        </is>
      </c>
      <c r="I133" s="210" t="inlineStr">
        <is>
          <t>A</t>
        </is>
      </c>
      <c r="J133" s="211" t="n">
        <v>630</v>
      </c>
      <c r="K133" s="211">
        <f>+MAXA(_xlfn.CEILING.MATH(J133/60)+2,1)</f>
        <v/>
      </c>
      <c r="L133" s="917" t="n">
        <v>50</v>
      </c>
      <c r="M133" s="917" t="n">
        <v>0</v>
      </c>
      <c r="N133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33" s="294" t="inlineStr">
        <is>
          <t>FIUMICINO (RM)</t>
        </is>
      </c>
      <c r="P133" s="210" t="inlineStr">
        <is>
          <t>C</t>
        </is>
      </c>
      <c r="Q133" s="211" t="n">
        <v>250</v>
      </c>
      <c r="R133" s="211">
        <f>+MAXA(_xlfn.CEILING.MATH(Q133/60)+2,1)</f>
        <v/>
      </c>
      <c r="S133" s="917" t="n">
        <v>22</v>
      </c>
      <c r="T133" s="917" t="n">
        <v>0</v>
      </c>
      <c r="U133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34">
      <c r="A134" s="217" t="inlineStr">
        <is>
          <t>FLIEDEN (DE)</t>
        </is>
      </c>
      <c r="B134" s="210" t="inlineStr">
        <is>
          <t>F</t>
        </is>
      </c>
      <c r="C134" s="211" t="n">
        <v>1305</v>
      </c>
      <c r="D134" s="211">
        <f>+MAXA(_xlfn.CEILING.MATH(C134/60)+2,1)</f>
        <v/>
      </c>
      <c r="E134" s="915" t="n">
        <v>70</v>
      </c>
      <c r="F134" s="915" t="n">
        <v>0</v>
      </c>
      <c r="G134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34" s="294" t="inlineStr">
        <is>
          <t>FLIEDEN (DE)</t>
        </is>
      </c>
      <c r="I134" s="210" t="inlineStr">
        <is>
          <t>F</t>
        </is>
      </c>
      <c r="J134" s="211" t="n">
        <v>738</v>
      </c>
      <c r="K134" s="211">
        <f>+MAXA(_xlfn.CEILING.MATH(J134/60)+2,1)</f>
        <v/>
      </c>
      <c r="L134" s="917" t="n">
        <v>10</v>
      </c>
      <c r="M134" s="917" t="n">
        <v>0</v>
      </c>
      <c r="N134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34" s="294" t="inlineStr">
        <is>
          <t>FLIEDEN (DE)</t>
        </is>
      </c>
      <c r="P134" s="210" t="inlineStr">
        <is>
          <t>G</t>
        </is>
      </c>
      <c r="Q134" s="211" t="n">
        <v>1260</v>
      </c>
      <c r="R134" s="211">
        <f>+MAXA(_xlfn.CEILING.MATH(Q134/60)+2,1)</f>
        <v/>
      </c>
      <c r="S134" s="917" t="n">
        <v>69</v>
      </c>
      <c r="T134" s="917" t="n">
        <v>0</v>
      </c>
      <c r="U134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35">
      <c r="A135" s="217" t="inlineStr">
        <is>
          <t>FOGGIA (FG)</t>
        </is>
      </c>
      <c r="B135" s="210" t="inlineStr">
        <is>
          <t>C</t>
        </is>
      </c>
      <c r="C135" s="211" t="n">
        <v>360</v>
      </c>
      <c r="D135" s="211">
        <f>+MAXA(_xlfn.CEILING.MATH(C135/60)+2,1)</f>
        <v/>
      </c>
      <c r="E135" s="915" t="n">
        <v>11</v>
      </c>
      <c r="F135" s="915" t="n"/>
      <c r="G135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35" s="217" t="inlineStr">
        <is>
          <t>FOGGIA (FG)</t>
        </is>
      </c>
      <c r="I135" s="210" t="inlineStr">
        <is>
          <t>C</t>
        </is>
      </c>
      <c r="J135" s="211" t="n">
        <v>790</v>
      </c>
      <c r="K135" s="211">
        <f>+MAXA(_xlfn.CEILING.MATH(J135/60)+2,1)</f>
        <v/>
      </c>
      <c r="L135" s="917" t="n">
        <v>65</v>
      </c>
      <c r="M135" s="917" t="n">
        <v>0</v>
      </c>
      <c r="N135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35" s="217" t="inlineStr">
        <is>
          <t>FOGGIA (FG)</t>
        </is>
      </c>
      <c r="P135" s="210" t="inlineStr">
        <is>
          <t>D</t>
        </is>
      </c>
      <c r="Q135" s="211" t="n">
        <v>195</v>
      </c>
      <c r="R135" s="211">
        <f>+MAXA(_xlfn.CEILING.MATH(Q135/60)+2,1)</f>
        <v/>
      </c>
      <c r="S135" s="917" t="n">
        <v>14</v>
      </c>
      <c r="T135" s="917" t="n">
        <v>0</v>
      </c>
      <c r="U135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36">
      <c r="A136" s="217" t="inlineStr">
        <is>
          <t>FONDI (LT)</t>
        </is>
      </c>
      <c r="B136" s="210" t="inlineStr">
        <is>
          <t>B</t>
        </is>
      </c>
      <c r="C136" s="211" t="n">
        <v>100</v>
      </c>
      <c r="D136" s="211">
        <f>+MAXA(_xlfn.CEILING.MATH(C136/60)+2,1)</f>
        <v/>
      </c>
      <c r="E136" s="915" t="n">
        <v>0</v>
      </c>
      <c r="F136" s="915" t="n">
        <v>0</v>
      </c>
      <c r="G136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36" s="294" t="inlineStr">
        <is>
          <t>FONDI (LT)</t>
        </is>
      </c>
      <c r="I136" s="210" t="inlineStr">
        <is>
          <t>B</t>
        </is>
      </c>
      <c r="J136" s="211" t="n">
        <v>730</v>
      </c>
      <c r="K136" s="211">
        <f>+MAXA(_xlfn.CEILING.MATH(J136/60)+2,1)</f>
        <v/>
      </c>
      <c r="L136" s="916" t="n">
        <v>56</v>
      </c>
      <c r="M136" s="917" t="n">
        <v>0</v>
      </c>
      <c r="N136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36" s="294" t="inlineStr">
        <is>
          <t>FONDI (LT)</t>
        </is>
      </c>
      <c r="P136" s="210" t="inlineStr">
        <is>
          <t>D</t>
        </is>
      </c>
      <c r="Q136" s="211" t="n">
        <v>230</v>
      </c>
      <c r="R136" s="211">
        <f>+MAXA(_xlfn.CEILING.MATH(Q136/60)+2,1)</f>
        <v/>
      </c>
      <c r="S136" s="916" t="n">
        <v>12</v>
      </c>
      <c r="T136" s="916" t="n">
        <v>0</v>
      </c>
      <c r="U136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37">
      <c r="A137" s="217" t="inlineStr">
        <is>
          <t>FORLÌ (FC)</t>
        </is>
      </c>
      <c r="B137" s="210" t="inlineStr">
        <is>
          <t>C</t>
        </is>
      </c>
      <c r="C137" s="211" t="n">
        <v>375</v>
      </c>
      <c r="D137" s="211">
        <f>+MAXA(_xlfn.CEILING.MATH(C137/60)+2,1)</f>
        <v/>
      </c>
      <c r="E137" s="915" t="n">
        <v>5</v>
      </c>
      <c r="F137" s="915" t="n">
        <v>0</v>
      </c>
      <c r="G137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37" s="294" t="inlineStr">
        <is>
          <t>FORLÌ (FC)</t>
        </is>
      </c>
      <c r="I137" s="210" t="inlineStr">
        <is>
          <t>C</t>
        </is>
      </c>
      <c r="J137" s="211" t="n">
        <v>313</v>
      </c>
      <c r="K137" s="211">
        <f>+MAXA(_xlfn.CEILING.MATH(J137/60)+2,1)</f>
        <v/>
      </c>
      <c r="L137" s="917" t="n">
        <v>28</v>
      </c>
      <c r="M137" s="917" t="n">
        <v>0</v>
      </c>
      <c r="N137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37" s="294" t="inlineStr">
        <is>
          <t>FORLÌ (FC)</t>
        </is>
      </c>
      <c r="P137" s="210" t="inlineStr">
        <is>
          <t>D</t>
        </is>
      </c>
      <c r="Q137" s="211" t="n">
        <v>295</v>
      </c>
      <c r="R137" s="211">
        <f>+MAXA(_xlfn.CEILING.MATH(Q137/60)+2,1)</f>
        <v/>
      </c>
      <c r="S137" s="917" t="n">
        <v>22</v>
      </c>
      <c r="T137" s="917" t="n">
        <v>0</v>
      </c>
      <c r="U137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38">
      <c r="A138" s="217" t="inlineStr">
        <is>
          <t>FREGENE (RM)</t>
        </is>
      </c>
      <c r="B138" s="210" t="inlineStr">
        <is>
          <t>A</t>
        </is>
      </c>
      <c r="C138" s="211" t="n">
        <v>49</v>
      </c>
      <c r="D138" s="211">
        <f>+MAXA(_xlfn.CEILING.MATH(C138/60)+2,1)</f>
        <v/>
      </c>
      <c r="E138" s="915" t="n">
        <v>1.5</v>
      </c>
      <c r="F138" s="915" t="n"/>
      <c r="G138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38" s="294" t="inlineStr">
        <is>
          <t>FREGENE (RM)</t>
        </is>
      </c>
      <c r="I138" s="210" t="inlineStr">
        <is>
          <t>B</t>
        </is>
      </c>
      <c r="J138" s="211" t="n">
        <v>630</v>
      </c>
      <c r="K138" s="211">
        <f>+MAXA(_xlfn.CEILING.MATH(J138/60)+2,1)</f>
        <v/>
      </c>
      <c r="L138" s="917" t="n">
        <v>51</v>
      </c>
      <c r="M138" s="917" t="n"/>
      <c r="N138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38" s="294" t="inlineStr">
        <is>
          <t>FREGENE (RM)</t>
        </is>
      </c>
      <c r="P138" s="210" t="inlineStr">
        <is>
          <t>F</t>
        </is>
      </c>
      <c r="Q138" s="211" t="n">
        <v>260</v>
      </c>
      <c r="R138" s="211">
        <f>+MAXA(_xlfn.CEILING.MATH(Q138/60)+2,1)</f>
        <v/>
      </c>
      <c r="S138" s="917" t="n">
        <v>23</v>
      </c>
      <c r="T138" s="916" t="n">
        <v>0</v>
      </c>
      <c r="U138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39">
      <c r="A139" s="217" t="inlineStr">
        <is>
          <t>FROSINONE (FR)</t>
        </is>
      </c>
      <c r="B139" s="210" t="inlineStr">
        <is>
          <t>C</t>
        </is>
      </c>
      <c r="C139" s="211" t="n">
        <v>110</v>
      </c>
      <c r="D139" s="211">
        <f>+MAXA(_xlfn.CEILING.MATH(C139/60)+2,1)</f>
        <v/>
      </c>
      <c r="E139" s="915" t="n">
        <v>5</v>
      </c>
      <c r="F139" s="915" t="n">
        <v>0</v>
      </c>
      <c r="G139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39" s="294" t="inlineStr">
        <is>
          <t>FROSINONE (FR)</t>
        </is>
      </c>
      <c r="I139" s="210" t="inlineStr">
        <is>
          <t>B</t>
        </is>
      </c>
      <c r="J139" s="211" t="n">
        <v>670</v>
      </c>
      <c r="K139" s="211">
        <f>+MAXA(_xlfn.CEILING.MATH(J139/60)+2,1)</f>
        <v/>
      </c>
      <c r="L139" s="916" t="n">
        <v>56</v>
      </c>
      <c r="M139" s="917" t="n">
        <v>0</v>
      </c>
      <c r="N139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39" s="294" t="inlineStr">
        <is>
          <t>FROSINONE (FR)</t>
        </is>
      </c>
      <c r="P139" s="210" t="inlineStr">
        <is>
          <t>D</t>
        </is>
      </c>
      <c r="Q139" s="211" t="n">
        <v>195</v>
      </c>
      <c r="R139" s="211">
        <f>+MAXA(_xlfn.CEILING.MATH(Q139/60)+2,1)</f>
        <v/>
      </c>
      <c r="S139" s="916" t="n">
        <v>12</v>
      </c>
      <c r="T139" s="916" t="n">
        <v>0</v>
      </c>
      <c r="U139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40">
      <c r="A140" s="217" t="inlineStr">
        <is>
          <t>FURORE (SA)</t>
        </is>
      </c>
      <c r="B140" s="210" t="inlineStr">
        <is>
          <t>B</t>
        </is>
      </c>
      <c r="C140" s="211" t="n">
        <v>285</v>
      </c>
      <c r="D140" s="211">
        <f>+MAXA(_xlfn.CEILING.MATH(C140/60)+2,1)</f>
        <v/>
      </c>
      <c r="E140" s="915" t="n">
        <v>19</v>
      </c>
      <c r="F140" s="915" t="n">
        <v>0</v>
      </c>
      <c r="G140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40" s="294" t="inlineStr">
        <is>
          <t>FURORE (SA)</t>
        </is>
      </c>
      <c r="I140" s="210" t="inlineStr">
        <is>
          <t>A</t>
        </is>
      </c>
      <c r="J140" s="211" t="n">
        <v>840</v>
      </c>
      <c r="K140" s="211">
        <f>+MAXA(_xlfn.CEILING.MATH(J140/60)+2,1)</f>
        <v/>
      </c>
      <c r="L140" s="917" t="n">
        <v>70</v>
      </c>
      <c r="M140" s="917" t="n">
        <v>0</v>
      </c>
      <c r="N140" s="917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40" s="294" t="inlineStr">
        <is>
          <t>FURORE (SA)</t>
        </is>
      </c>
      <c r="P140" s="210" t="inlineStr">
        <is>
          <t>D</t>
        </is>
      </c>
      <c r="Q140" s="211" t="n">
        <v>295</v>
      </c>
      <c r="R140" s="211">
        <f>+MAXA(_xlfn.CEILING.MATH(Q140/60)+2,1)</f>
        <v/>
      </c>
      <c r="S140" s="917" t="n">
        <v>14</v>
      </c>
      <c r="T140" s="917" t="n">
        <v>0</v>
      </c>
      <c r="U140" s="917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41">
      <c r="A141" s="217" t="inlineStr">
        <is>
          <t>GATTATICO (RE)</t>
        </is>
      </c>
      <c r="B141" s="210" t="inlineStr">
        <is>
          <t>B</t>
        </is>
      </c>
      <c r="C141" s="211" t="n">
        <v>500</v>
      </c>
      <c r="D141" s="211">
        <f>+MAXA(_xlfn.CEILING.MATH(C141/60)+2,1)</f>
        <v/>
      </c>
      <c r="E141" s="915" t="n">
        <v>35</v>
      </c>
      <c r="F141" s="915" t="n">
        <v>0</v>
      </c>
      <c r="G141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41" s="294" t="inlineStr">
        <is>
          <t>GATTATICO (RE)</t>
        </is>
      </c>
      <c r="I141" s="210" t="inlineStr">
        <is>
          <t>B</t>
        </is>
      </c>
      <c r="J141" s="211" t="n">
        <v>167</v>
      </c>
      <c r="K141" s="211">
        <f>+MAXA(_xlfn.CEILING.MATH(J141/60)+2,1)</f>
        <v/>
      </c>
      <c r="L141" s="917" t="n">
        <v>17</v>
      </c>
      <c r="M141" s="917" t="n">
        <v>0</v>
      </c>
      <c r="N141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41" s="294" t="inlineStr">
        <is>
          <t>GATTATICO (RE)</t>
        </is>
      </c>
      <c r="P141" s="210" t="inlineStr">
        <is>
          <t>E</t>
        </is>
      </c>
      <c r="Q141" s="211" t="n">
        <v>440</v>
      </c>
      <c r="R141" s="211">
        <f>+MAXA(_xlfn.CEILING.MATH(Q141/60)+2,1)</f>
        <v/>
      </c>
      <c r="S141" s="917" t="n">
        <v>33</v>
      </c>
      <c r="T141" s="917" t="n">
        <v>0</v>
      </c>
      <c r="U141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42">
      <c r="A142" s="217" t="inlineStr">
        <is>
          <t>GAVORRANO (GR)</t>
        </is>
      </c>
      <c r="B142" s="210" t="inlineStr">
        <is>
          <t>B</t>
        </is>
      </c>
      <c r="C142" s="211" t="n">
        <v>231</v>
      </c>
      <c r="D142" s="211">
        <f>+MAXA(_xlfn.CEILING.MATH(C142/60)+2,1)</f>
        <v/>
      </c>
      <c r="E142" s="915" t="n">
        <v>6</v>
      </c>
      <c r="F142" s="915" t="n"/>
      <c r="G142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42" s="294" t="inlineStr">
        <is>
          <t>GAVORRANO (GR)</t>
        </is>
      </c>
      <c r="I142" s="210" t="inlineStr">
        <is>
          <t>C</t>
        </is>
      </c>
      <c r="J142" s="211" t="n">
        <v>427</v>
      </c>
      <c r="K142" s="211">
        <f>+MAXA(_xlfn.CEILING.MATH(J142/60)+2,1)</f>
        <v/>
      </c>
      <c r="L142" s="917" t="n">
        <v>43</v>
      </c>
      <c r="M142" s="917" t="n"/>
      <c r="N142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42" s="294" t="inlineStr">
        <is>
          <t>GAVORRANO (GR)</t>
        </is>
      </c>
      <c r="P142" s="210" t="inlineStr">
        <is>
          <t>D</t>
        </is>
      </c>
      <c r="Q142" s="211" t="n">
        <v>436</v>
      </c>
      <c r="R142" s="211">
        <f>+MAXA(_xlfn.CEILING.MATH(Q142/60)+2,1)</f>
        <v/>
      </c>
      <c r="S142" s="917" t="n">
        <v>27</v>
      </c>
      <c r="T142" s="916" t="n">
        <v>0</v>
      </c>
      <c r="U142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43">
      <c r="A143" s="217" t="inlineStr">
        <is>
          <t>GENOVA (GE)</t>
        </is>
      </c>
      <c r="B143" s="210" t="inlineStr">
        <is>
          <t>C</t>
        </is>
      </c>
      <c r="C143" s="211" t="n">
        <v>510</v>
      </c>
      <c r="D143" s="211">
        <f>+MAXA(_xlfn.CEILING.MATH(C143/60)+2,1)</f>
        <v/>
      </c>
      <c r="E143" s="915" t="n">
        <v>35</v>
      </c>
      <c r="F143" s="915" t="n">
        <v>0</v>
      </c>
      <c r="G143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43" s="294" t="inlineStr">
        <is>
          <t>GENOVA (GE)</t>
        </is>
      </c>
      <c r="I143" s="210" t="inlineStr">
        <is>
          <t>C</t>
        </is>
      </c>
      <c r="J143" s="211" t="n">
        <v>200</v>
      </c>
      <c r="K143" s="211">
        <f>+MAXA(_xlfn.CEILING.MATH(J143/60)+2,1)</f>
        <v/>
      </c>
      <c r="L143" s="916" t="n">
        <v>15</v>
      </c>
      <c r="M143" s="917" t="n">
        <v>0</v>
      </c>
      <c r="N143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43" s="294" t="inlineStr">
        <is>
          <t>GENOVA (GE)</t>
        </is>
      </c>
      <c r="P143" s="210" t="inlineStr">
        <is>
          <t>F</t>
        </is>
      </c>
      <c r="Q143" s="211" t="n">
        <v>620</v>
      </c>
      <c r="R143" s="211">
        <f>+MAXA(_xlfn.CEILING.MATH(Q143/60)+2,1)</f>
        <v/>
      </c>
      <c r="S143" s="916" t="n">
        <v>39</v>
      </c>
      <c r="T143" s="916" t="n">
        <v>0</v>
      </c>
      <c r="U143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44">
      <c r="A144" s="217" t="inlineStr">
        <is>
          <t>GENT (B)</t>
        </is>
      </c>
      <c r="B144" s="210" t="inlineStr">
        <is>
          <t>F</t>
        </is>
      </c>
      <c r="C144" s="211" t="n">
        <v>1570</v>
      </c>
      <c r="D144" s="211">
        <f>+MAXA(_xlfn.CEILING.MATH(C144/60)+2,1)</f>
        <v/>
      </c>
      <c r="E144" s="915" t="n">
        <v>62</v>
      </c>
      <c r="F144" s="915" t="n">
        <v>0</v>
      </c>
      <c r="G144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44" s="294" t="inlineStr">
        <is>
          <t>GENT (B)</t>
        </is>
      </c>
      <c r="I144" s="210" t="inlineStr">
        <is>
          <t>F</t>
        </is>
      </c>
      <c r="J144" s="211" t="n">
        <v>980</v>
      </c>
      <c r="K144" s="211">
        <f>+MAXA(_xlfn.CEILING.MATH(J144/60)+2,1)</f>
        <v/>
      </c>
      <c r="L144" s="917" t="n">
        <v>17</v>
      </c>
      <c r="M144" s="917" t="n">
        <v>0</v>
      </c>
      <c r="N144" s="917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44" s="294" t="inlineStr">
        <is>
          <t>GENT (B)</t>
        </is>
      </c>
      <c r="P144" s="210" t="inlineStr">
        <is>
          <t>G</t>
        </is>
      </c>
      <c r="Q144" s="211" t="n">
        <v>1525</v>
      </c>
      <c r="R144" s="211">
        <f>+MAXA(_xlfn.CEILING.MATH(Q144/60)+2,1)</f>
        <v/>
      </c>
      <c r="S144" s="917" t="n">
        <v>60</v>
      </c>
      <c r="T144" s="917" t="n">
        <v>0</v>
      </c>
      <c r="U144" s="917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45">
      <c r="A145" s="217" t="inlineStr">
        <is>
          <t>GINEVRA (CH)</t>
        </is>
      </c>
      <c r="B145" s="210" t="inlineStr">
        <is>
          <t>G</t>
        </is>
      </c>
      <c r="C145" s="211" t="n">
        <v>885</v>
      </c>
      <c r="D145" s="211">
        <f>+MAXA(_xlfn.CEILING.MATH(C145/60)+2,1)</f>
        <v/>
      </c>
      <c r="E145" s="915" t="n">
        <v>135</v>
      </c>
      <c r="F145" s="915" t="n">
        <v>200</v>
      </c>
      <c r="G145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45" s="294" t="inlineStr">
        <is>
          <t>GINEVRA (CH)</t>
        </is>
      </c>
      <c r="I145" s="210" t="inlineStr">
        <is>
          <t>G</t>
        </is>
      </c>
      <c r="J145" s="211" t="n">
        <v>350</v>
      </c>
      <c r="K145" s="211">
        <f>+MAXA(_xlfn.CEILING.MATH(J145/60)+2,1)</f>
        <v/>
      </c>
      <c r="L145" s="917" t="n">
        <v>105</v>
      </c>
      <c r="M145" s="917" t="n">
        <v>200</v>
      </c>
      <c r="N145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45" s="294" t="inlineStr">
        <is>
          <t>GINEVRA (CH)</t>
        </is>
      </c>
      <c r="P145" s="210" t="inlineStr">
        <is>
          <t>G</t>
        </is>
      </c>
      <c r="Q145" s="211" t="n">
        <v>890</v>
      </c>
      <c r="R145" s="211">
        <f>+MAXA(_xlfn.CEILING.MATH(Q145/60)+2,1)</f>
        <v/>
      </c>
      <c r="S145" s="917" t="n">
        <v>145</v>
      </c>
      <c r="T145" s="917" t="n">
        <v>200</v>
      </c>
      <c r="U145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46">
      <c r="A146" s="217" t="inlineStr">
        <is>
          <t>GINOSA (TA)</t>
        </is>
      </c>
      <c r="B146" s="210" t="inlineStr">
        <is>
          <t>B</t>
        </is>
      </c>
      <c r="C146" s="211" t="n">
        <v>462</v>
      </c>
      <c r="D146" s="211">
        <f>+MAXA(_xlfn.CEILING.MATH(C146/60)+2,1)</f>
        <v/>
      </c>
      <c r="E146" s="915" t="n">
        <v>12</v>
      </c>
      <c r="F146" s="915" t="n">
        <v>0</v>
      </c>
      <c r="G146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46" s="294" t="inlineStr">
        <is>
          <t>GINOSA (TA)</t>
        </is>
      </c>
      <c r="I146" s="210" t="inlineStr">
        <is>
          <t>C</t>
        </is>
      </c>
      <c r="J146" s="211" t="n">
        <v>975</v>
      </c>
      <c r="K146" s="211">
        <f>+MAXA(_xlfn.CEILING.MATH(J146/60)+2,1)</f>
        <v/>
      </c>
      <c r="L146" s="917" t="n">
        <v>80</v>
      </c>
      <c r="M146" s="917" t="n">
        <v>0</v>
      </c>
      <c r="N146" s="917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46" s="294" t="inlineStr">
        <is>
          <t>GINOSA (TA)</t>
        </is>
      </c>
      <c r="P146" s="210" t="inlineStr">
        <is>
          <t>F</t>
        </is>
      </c>
      <c r="Q146" s="211" t="n">
        <v>380</v>
      </c>
      <c r="R146" s="211">
        <f>+MAXA(_xlfn.CEILING.MATH(Q146/60)+2,1)</f>
        <v/>
      </c>
      <c r="S146" s="917" t="n">
        <v>27</v>
      </c>
      <c r="T146" s="917" t="n">
        <v>0</v>
      </c>
      <c r="U146" s="917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47">
      <c r="A147" s="217" t="inlineStr">
        <is>
          <t>GIUGLIANO IN CAMPANIA (NA)</t>
        </is>
      </c>
      <c r="B147" s="210" t="inlineStr">
        <is>
          <t>A</t>
        </is>
      </c>
      <c r="C147" s="211" t="n">
        <v>240</v>
      </c>
      <c r="D147" s="211">
        <f>+MAXA(_xlfn.CEILING.MATH(C147/60)+2,1)</f>
        <v/>
      </c>
      <c r="E147" s="915" t="n">
        <v>16</v>
      </c>
      <c r="F147" s="915" t="n">
        <v>0</v>
      </c>
      <c r="G147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47" s="294" t="inlineStr">
        <is>
          <t>GIUGLIANO IN CAMPANIA (NA)</t>
        </is>
      </c>
      <c r="I147" s="210" t="inlineStr">
        <is>
          <t>A</t>
        </is>
      </c>
      <c r="J147" s="211" t="n">
        <v>800</v>
      </c>
      <c r="K147" s="211">
        <f>+MAXA(_xlfn.CEILING.MATH(J147/60)+2,1)</f>
        <v/>
      </c>
      <c r="L147" s="917" t="n">
        <v>70</v>
      </c>
      <c r="M147" s="917" t="n">
        <v>0</v>
      </c>
      <c r="N147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47" s="294" t="inlineStr">
        <is>
          <t>GIUGLIANO IN CAMPANIA (NA)</t>
        </is>
      </c>
      <c r="P147" s="210" t="inlineStr">
        <is>
          <t>E</t>
        </is>
      </c>
      <c r="Q147" s="211" t="n">
        <v>255</v>
      </c>
      <c r="R147" s="211">
        <f>+MAXA(_xlfn.CEILING.MATH(Q147/60)+2,1)</f>
        <v/>
      </c>
      <c r="S147" s="917" t="n">
        <v>11</v>
      </c>
      <c r="T147" s="917" t="n">
        <v>0</v>
      </c>
      <c r="U147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48">
      <c r="A148" s="217" t="inlineStr">
        <is>
          <t>GRANGES AUMONTZEY (F)</t>
        </is>
      </c>
      <c r="B148" s="210" t="inlineStr">
        <is>
          <t>F</t>
        </is>
      </c>
      <c r="C148" s="211" t="n">
        <v>1070</v>
      </c>
      <c r="D148" s="211">
        <f>+MAXA(_xlfn.CEILING.MATH(C148/60)+2,1)</f>
        <v/>
      </c>
      <c r="E148" s="915" t="n">
        <v>60</v>
      </c>
      <c r="F148" s="915" t="n">
        <v>0</v>
      </c>
      <c r="G148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48" s="294" t="inlineStr">
        <is>
          <t>GRANGES AUMONTZEY (F)</t>
        </is>
      </c>
      <c r="I148" s="210" t="inlineStr">
        <is>
          <t>F</t>
        </is>
      </c>
      <c r="J148" s="211" t="n">
        <v>480</v>
      </c>
      <c r="K148" s="211">
        <f>+MAXA(_xlfn.CEILING.MATH(J148/60)+2,1)</f>
        <v/>
      </c>
      <c r="L148" s="917" t="n">
        <v>10</v>
      </c>
      <c r="M148" s="917" t="n">
        <v>0</v>
      </c>
      <c r="N148" s="917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48" s="294" t="inlineStr">
        <is>
          <t>GRANGES AUMONTZEY (F)</t>
        </is>
      </c>
      <c r="P148" s="210" t="inlineStr">
        <is>
          <t>F</t>
        </is>
      </c>
      <c r="Q148" s="211" t="n">
        <v>1030</v>
      </c>
      <c r="R148" s="211">
        <f>+MAXA(_xlfn.CEILING.MATH(Q148/60)+2,1)</f>
        <v/>
      </c>
      <c r="S148" s="917" t="n">
        <v>60</v>
      </c>
      <c r="T148" s="916" t="n">
        <v>0</v>
      </c>
      <c r="U148" s="917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49">
      <c r="A149" s="217" t="inlineStr">
        <is>
          <t>GRAZZANISE (CE)</t>
        </is>
      </c>
      <c r="B149" s="210" t="inlineStr">
        <is>
          <t>B</t>
        </is>
      </c>
      <c r="C149" s="211" t="n">
        <v>215</v>
      </c>
      <c r="D149" s="211">
        <f>+MAXA(_xlfn.CEILING.MATH(C149/60)+2,1)</f>
        <v/>
      </c>
      <c r="E149" s="915" t="n">
        <v>13</v>
      </c>
      <c r="F149" s="915" t="n">
        <v>0</v>
      </c>
      <c r="G149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49" s="294" t="inlineStr">
        <is>
          <t>GRAZZANISE (CE)</t>
        </is>
      </c>
      <c r="I149" s="210" t="inlineStr">
        <is>
          <t>B</t>
        </is>
      </c>
      <c r="J149" s="211" t="n">
        <v>775</v>
      </c>
      <c r="K149" s="211">
        <f>+MAXA(_xlfn.CEILING.MATH(J149/60)+2,1)</f>
        <v/>
      </c>
      <c r="L149" s="917" t="n">
        <v>63</v>
      </c>
      <c r="M149" s="917" t="n">
        <v>0</v>
      </c>
      <c r="N149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49" s="294" t="inlineStr">
        <is>
          <t>GRAZZANISE (CE)</t>
        </is>
      </c>
      <c r="P149" s="210" t="inlineStr">
        <is>
          <t>E</t>
        </is>
      </c>
      <c r="Q149" s="211" t="n">
        <v>230</v>
      </c>
      <c r="R149" s="211">
        <f>+MAXA(_xlfn.CEILING.MATH(Q149/60)+2,1)</f>
        <v/>
      </c>
      <c r="S149" s="917" t="n">
        <v>8</v>
      </c>
      <c r="T149" s="916" t="n">
        <v>0</v>
      </c>
      <c r="U149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50">
      <c r="A150" s="217" t="inlineStr">
        <is>
          <t>GROSSETO (GR)</t>
        </is>
      </c>
      <c r="B150" s="210" t="inlineStr">
        <is>
          <t>B</t>
        </is>
      </c>
      <c r="C150" s="211" t="n">
        <v>200</v>
      </c>
      <c r="D150" s="211">
        <f>+MAXA(_xlfn.CEILING.MATH(C150/60)+2,1)</f>
        <v/>
      </c>
      <c r="E150" s="915" t="n">
        <v>6</v>
      </c>
      <c r="F150" s="915" t="n">
        <v>0</v>
      </c>
      <c r="G150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50" s="294" t="inlineStr">
        <is>
          <t>GROSSETO (GR)</t>
        </is>
      </c>
      <c r="I150" s="210" t="inlineStr">
        <is>
          <t>C</t>
        </is>
      </c>
      <c r="J150" s="211" t="n">
        <v>454</v>
      </c>
      <c r="K150" s="211">
        <f>+MAXA(_xlfn.CEILING.MATH(J150/60)+2,1)</f>
        <v/>
      </c>
      <c r="L150" s="917" t="n">
        <v>43</v>
      </c>
      <c r="M150" s="917" t="n">
        <v>0</v>
      </c>
      <c r="N150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50" s="294" t="inlineStr">
        <is>
          <t>GROSSETO (GR)</t>
        </is>
      </c>
      <c r="P150" s="210" t="inlineStr">
        <is>
          <t>D</t>
        </is>
      </c>
      <c r="Q150" s="211" t="n">
        <v>401</v>
      </c>
      <c r="R150" s="211">
        <f>+MAXA(_xlfn.CEILING.MATH(Q150/60)+2,1)</f>
        <v/>
      </c>
      <c r="S150" s="917" t="n">
        <v>27</v>
      </c>
      <c r="T150" s="916" t="n">
        <v>0</v>
      </c>
      <c r="U150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51">
      <c r="A151" s="217" t="inlineStr">
        <is>
          <t>GROSS-GERAU (D)</t>
        </is>
      </c>
      <c r="B151" s="210" t="inlineStr">
        <is>
          <t>F</t>
        </is>
      </c>
      <c r="C151" s="211" t="n">
        <v>1280</v>
      </c>
      <c r="D151" s="211">
        <f>+MAXA(_xlfn.CEILING.MATH(C151/60)+2,1)</f>
        <v/>
      </c>
      <c r="E151" s="915" t="n">
        <v>51</v>
      </c>
      <c r="F151" s="915" t="n">
        <v>0</v>
      </c>
      <c r="G151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51" s="294" t="inlineStr">
        <is>
          <t>GROSS-GERAU (D)</t>
        </is>
      </c>
      <c r="I151" s="210" t="inlineStr">
        <is>
          <t>F</t>
        </is>
      </c>
      <c r="J151" s="211" t="n">
        <v>675</v>
      </c>
      <c r="K151" s="211">
        <f>+MAXA(_xlfn.CEILING.MATH(J151/60)+2,1)</f>
        <v/>
      </c>
      <c r="L151" s="917" t="n">
        <v>10</v>
      </c>
      <c r="M151" s="917" t="n">
        <v>0</v>
      </c>
      <c r="N151" s="917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51" s="294" t="inlineStr">
        <is>
          <t>GROSS-GERAU (D)</t>
        </is>
      </c>
      <c r="P151" s="210" t="inlineStr">
        <is>
          <t>G</t>
        </is>
      </c>
      <c r="Q151" s="211" t="n">
        <v>1250</v>
      </c>
      <c r="R151" s="211">
        <f>+MAXA(_xlfn.CEILING.MATH(Q151/60)+2,1)</f>
        <v/>
      </c>
      <c r="S151" s="917" t="n">
        <v>50</v>
      </c>
      <c r="T151" s="916" t="n">
        <v>0</v>
      </c>
      <c r="U151" s="917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52">
      <c r="A152" s="217" t="inlineStr">
        <is>
          <t>GUIDONIA (RM)</t>
        </is>
      </c>
      <c r="B152" s="210" t="inlineStr">
        <is>
          <t>B</t>
        </is>
      </c>
      <c r="C152" s="211" t="n">
        <v>60</v>
      </c>
      <c r="D152" s="211">
        <f>+MAXA(_xlfn.CEILING.MATH(C152/60)+2,1)</f>
        <v/>
      </c>
      <c r="E152" s="915" t="n">
        <v>1</v>
      </c>
      <c r="F152" s="915" t="n">
        <v>0</v>
      </c>
      <c r="G152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52" s="294" t="inlineStr">
        <is>
          <t>GUIDONIA (RM)</t>
        </is>
      </c>
      <c r="I152" s="210" t="inlineStr">
        <is>
          <t>B</t>
        </is>
      </c>
      <c r="J152" s="211" t="n">
        <v>600</v>
      </c>
      <c r="K152" s="211">
        <f>+MAXA(_xlfn.CEILING.MATH(J152/60)+2,1)</f>
        <v/>
      </c>
      <c r="L152" s="916" t="n">
        <v>0</v>
      </c>
      <c r="M152" s="917" t="n">
        <v>0</v>
      </c>
      <c r="N152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52" s="294" t="inlineStr">
        <is>
          <t>GUIDONIA (RM)</t>
        </is>
      </c>
      <c r="P152" s="210" t="inlineStr">
        <is>
          <t>C</t>
        </is>
      </c>
      <c r="Q152" s="211" t="n">
        <v>200</v>
      </c>
      <c r="R152" s="211">
        <f>+MAXA(_xlfn.CEILING.MATH(Q152/60)+2,1)</f>
        <v/>
      </c>
      <c r="S152" s="916" t="n">
        <v>12</v>
      </c>
      <c r="T152" s="916" t="n">
        <v>0</v>
      </c>
      <c r="U152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53">
      <c r="A153" s="217" t="inlineStr">
        <is>
          <t>GYONGYOS (H)</t>
        </is>
      </c>
      <c r="B153" s="210" t="inlineStr">
        <is>
          <t>F</t>
        </is>
      </c>
      <c r="C153" s="211" t="n">
        <v>1350</v>
      </c>
      <c r="D153" s="211">
        <f>+MAXA(_xlfn.CEILING.MATH(C153/60)+2,1)</f>
        <v/>
      </c>
      <c r="E153" s="915" t="n">
        <v>55</v>
      </c>
      <c r="F153" s="915" t="n">
        <v>0</v>
      </c>
      <c r="G153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53" s="294" t="inlineStr">
        <is>
          <t>GYONGYOS (H)</t>
        </is>
      </c>
      <c r="I153" s="210" t="inlineStr">
        <is>
          <t>F</t>
        </is>
      </c>
      <c r="J153" s="211" t="n">
        <v>1020</v>
      </c>
      <c r="K153" s="211">
        <f>+MAXA(_xlfn.CEILING.MATH(J153/60)+2,1)</f>
        <v/>
      </c>
      <c r="L153" s="917" t="n">
        <v>30</v>
      </c>
      <c r="M153" s="917" t="n">
        <v>0</v>
      </c>
      <c r="N153" s="917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53" s="294" t="inlineStr">
        <is>
          <t>GYONGYOS (H)</t>
        </is>
      </c>
      <c r="P153" s="210" t="inlineStr">
        <is>
          <t>G</t>
        </is>
      </c>
      <c r="Q153" s="211" t="n">
        <v>1300</v>
      </c>
      <c r="R153" s="211">
        <f>+MAXA(_xlfn.CEILING.MATH(Q153/60)+2,1)</f>
        <v/>
      </c>
      <c r="S153" s="917" t="n">
        <v>50</v>
      </c>
      <c r="T153" s="916" t="n">
        <v>0</v>
      </c>
      <c r="U153" s="917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54">
      <c r="A154" s="217" t="inlineStr">
        <is>
          <t>HAL QORMI (M)</t>
        </is>
      </c>
      <c r="B154" s="210" t="inlineStr">
        <is>
          <t>G</t>
        </is>
      </c>
      <c r="C154" s="211" t="n">
        <v>1030</v>
      </c>
      <c r="D154" s="211">
        <f>+MAXA(_xlfn.CEILING.MATH(C154/60)+2,1)</f>
        <v/>
      </c>
      <c r="E154" s="915" t="n">
        <v>22.3</v>
      </c>
      <c r="F154" s="916">
        <f>2050+125</f>
        <v/>
      </c>
      <c r="G154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54" s="294" t="inlineStr">
        <is>
          <t>HAL QORMI (M)</t>
        </is>
      </c>
      <c r="I154" s="210" t="inlineStr">
        <is>
          <t>G</t>
        </is>
      </c>
      <c r="J154" s="211" t="n">
        <v>1588</v>
      </c>
      <c r="K154" s="211">
        <f>+MAXA(_xlfn.CEILING.MATH(J154/60)+2,1)</f>
        <v/>
      </c>
      <c r="L154" s="917" t="n">
        <v>75</v>
      </c>
      <c r="M154" s="916">
        <f>2050+125</f>
        <v/>
      </c>
      <c r="N154" s="917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54" s="294" t="inlineStr">
        <is>
          <t>HAL QORMI (M)</t>
        </is>
      </c>
      <c r="P154" s="210" t="inlineStr">
        <is>
          <t>G</t>
        </is>
      </c>
      <c r="Q154" s="211" t="n">
        <v>1025</v>
      </c>
      <c r="R154" s="211">
        <f>+MAXA(_xlfn.CEILING.MATH(Q154/60)+2,1)</f>
        <v/>
      </c>
      <c r="S154" s="917" t="n">
        <v>18</v>
      </c>
      <c r="T154" s="916">
        <f>2050+125</f>
        <v/>
      </c>
      <c r="U154" s="917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55">
      <c r="A155" s="217" t="inlineStr">
        <is>
          <t>HELSINKI (FIN)</t>
        </is>
      </c>
      <c r="B155" s="210" t="inlineStr">
        <is>
          <t>E</t>
        </is>
      </c>
      <c r="C155" s="211" t="n">
        <v>3050</v>
      </c>
      <c r="D155" s="211">
        <f>+MAXA(_xlfn.CEILING.MATH(C155/60)+2,1)</f>
        <v/>
      </c>
      <c r="E155" s="915" t="n">
        <v>40</v>
      </c>
      <c r="F155" s="915" t="n">
        <v>300</v>
      </c>
      <c r="G155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55" s="294" t="inlineStr">
        <is>
          <t>HELSINKI (FIN)</t>
        </is>
      </c>
      <c r="I155" s="210" t="inlineStr">
        <is>
          <t>E</t>
        </is>
      </c>
      <c r="J155" s="211" t="n">
        <v>2670</v>
      </c>
      <c r="K155" s="211">
        <f>+MAXA(_xlfn.CEILING.MATH(J155/60)+2,1)</f>
        <v/>
      </c>
      <c r="L155" s="917" t="n">
        <v>35</v>
      </c>
      <c r="M155" s="917" t="n">
        <v>300</v>
      </c>
      <c r="N155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55" s="294" t="inlineStr">
        <is>
          <t>HELSINKI (FIN)</t>
        </is>
      </c>
      <c r="P155" s="210" t="inlineStr">
        <is>
          <t>G</t>
        </is>
      </c>
      <c r="Q155" s="211" t="n">
        <v>2790</v>
      </c>
      <c r="R155" s="211">
        <f>+MAXA(_xlfn.CEILING.MATH(Q155/60)+2,1)</f>
        <v/>
      </c>
      <c r="S155" s="917" t="n">
        <v>58</v>
      </c>
      <c r="T155" s="917" t="n">
        <v>300</v>
      </c>
      <c r="U155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56">
      <c r="A156" s="217" t="inlineStr">
        <is>
          <t>HEM (F)</t>
        </is>
      </c>
      <c r="B156" s="210" t="inlineStr">
        <is>
          <t>F</t>
        </is>
      </c>
      <c r="C156" s="211" t="n">
        <v>1575</v>
      </c>
      <c r="D156" s="211">
        <f>+MAXA(_xlfn.CEILING.MATH(C156/60)+2,1)</f>
        <v/>
      </c>
      <c r="E156" s="915" t="n">
        <v>62</v>
      </c>
      <c r="F156" s="915" t="n">
        <v>0</v>
      </c>
      <c r="G156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56" s="294" t="inlineStr">
        <is>
          <t>HEM (F)</t>
        </is>
      </c>
      <c r="I156" s="210" t="inlineStr">
        <is>
          <t>F</t>
        </is>
      </c>
      <c r="J156" s="211" t="n">
        <v>988</v>
      </c>
      <c r="K156" s="211">
        <f>+MAXA(_xlfn.CEILING.MATH(J156/60)+2,1)</f>
        <v/>
      </c>
      <c r="L156" s="917" t="n">
        <v>17</v>
      </c>
      <c r="M156" s="917" t="n">
        <v>0</v>
      </c>
      <c r="N156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56" s="294" t="inlineStr">
        <is>
          <t>HEM (F)</t>
        </is>
      </c>
      <c r="P156" s="210" t="inlineStr">
        <is>
          <t>G</t>
        </is>
      </c>
      <c r="Q156" s="211" t="n">
        <v>1530</v>
      </c>
      <c r="R156" s="211">
        <f>+MAXA(_xlfn.CEILING.MATH(Q156/60)+2,1)</f>
        <v/>
      </c>
      <c r="S156" s="917" t="n">
        <v>60</v>
      </c>
      <c r="T156" s="917" t="n">
        <v>0</v>
      </c>
      <c r="U156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57">
      <c r="A157" s="217" t="inlineStr">
        <is>
          <t>IMOLA (BO)</t>
        </is>
      </c>
      <c r="B157" s="210" t="inlineStr">
        <is>
          <t>B</t>
        </is>
      </c>
      <c r="C157" s="211" t="n">
        <v>412</v>
      </c>
      <c r="D157" s="211">
        <f>+MAXA(_xlfn.CEILING.MATH(C157/60)+2,1)</f>
        <v/>
      </c>
      <c r="E157" s="915" t="n">
        <v>9</v>
      </c>
      <c r="F157" s="915" t="n">
        <v>0</v>
      </c>
      <c r="G157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57" s="294" t="inlineStr">
        <is>
          <t>IMOLA (BO)</t>
        </is>
      </c>
      <c r="I157" s="210" t="inlineStr">
        <is>
          <t>A</t>
        </is>
      </c>
      <c r="J157" s="211" t="n">
        <v>277</v>
      </c>
      <c r="K157" s="211">
        <f>+MAXA(_xlfn.CEILING.MATH(J157/60)+2,1)</f>
        <v/>
      </c>
      <c r="L157" s="917" t="n">
        <v>26</v>
      </c>
      <c r="M157" s="917" t="n">
        <v>0</v>
      </c>
      <c r="N157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57" s="294" t="inlineStr">
        <is>
          <t>IMOLA (BO)</t>
        </is>
      </c>
      <c r="P157" s="210" t="inlineStr">
        <is>
          <t>C</t>
        </is>
      </c>
      <c r="Q157" s="211" t="n">
        <v>321</v>
      </c>
      <c r="R157" s="211">
        <f>+MAXA(_xlfn.CEILING.MATH(Q157/60)+2,1)</f>
        <v/>
      </c>
      <c r="S157" s="917" t="n">
        <v>25</v>
      </c>
      <c r="T157" s="916" t="n">
        <v>0</v>
      </c>
      <c r="U157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58">
      <c r="A158" s="217" t="inlineStr">
        <is>
          <t>JESI (AN)</t>
        </is>
      </c>
      <c r="B158" s="210" t="inlineStr">
        <is>
          <t>D</t>
        </is>
      </c>
      <c r="C158" s="211" t="n">
        <v>301</v>
      </c>
      <c r="D158" s="211">
        <f>+MAXA(_xlfn.CEILING.MATH(C158/60)+2,1)</f>
        <v/>
      </c>
      <c r="E158" s="915" t="n">
        <v>5</v>
      </c>
      <c r="F158" s="915" t="n">
        <v>0</v>
      </c>
      <c r="G158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58" s="294" t="inlineStr">
        <is>
          <t>JESI (AN)</t>
        </is>
      </c>
      <c r="I158" s="210" t="inlineStr">
        <is>
          <t>C</t>
        </is>
      </c>
      <c r="J158" s="211" t="n">
        <v>450</v>
      </c>
      <c r="K158" s="211">
        <f>+MAXA(_xlfn.CEILING.MATH(J158/60)+2,1)</f>
        <v/>
      </c>
      <c r="L158" s="917" t="n">
        <v>38</v>
      </c>
      <c r="M158" s="917" t="n">
        <v>0</v>
      </c>
      <c r="N158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58" s="294" t="inlineStr">
        <is>
          <t>JESI (AN)</t>
        </is>
      </c>
      <c r="P158" s="210" t="inlineStr">
        <is>
          <t>C</t>
        </is>
      </c>
      <c r="Q158" s="211" t="n">
        <v>170</v>
      </c>
      <c r="R158" s="211">
        <f>+MAXA(_xlfn.CEILING.MATH(Q158/60)+2,1)</f>
        <v/>
      </c>
      <c r="S158" s="917" t="n">
        <v>12</v>
      </c>
      <c r="T158" s="917" t="n">
        <v>0</v>
      </c>
      <c r="U158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59">
      <c r="A159" s="217" t="inlineStr">
        <is>
          <t>JIJONA - ALICANTE (E)</t>
        </is>
      </c>
      <c r="B159" s="210" t="inlineStr">
        <is>
          <t>C</t>
        </is>
      </c>
      <c r="C159" s="211" t="n">
        <v>1834</v>
      </c>
      <c r="D159" s="211">
        <f>+MAXA(_xlfn.CEILING.MATH(C159/60)+2,1)</f>
        <v/>
      </c>
      <c r="E159" s="915" t="n">
        <v>115</v>
      </c>
      <c r="F159" s="915" t="n">
        <v>0</v>
      </c>
      <c r="G159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59" s="294" t="inlineStr">
        <is>
          <t>JIJONA - ALICANTE (E)</t>
        </is>
      </c>
      <c r="I159" s="210" t="inlineStr">
        <is>
          <t>C</t>
        </is>
      </c>
      <c r="J159" s="211" t="n">
        <v>1501</v>
      </c>
      <c r="K159" s="211">
        <f>+MAXA(_xlfn.CEILING.MATH(J159/60)+2,1)</f>
        <v/>
      </c>
      <c r="L159" s="917" t="n">
        <v>167</v>
      </c>
      <c r="M159" s="917" t="n">
        <v>0</v>
      </c>
      <c r="N159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59" s="294" t="inlineStr">
        <is>
          <t>JIJONA - ALICANTE (E)</t>
        </is>
      </c>
      <c r="P159" s="210" t="inlineStr">
        <is>
          <t>F</t>
        </is>
      </c>
      <c r="Q159" s="211" t="n">
        <v>2074</v>
      </c>
      <c r="R159" s="211">
        <f>+MAXA(_xlfn.CEILING.MATH(Q159/60)+2,1)</f>
        <v/>
      </c>
      <c r="S159" s="917" t="n">
        <v>132</v>
      </c>
      <c r="T159" s="917" t="n">
        <v>0</v>
      </c>
      <c r="U159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60">
      <c r="A160" s="217" t="inlineStr">
        <is>
          <t>JYDERUP (DK)</t>
        </is>
      </c>
      <c r="B160" s="210" t="inlineStr">
        <is>
          <t>E</t>
        </is>
      </c>
      <c r="C160" s="211" t="n">
        <v>2042</v>
      </c>
      <c r="D160" s="211">
        <f>+MAXA(_xlfn.CEILING.MATH(C160/60)+2,1)</f>
        <v/>
      </c>
      <c r="E160" s="915" t="n">
        <v>69</v>
      </c>
      <c r="F160" s="915" t="n">
        <v>260</v>
      </c>
      <c r="G160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60" s="217" t="inlineStr">
        <is>
          <t>JYDERUP (DK)</t>
        </is>
      </c>
      <c r="I160" s="210" t="inlineStr">
        <is>
          <t>E</t>
        </is>
      </c>
      <c r="J160" s="211" t="n">
        <v>1424</v>
      </c>
      <c r="K160" s="211">
        <f>+MAXA(_xlfn.CEILING.MATH(J160/60)+2,1)</f>
        <v/>
      </c>
      <c r="L160" s="917" t="n">
        <v>0</v>
      </c>
      <c r="M160" s="917" t="n">
        <v>260</v>
      </c>
      <c r="N160" s="916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60" s="217" t="inlineStr">
        <is>
          <t>JYDERUP (DK)</t>
        </is>
      </c>
      <c r="P160" s="210" t="inlineStr">
        <is>
          <t>G</t>
        </is>
      </c>
      <c r="Q160" s="211" t="n">
        <v>2182</v>
      </c>
      <c r="R160" s="211">
        <f>+MAXA(_xlfn.CEILING.MATH(Q160/60)+2,1)</f>
        <v/>
      </c>
      <c r="S160" s="917" t="n">
        <v>67</v>
      </c>
      <c r="T160" s="917" t="n">
        <v>260</v>
      </c>
      <c r="U160" s="916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61" ht="13.5" customHeight="1">
      <c r="A161" s="217" t="inlineStr">
        <is>
          <t>KAMMIENNA GÓRA (PL)</t>
        </is>
      </c>
      <c r="B161" s="210" t="inlineStr">
        <is>
          <t>E</t>
        </is>
      </c>
      <c r="C161" s="211" t="n">
        <v>1524</v>
      </c>
      <c r="D161" s="211">
        <f>+MAXA(_xlfn.CEILING.MATH(C161/60)+2,1)</f>
        <v/>
      </c>
      <c r="E161" s="915" t="n">
        <v>70</v>
      </c>
      <c r="F161" s="915" t="n">
        <v>0</v>
      </c>
      <c r="G161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61" s="217" t="inlineStr">
        <is>
          <t>KAMMIENNA GÓRA (PL)</t>
        </is>
      </c>
      <c r="I161" s="210" t="inlineStr">
        <is>
          <t>E</t>
        </is>
      </c>
      <c r="J161" s="211" t="n">
        <v>1018</v>
      </c>
      <c r="K161" s="211">
        <f>+MAXA(_xlfn.CEILING.MATH(J161/60)+2,1)</f>
        <v/>
      </c>
      <c r="L161" s="917" t="n">
        <v>35</v>
      </c>
      <c r="M161" s="917" t="n">
        <v>0</v>
      </c>
      <c r="N161" s="917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61" s="217" t="inlineStr">
        <is>
          <t>KAMMIENNA GÓRA (PL)</t>
        </is>
      </c>
      <c r="P161" s="210" t="inlineStr">
        <is>
          <t>F</t>
        </is>
      </c>
      <c r="Q161" s="211" t="n">
        <v>1404</v>
      </c>
      <c r="R161" s="211">
        <f>+MAXA(_xlfn.CEILING.MATH(Q161/60)+2,1)</f>
        <v/>
      </c>
      <c r="S161" s="917" t="n">
        <v>65</v>
      </c>
      <c r="T161" s="917" t="n">
        <v>0</v>
      </c>
      <c r="U161" s="917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62">
      <c r="A162" s="217" t="inlineStr">
        <is>
          <t>KLIPPAN - DHL NORDIC SVC CTR-PGI (S)</t>
        </is>
      </c>
      <c r="B162" s="210" t="inlineStr">
        <is>
          <t>E</t>
        </is>
      </c>
      <c r="C162" s="211" t="n">
        <v>2050</v>
      </c>
      <c r="D162" s="211">
        <f>+MAXA(_xlfn.CEILING.MATH(C162/60)+2,1)</f>
        <v/>
      </c>
      <c r="E162" s="915" t="n">
        <v>50</v>
      </c>
      <c r="F162" s="915" t="n">
        <v>250</v>
      </c>
      <c r="G162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62" s="294" t="inlineStr">
        <is>
          <t>KLIPPAN - DHL NORDIC SVC CTR-PGI (S)</t>
        </is>
      </c>
      <c r="I162" s="210" t="inlineStr">
        <is>
          <t>E</t>
        </is>
      </c>
      <c r="J162" s="211" t="n">
        <v>1545</v>
      </c>
      <c r="K162" s="211">
        <f>+MAXA(_xlfn.CEILING.MATH(J162/60)+2,1)</f>
        <v/>
      </c>
      <c r="L162" s="917" t="n">
        <v>50</v>
      </c>
      <c r="M162" s="917" t="n">
        <v>250</v>
      </c>
      <c r="N162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62" s="294" t="inlineStr">
        <is>
          <t>KLIPPAN - DHL NORDIC SVC CTR-PGI (S)</t>
        </is>
      </c>
      <c r="P162" s="210" t="inlineStr">
        <is>
          <t>G</t>
        </is>
      </c>
      <c r="Q162" s="211" t="n">
        <v>1980</v>
      </c>
      <c r="R162" s="211">
        <f>+MAXA(_xlfn.CEILING.MATH(Q162/60)+2,1)</f>
        <v/>
      </c>
      <c r="S162" s="917" t="n">
        <v>130</v>
      </c>
      <c r="T162" s="917" t="n">
        <v>250</v>
      </c>
      <c r="U162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63">
      <c r="A163" s="217" t="inlineStr">
        <is>
          <t>KOMENDA (SLO)</t>
        </is>
      </c>
      <c r="B163" s="210" t="inlineStr">
        <is>
          <t>E</t>
        </is>
      </c>
      <c r="C163" s="211" t="n">
        <v>810</v>
      </c>
      <c r="D163" s="211">
        <f>+MAXA(_xlfn.CEILING.MATH(C163/60)+2,1)</f>
        <v/>
      </c>
      <c r="E163" s="915" t="n">
        <v>53</v>
      </c>
      <c r="F163" s="915" t="n">
        <v>0</v>
      </c>
      <c r="G163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63" s="294" t="inlineStr">
        <is>
          <t>KOMENDA (SLO)</t>
        </is>
      </c>
      <c r="I163" s="210" t="inlineStr">
        <is>
          <t>E</t>
        </is>
      </c>
      <c r="J163" s="211" t="n">
        <v>490</v>
      </c>
      <c r="K163" s="211">
        <f>+MAXA(_xlfn.CEILING.MATH(J163/60)+2,1)</f>
        <v/>
      </c>
      <c r="L163" s="917" t="n">
        <v>30</v>
      </c>
      <c r="M163" s="917" t="n">
        <v>0</v>
      </c>
      <c r="N163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63" s="294" t="inlineStr">
        <is>
          <t>KOMENDA (SLO)</t>
        </is>
      </c>
      <c r="P163" s="210" t="inlineStr">
        <is>
          <t>F</t>
        </is>
      </c>
      <c r="Q163" s="211" t="n">
        <v>742</v>
      </c>
      <c r="R163" s="211">
        <f>+MAXA(_xlfn.CEILING.MATH(Q163/60)+2,1)</f>
        <v/>
      </c>
      <c r="S163" s="917" t="n">
        <v>51</v>
      </c>
      <c r="T163" s="917" t="n">
        <v>0</v>
      </c>
      <c r="U163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64">
      <c r="A164" s="217" t="inlineStr">
        <is>
          <t>KONOLFINGEN (CH)</t>
        </is>
      </c>
      <c r="B164" s="210" t="inlineStr">
        <is>
          <t>G</t>
        </is>
      </c>
      <c r="C164" s="211" t="n">
        <v>885</v>
      </c>
      <c r="D164" s="211">
        <f>+MAXA(_xlfn.CEILING.MATH(C164/60)+2,1)</f>
        <v/>
      </c>
      <c r="E164" s="915" t="n">
        <v>53</v>
      </c>
      <c r="F164" s="915" t="n">
        <v>200</v>
      </c>
      <c r="G164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64" s="294" t="inlineStr">
        <is>
          <t>KONOLFINGEN (CH)</t>
        </is>
      </c>
      <c r="I164" s="210" t="inlineStr">
        <is>
          <t>G</t>
        </is>
      </c>
      <c r="J164" s="211" t="n">
        <v>295</v>
      </c>
      <c r="K164" s="211">
        <f>+MAXA(_xlfn.CEILING.MATH(J164/60)+2,1)</f>
        <v/>
      </c>
      <c r="L164" s="917" t="n">
        <v>10</v>
      </c>
      <c r="M164" s="917" t="n">
        <v>200</v>
      </c>
      <c r="N164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64" s="294" t="inlineStr">
        <is>
          <t>KONOLFINGEN (CH)</t>
        </is>
      </c>
      <c r="P164" s="210" t="inlineStr">
        <is>
          <t>G</t>
        </is>
      </c>
      <c r="Q164" s="211" t="n">
        <v>840</v>
      </c>
      <c r="R164" s="211">
        <f>+MAXA(_xlfn.CEILING.MATH(Q164/60)+2,1)</f>
        <v/>
      </c>
      <c r="S164" s="917" t="n">
        <v>53</v>
      </c>
      <c r="T164" s="917" t="n">
        <v>200</v>
      </c>
      <c r="U164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65">
      <c r="A165" s="217" t="inlineStr">
        <is>
          <t>LABICO (RM)</t>
        </is>
      </c>
      <c r="B165" s="210" t="inlineStr">
        <is>
          <t>A</t>
        </is>
      </c>
      <c r="C165" s="211" t="n">
        <v>65</v>
      </c>
      <c r="D165" s="211">
        <f>+MAXA(_xlfn.CEILING.MATH(C165/60)+2,1)</f>
        <v/>
      </c>
      <c r="E165" s="915" t="n">
        <v>1.5</v>
      </c>
      <c r="F165" s="915" t="n"/>
      <c r="G165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65" s="294" t="inlineStr">
        <is>
          <t>LABICO (RM)</t>
        </is>
      </c>
      <c r="I165" s="210" t="inlineStr">
        <is>
          <t>A</t>
        </is>
      </c>
      <c r="J165" s="211" t="n">
        <v>630</v>
      </c>
      <c r="K165" s="211">
        <f>+MAXA(_xlfn.CEILING.MATH(J165/60)+2,1)</f>
        <v/>
      </c>
      <c r="L165" s="917" t="n">
        <v>55</v>
      </c>
      <c r="M165" s="917" t="n"/>
      <c r="N165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65" s="294" t="inlineStr">
        <is>
          <t>LABICO (RM)</t>
        </is>
      </c>
      <c r="P165" s="210" t="inlineStr">
        <is>
          <t>C</t>
        </is>
      </c>
      <c r="Q165" s="211" t="n">
        <v>205</v>
      </c>
      <c r="R165" s="211">
        <f>+MAXA(_xlfn.CEILING.MATH(Q165/60)+2,1)</f>
        <v/>
      </c>
      <c r="S165" s="917" t="n">
        <v>18</v>
      </c>
      <c r="T165" s="917" t="n">
        <v>0</v>
      </c>
      <c r="U165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66">
      <c r="A166" s="217" t="inlineStr">
        <is>
          <t>LANDSKRONA (S)</t>
        </is>
      </c>
      <c r="B166" s="210" t="inlineStr">
        <is>
          <t>E</t>
        </is>
      </c>
      <c r="C166" s="211" t="n">
        <v>2020</v>
      </c>
      <c r="D166" s="211">
        <f>+MAXA(_xlfn.CEILING.MATH(C166/60)+2,1)</f>
        <v/>
      </c>
      <c r="E166" s="915" t="n">
        <v>130</v>
      </c>
      <c r="F166" s="915" t="n">
        <v>300</v>
      </c>
      <c r="G166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66" s="294" t="inlineStr">
        <is>
          <t>LANDSKRONA (S)</t>
        </is>
      </c>
      <c r="I166" s="210" t="inlineStr">
        <is>
          <t>E</t>
        </is>
      </c>
      <c r="J166" s="211" t="n">
        <v>1480</v>
      </c>
      <c r="K166" s="211">
        <f>+MAXA(_xlfn.CEILING.MATH(J166/60)+2,1)</f>
        <v/>
      </c>
      <c r="L166" s="917" t="n">
        <v>65</v>
      </c>
      <c r="M166" s="917" t="n">
        <v>300</v>
      </c>
      <c r="N166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66" s="294" t="inlineStr">
        <is>
          <t>LANDSKRONA (S)</t>
        </is>
      </c>
      <c r="P166" s="210" t="inlineStr">
        <is>
          <t>G</t>
        </is>
      </c>
      <c r="Q166" s="211" t="n">
        <v>1980</v>
      </c>
      <c r="R166" s="211">
        <f>+MAXA(_xlfn.CEILING.MATH(Q166/60)+2,1)</f>
        <v/>
      </c>
      <c r="S166" s="917" t="n">
        <v>130</v>
      </c>
      <c r="T166" s="917" t="n">
        <v>300</v>
      </c>
      <c r="U166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67">
      <c r="A167" s="217" t="inlineStr">
        <is>
          <t>LANUVIO (RM)</t>
        </is>
      </c>
      <c r="B167" s="210" t="inlineStr">
        <is>
          <t>A</t>
        </is>
      </c>
      <c r="C167" s="211" t="n">
        <v>30</v>
      </c>
      <c r="D167" s="211">
        <f>+MAXA(_xlfn.CEILING.MATH(C167/60)+2,1)</f>
        <v/>
      </c>
      <c r="E167" s="915" t="n">
        <v>0</v>
      </c>
      <c r="F167" s="915" t="n">
        <v>0</v>
      </c>
      <c r="G167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67" s="294" t="inlineStr">
        <is>
          <t>LANUVIO (RM)</t>
        </is>
      </c>
      <c r="I167" s="210" t="inlineStr">
        <is>
          <t>A</t>
        </is>
      </c>
      <c r="J167" s="211" t="n">
        <v>630</v>
      </c>
      <c r="K167" s="211">
        <f>+MAXA(_xlfn.CEILING.MATH(J167/60)+2,1)</f>
        <v/>
      </c>
      <c r="L167" s="917" t="n">
        <v>50</v>
      </c>
      <c r="M167" s="917" t="n">
        <v>0</v>
      </c>
      <c r="N167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67" s="294" t="inlineStr">
        <is>
          <t>LANUVIO (RM)</t>
        </is>
      </c>
      <c r="P167" s="210" t="inlineStr">
        <is>
          <t>C</t>
        </is>
      </c>
      <c r="Q167" s="211" t="n">
        <v>235</v>
      </c>
      <c r="R167" s="211">
        <f>+MAXA(_xlfn.CEILING.MATH(Q167/60)+2,1)</f>
        <v/>
      </c>
      <c r="S167" s="917" t="n">
        <v>19</v>
      </c>
      <c r="T167" s="917" t="n">
        <v>0</v>
      </c>
      <c r="U167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68">
      <c r="A168" s="217" t="inlineStr">
        <is>
          <t>L'AQUILA (AQ)</t>
        </is>
      </c>
      <c r="B168" s="210" t="inlineStr">
        <is>
          <t>C</t>
        </is>
      </c>
      <c r="C168" s="211" t="n">
        <v>150</v>
      </c>
      <c r="D168" s="211">
        <f>+MAXA(_xlfn.CEILING.MATH(C168/60)+2,1)</f>
        <v/>
      </c>
      <c r="E168" s="915" t="n">
        <v>12</v>
      </c>
      <c r="F168" s="915" t="n">
        <v>0</v>
      </c>
      <c r="G168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68" s="217" t="inlineStr">
        <is>
          <t>L'AQUILA (AQ)</t>
        </is>
      </c>
      <c r="I168" s="210" t="inlineStr">
        <is>
          <t>C</t>
        </is>
      </c>
      <c r="J168" s="211" t="n">
        <v>640</v>
      </c>
      <c r="K168" s="211">
        <f>+MAXA(_xlfn.CEILING.MATH(J168/60)+2,1)</f>
        <v/>
      </c>
      <c r="L168" s="916" t="n">
        <v>52</v>
      </c>
      <c r="M168" s="917" t="n">
        <v>0</v>
      </c>
      <c r="N168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68" s="217" t="inlineStr">
        <is>
          <t>L'AQUILA (AQ)</t>
        </is>
      </c>
      <c r="P168" s="210" t="inlineStr">
        <is>
          <t>C</t>
        </is>
      </c>
      <c r="Q168" s="211" t="n">
        <v>93</v>
      </c>
      <c r="R168" s="211">
        <f>+MAXA(_xlfn.CEILING.MATH(Q168/60)+2,1)</f>
        <v/>
      </c>
      <c r="S168" s="916" t="n">
        <v>7</v>
      </c>
      <c r="T168" s="916" t="n">
        <v>0</v>
      </c>
      <c r="U168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69">
      <c r="A169" s="217" t="inlineStr">
        <is>
          <t>LARIANO (RM)</t>
        </is>
      </c>
      <c r="B169" s="210" t="inlineStr">
        <is>
          <t>A</t>
        </is>
      </c>
      <c r="C169" s="211" t="n">
        <v>60</v>
      </c>
      <c r="D169" s="211">
        <f>+MAXA(_xlfn.CEILING.MATH(C169/60)+2,1)</f>
        <v/>
      </c>
      <c r="E169" s="915" t="n">
        <v>0</v>
      </c>
      <c r="F169" s="915" t="n">
        <v>0</v>
      </c>
      <c r="G169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69" s="294" t="inlineStr">
        <is>
          <t>LARIANO (RM)</t>
        </is>
      </c>
      <c r="I169" s="210" t="inlineStr">
        <is>
          <t>A</t>
        </is>
      </c>
      <c r="J169" s="211" t="n">
        <v>675</v>
      </c>
      <c r="K169" s="211">
        <f>+MAXA(_xlfn.CEILING.MATH(J169/60)+2,1)</f>
        <v/>
      </c>
      <c r="L169" s="916" t="n">
        <v>55</v>
      </c>
      <c r="M169" s="917" t="n">
        <v>0</v>
      </c>
      <c r="N169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69" s="294" t="inlineStr">
        <is>
          <t>LARIANO (RM)</t>
        </is>
      </c>
      <c r="P169" s="210" t="inlineStr">
        <is>
          <t>C</t>
        </is>
      </c>
      <c r="Q169" s="211" t="n">
        <v>225</v>
      </c>
      <c r="R169" s="211">
        <f>+MAXA(_xlfn.CEILING.MATH(Q169/60)+2,1)</f>
        <v/>
      </c>
      <c r="S169" s="916" t="n">
        <v>19</v>
      </c>
      <c r="T169" s="916" t="n">
        <v>0</v>
      </c>
      <c r="U169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70">
      <c r="A170" s="217" t="inlineStr">
        <is>
          <t>LATINA (LT)</t>
        </is>
      </c>
      <c r="B170" s="210" t="inlineStr">
        <is>
          <t>A</t>
        </is>
      </c>
      <c r="C170" s="211" t="n">
        <v>45</v>
      </c>
      <c r="D170" s="211">
        <f>+MAXA(_xlfn.CEILING.MATH(C170/60)+2,1)</f>
        <v/>
      </c>
      <c r="E170" s="915" t="n">
        <v>0</v>
      </c>
      <c r="F170" s="915" t="n">
        <v>0</v>
      </c>
      <c r="G170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70" s="217" t="inlineStr">
        <is>
          <t>LATINA (LT)</t>
        </is>
      </c>
      <c r="I170" s="210" t="inlineStr">
        <is>
          <t>A</t>
        </is>
      </c>
      <c r="J170" s="211" t="n">
        <v>670</v>
      </c>
      <c r="K170" s="211">
        <f>+MAXA(_xlfn.CEILING.MATH(J170/60)+2,1)</f>
        <v/>
      </c>
      <c r="L170" s="916" t="n">
        <v>50</v>
      </c>
      <c r="M170" s="917" t="n">
        <v>0</v>
      </c>
      <c r="N170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70" s="217" t="inlineStr">
        <is>
          <t>LATINA (LT)</t>
        </is>
      </c>
      <c r="P170" s="210" t="inlineStr">
        <is>
          <t>D</t>
        </is>
      </c>
      <c r="Q170" s="211" t="n">
        <v>245</v>
      </c>
      <c r="R170" s="211">
        <f>+MAXA(_xlfn.CEILING.MATH(Q170/60)+2,1)</f>
        <v/>
      </c>
      <c r="S170" s="916" t="n">
        <v>12</v>
      </c>
      <c r="T170" s="916" t="n">
        <v>0</v>
      </c>
      <c r="U170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71">
      <c r="A171" s="217" t="inlineStr">
        <is>
          <t>LAUTERACH (A)</t>
        </is>
      </c>
      <c r="B171" s="210" t="inlineStr">
        <is>
          <t>F</t>
        </is>
      </c>
      <c r="C171" s="211" t="n">
        <v>918</v>
      </c>
      <c r="D171" s="211">
        <f>+MAXA(_xlfn.CEILING.MATH(C171/60)+2,1)</f>
        <v/>
      </c>
      <c r="E171" s="915" t="n">
        <v>60</v>
      </c>
      <c r="F171" s="915" t="n">
        <v>0</v>
      </c>
      <c r="G171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71" s="294" t="inlineStr">
        <is>
          <t>LAUTERACH (A)</t>
        </is>
      </c>
      <c r="I171" s="210" t="inlineStr">
        <is>
          <t>F</t>
        </is>
      </c>
      <c r="J171" s="211" t="n">
        <v>330</v>
      </c>
      <c r="K171" s="211">
        <f>+MAXA(_xlfn.CEILING.MATH(J171/60)+2,1)</f>
        <v/>
      </c>
      <c r="L171" s="917" t="n">
        <v>10</v>
      </c>
      <c r="M171" s="917" t="n">
        <v>0</v>
      </c>
      <c r="N171" s="917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71" s="294" t="inlineStr">
        <is>
          <t>LAUTERACH (A)</t>
        </is>
      </c>
      <c r="P171" s="210" t="inlineStr">
        <is>
          <t>F</t>
        </is>
      </c>
      <c r="Q171" s="211" t="n">
        <v>880</v>
      </c>
      <c r="R171" s="211">
        <f>+MAXA(_xlfn.CEILING.MATH(Q171/60)+2,1)</f>
        <v/>
      </c>
      <c r="S171" s="917" t="n">
        <v>55</v>
      </c>
      <c r="T171" s="916" t="n">
        <v>0</v>
      </c>
      <c r="U171" s="917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72">
      <c r="A172" s="217" t="inlineStr">
        <is>
          <t>LE HAVRE PORT (F)</t>
        </is>
      </c>
      <c r="B172" s="210" t="inlineStr">
        <is>
          <t>F</t>
        </is>
      </c>
      <c r="C172" s="211" t="n">
        <v>1645</v>
      </c>
      <c r="D172" s="211">
        <f>+MAXA(_xlfn.CEILING.MATH(C172/60)+2,1)</f>
        <v/>
      </c>
      <c r="E172" s="915" t="n">
        <v>210</v>
      </c>
      <c r="F172" s="915" t="n">
        <v>0</v>
      </c>
      <c r="G172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72" s="294" t="inlineStr">
        <is>
          <t>LE HAVRE PORT (F)</t>
        </is>
      </c>
      <c r="I172" s="210" t="inlineStr">
        <is>
          <t>F</t>
        </is>
      </c>
      <c r="J172" s="211" t="n">
        <v>1070</v>
      </c>
      <c r="K172" s="211">
        <f>+MAXA(_xlfn.CEILING.MATH(J172/60)+2,1)</f>
        <v/>
      </c>
      <c r="L172" s="917" t="n">
        <v>60</v>
      </c>
      <c r="M172" s="917" t="n">
        <v>0</v>
      </c>
      <c r="N172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72" s="294" t="inlineStr">
        <is>
          <t>LE HAVRE PORT (F)</t>
        </is>
      </c>
      <c r="P172" s="210" t="inlineStr">
        <is>
          <t>G</t>
        </is>
      </c>
      <c r="Q172" s="211" t="n">
        <v>1605</v>
      </c>
      <c r="R172" s="211">
        <f>+MAXA(_xlfn.CEILING.MATH(Q172/60)+2,1)</f>
        <v/>
      </c>
      <c r="S172" s="917" t="n">
        <v>230</v>
      </c>
      <c r="T172" s="917" t="n">
        <v>0</v>
      </c>
      <c r="U172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73">
      <c r="A173" s="217" t="inlineStr">
        <is>
          <t>LECCE (LE)</t>
        </is>
      </c>
      <c r="B173" s="210" t="inlineStr">
        <is>
          <t>F</t>
        </is>
      </c>
      <c r="C173" s="211" t="n">
        <v>610</v>
      </c>
      <c r="D173" s="211">
        <f>+MAXA(_xlfn.CEILING.MATH(C173/60)+2,1)</f>
        <v/>
      </c>
      <c r="E173" s="915" t="n">
        <v>30</v>
      </c>
      <c r="F173" s="915" t="n">
        <v>0</v>
      </c>
      <c r="G173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73" s="217" t="inlineStr">
        <is>
          <t>LECCE (LE)</t>
        </is>
      </c>
      <c r="I173" s="210" t="inlineStr">
        <is>
          <t>F</t>
        </is>
      </c>
      <c r="J173" s="211" t="n">
        <v>1060</v>
      </c>
      <c r="K173" s="211">
        <f>+MAXA(_xlfn.CEILING.MATH(J173/60)+2,1)</f>
        <v/>
      </c>
      <c r="L173" s="916" t="n">
        <v>75</v>
      </c>
      <c r="M173" s="917" t="n">
        <v>0</v>
      </c>
      <c r="N173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73" s="217" t="inlineStr">
        <is>
          <t>LECCE (LE)</t>
        </is>
      </c>
      <c r="P173" s="210" t="inlineStr">
        <is>
          <t>F</t>
        </is>
      </c>
      <c r="Q173" s="211" t="n">
        <v>462</v>
      </c>
      <c r="R173" s="211">
        <f>+MAXA(_xlfn.CEILING.MATH(Q173/60)+2,1)</f>
        <v/>
      </c>
      <c r="S173" s="916" t="n">
        <v>23</v>
      </c>
      <c r="T173" s="916" t="n">
        <v>0</v>
      </c>
      <c r="U173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74">
      <c r="A174" s="217" t="inlineStr">
        <is>
          <t>LECCO (LC)</t>
        </is>
      </c>
      <c r="B174" s="210" t="inlineStr">
        <is>
          <t>A</t>
        </is>
      </c>
      <c r="C174" s="211" t="n">
        <v>670</v>
      </c>
      <c r="D174" s="211">
        <f>+MAXA(_xlfn.CEILING.MATH(C174/60)+2,1)</f>
        <v/>
      </c>
      <c r="E174" s="915" t="n">
        <v>50</v>
      </c>
      <c r="F174" s="915" t="n"/>
      <c r="G174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74" s="217" t="inlineStr">
        <is>
          <t>LECCO (LC)</t>
        </is>
      </c>
      <c r="I174" s="210" t="inlineStr">
        <is>
          <t>A</t>
        </is>
      </c>
      <c r="J174" s="211" t="n">
        <v>32</v>
      </c>
      <c r="K174" s="211">
        <f>+MAXA(_xlfn.CEILING.MATH(J174/60)+2,1)</f>
        <v/>
      </c>
      <c r="L174" s="917" t="n">
        <v>0</v>
      </c>
      <c r="M174" s="917" t="n"/>
      <c r="N174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74" s="217" t="inlineStr">
        <is>
          <t>LECCO (LC)</t>
        </is>
      </c>
      <c r="P174" s="210" t="inlineStr">
        <is>
          <t>E</t>
        </is>
      </c>
      <c r="Q174" s="211" t="n">
        <v>620</v>
      </c>
      <c r="R174" s="211">
        <f>+MAXA(_xlfn.CEILING.MATH(Q174/60)+2,1)</f>
        <v/>
      </c>
      <c r="S174" s="917" t="n">
        <v>46</v>
      </c>
      <c r="T174" s="917" t="n">
        <v>0</v>
      </c>
      <c r="U174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75">
      <c r="A175" s="217" t="inlineStr">
        <is>
          <t>LICATA (AG)</t>
        </is>
      </c>
      <c r="B175" s="210" t="inlineStr">
        <is>
          <t>E</t>
        </is>
      </c>
      <c r="C175" s="211" t="n">
        <v>950</v>
      </c>
      <c r="D175" s="211">
        <f>+MAXA(_xlfn.CEILING.MATH(C175/60)+2,1)</f>
        <v/>
      </c>
      <c r="E175" s="915" t="n">
        <v>25</v>
      </c>
      <c r="F175" s="915" t="n">
        <v>170</v>
      </c>
      <c r="G175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75" s="294" t="inlineStr">
        <is>
          <t>LICATA (AG)</t>
        </is>
      </c>
      <c r="I175" s="210" t="inlineStr">
        <is>
          <t>E</t>
        </is>
      </c>
      <c r="J175" s="211" t="n">
        <v>1502</v>
      </c>
      <c r="K175" s="211">
        <f>+MAXA(_xlfn.CEILING.MATH(J175/60)+2,1)</f>
        <v/>
      </c>
      <c r="L175" s="917" t="n">
        <v>75</v>
      </c>
      <c r="M175" s="917" t="n">
        <v>170</v>
      </c>
      <c r="N175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75" s="294" t="inlineStr">
        <is>
          <t>LICATA (AG)</t>
        </is>
      </c>
      <c r="P175" s="210" t="inlineStr">
        <is>
          <t>G</t>
        </is>
      </c>
      <c r="Q175" s="211" t="n">
        <v>940</v>
      </c>
      <c r="R175" s="211">
        <f>+MAXA(_xlfn.CEILING.MATH(Q175/60)+2,1)</f>
        <v/>
      </c>
      <c r="S175" s="917" t="n">
        <v>18</v>
      </c>
      <c r="T175" s="917" t="n">
        <v>170</v>
      </c>
      <c r="U175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76">
      <c r="A176" s="217" t="inlineStr">
        <is>
          <t>LISBONA (P)</t>
        </is>
      </c>
      <c r="B176" s="210" t="inlineStr">
        <is>
          <t>F</t>
        </is>
      </c>
      <c r="C176" s="211" t="n">
        <v>2500</v>
      </c>
      <c r="D176" s="211">
        <f>+MAXA(_xlfn.CEILING.MATH(C176/60)+2,1)</f>
        <v/>
      </c>
      <c r="E176" s="915" t="n">
        <v>185</v>
      </c>
      <c r="F176" s="915" t="n">
        <v>0</v>
      </c>
      <c r="G176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76" s="294" t="inlineStr">
        <is>
          <t>LISBONA (P)</t>
        </is>
      </c>
      <c r="I176" s="210" t="inlineStr">
        <is>
          <t>F</t>
        </is>
      </c>
      <c r="J176" s="211" t="n">
        <v>2190</v>
      </c>
      <c r="K176" s="211">
        <f>+MAXA(_xlfn.CEILING.MATH(J176/60)+2,1)</f>
        <v/>
      </c>
      <c r="L176" s="916" t="n">
        <v>180</v>
      </c>
      <c r="M176" s="917" t="n">
        <v>0</v>
      </c>
      <c r="N176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76" s="294" t="inlineStr">
        <is>
          <t>LISBONA (P)</t>
        </is>
      </c>
      <c r="P176" s="210" t="inlineStr">
        <is>
          <t>F</t>
        </is>
      </c>
      <c r="Q176" s="211" t="n">
        <v>2650</v>
      </c>
      <c r="R176" s="211">
        <f>+MAXA(_xlfn.CEILING.MATH(Q176/60)+2,1)</f>
        <v/>
      </c>
      <c r="S176" s="916" t="n">
        <v>195</v>
      </c>
      <c r="T176" s="916" t="n">
        <v>0</v>
      </c>
      <c r="U176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77">
      <c r="A177" s="217" t="inlineStr">
        <is>
          <t>LISCATE (MI)</t>
        </is>
      </c>
      <c r="B177" s="210" t="inlineStr">
        <is>
          <t>A</t>
        </is>
      </c>
      <c r="C177" s="211" t="n">
        <v>650</v>
      </c>
      <c r="D177" s="211">
        <f>+MAXA(_xlfn.CEILING.MATH(C177/60)+2,1)</f>
        <v/>
      </c>
      <c r="E177" s="915" t="n">
        <v>50</v>
      </c>
      <c r="F177" s="915" t="n">
        <v>0</v>
      </c>
      <c r="G177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77" s="217" t="inlineStr">
        <is>
          <t>LISCATE (MI)</t>
        </is>
      </c>
      <c r="I177" s="210" t="inlineStr">
        <is>
          <t>A</t>
        </is>
      </c>
      <c r="J177" s="211" t="n">
        <v>30</v>
      </c>
      <c r="K177" s="211">
        <f>+MAXA(_xlfn.CEILING.MATH(J177/60)+2,1)</f>
        <v/>
      </c>
      <c r="L177" s="917" t="n">
        <v>5</v>
      </c>
      <c r="M177" s="917" t="n">
        <v>0</v>
      </c>
      <c r="N177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77" s="217" t="inlineStr">
        <is>
          <t>LISCATE (MI)</t>
        </is>
      </c>
      <c r="P177" s="210" t="inlineStr">
        <is>
          <t>D</t>
        </is>
      </c>
      <c r="Q177" s="211" t="n">
        <v>570</v>
      </c>
      <c r="R177" s="211">
        <f>+MAXA(_xlfn.CEILING.MATH(Q177/60)+2,1)</f>
        <v/>
      </c>
      <c r="S177" s="917" t="n">
        <v>48</v>
      </c>
      <c r="T177" s="917" t="n">
        <v>0</v>
      </c>
      <c r="U177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78">
      <c r="A178" s="217" t="inlineStr">
        <is>
          <t>LIVORNO (LI)</t>
        </is>
      </c>
      <c r="B178" s="210" t="inlineStr">
        <is>
          <t>C</t>
        </is>
      </c>
      <c r="C178" s="211" t="n">
        <v>333</v>
      </c>
      <c r="D178" s="211">
        <f>+MAXA(_xlfn.CEILING.MATH(C178/60)+2,1)</f>
        <v/>
      </c>
      <c r="E178" s="915" t="n">
        <v>6</v>
      </c>
      <c r="F178" s="915" t="n">
        <v>0</v>
      </c>
      <c r="G178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78" s="294" t="inlineStr">
        <is>
          <t>LIVORNO (LI)</t>
        </is>
      </c>
      <c r="I178" s="210" t="inlineStr">
        <is>
          <t>C</t>
        </is>
      </c>
      <c r="J178" s="211" t="n">
        <v>322</v>
      </c>
      <c r="K178" s="211">
        <f>+MAXA(_xlfn.CEILING.MATH(J178/60)+2,1)</f>
        <v/>
      </c>
      <c r="L178" s="917" t="n">
        <v>36</v>
      </c>
      <c r="M178" s="917" t="n">
        <v>0</v>
      </c>
      <c r="N178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78" s="294" t="inlineStr">
        <is>
          <t>LIVORNO (LI)</t>
        </is>
      </c>
      <c r="P178" s="210" t="inlineStr">
        <is>
          <t>F</t>
        </is>
      </c>
      <c r="Q178" s="211" t="n">
        <v>480</v>
      </c>
      <c r="R178" s="211">
        <f>+MAXA(_xlfn.CEILING.MATH(Q178/60)+2,1)</f>
        <v/>
      </c>
      <c r="S178" s="917" t="n">
        <v>16</v>
      </c>
      <c r="T178" s="916" t="n">
        <v>0</v>
      </c>
      <c r="U178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79">
      <c r="A179" s="217" t="inlineStr">
        <is>
          <t>LODI (LO)</t>
        </is>
      </c>
      <c r="B179" s="210" t="inlineStr">
        <is>
          <t>A</t>
        </is>
      </c>
      <c r="C179" s="211" t="n">
        <v>590</v>
      </c>
      <c r="D179" s="211">
        <f>+MAXA(_xlfn.CEILING.MATH(C179/60)+2,1)</f>
        <v/>
      </c>
      <c r="E179" s="915" t="n">
        <v>45</v>
      </c>
      <c r="F179" s="915" t="n">
        <v>0</v>
      </c>
      <c r="G179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79" s="217" t="inlineStr">
        <is>
          <t>LODI (LO)</t>
        </is>
      </c>
      <c r="I179" s="210" t="inlineStr">
        <is>
          <t>A</t>
        </is>
      </c>
      <c r="J179" s="211" t="n">
        <v>50</v>
      </c>
      <c r="K179" s="211">
        <f>+MAXA(_xlfn.CEILING.MATH(J179/60)+2,1)</f>
        <v/>
      </c>
      <c r="L179" s="916" t="n">
        <v>5</v>
      </c>
      <c r="M179" s="917" t="n">
        <v>0</v>
      </c>
      <c r="N179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79" s="217" t="inlineStr">
        <is>
          <t>LODI (LO)</t>
        </is>
      </c>
      <c r="P179" s="210" t="inlineStr">
        <is>
          <t>D</t>
        </is>
      </c>
      <c r="Q179" s="211" t="n">
        <v>540</v>
      </c>
      <c r="R179" s="211">
        <f>+MAXA(_xlfn.CEILING.MATH(Q179/60)+2,1)</f>
        <v/>
      </c>
      <c r="S179" s="916" t="n">
        <v>41</v>
      </c>
      <c r="T179" s="916" t="n">
        <v>0</v>
      </c>
      <c r="U179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80">
      <c r="A180" s="217" t="inlineStr">
        <is>
          <t>LONDRA (UK)</t>
        </is>
      </c>
      <c r="B180" s="210" t="inlineStr">
        <is>
          <t>F</t>
        </is>
      </c>
      <c r="C180" s="211" t="n">
        <v>1950</v>
      </c>
      <c r="D180" s="211">
        <f>+MAXA(_xlfn.CEILING.MATH(C180/60)+2,1)</f>
        <v/>
      </c>
      <c r="E180" s="915" t="n">
        <v>90</v>
      </c>
      <c r="F180" s="915" t="n">
        <v>0</v>
      </c>
      <c r="G180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80" s="294" t="inlineStr">
        <is>
          <t>LONDRA (UK)</t>
        </is>
      </c>
      <c r="I180" s="210" t="inlineStr">
        <is>
          <t>F</t>
        </is>
      </c>
      <c r="J180" s="211" t="n">
        <v>1560</v>
      </c>
      <c r="K180" s="211">
        <f>+MAXA(_xlfn.CEILING.MATH(J180/60)+2,1)</f>
        <v/>
      </c>
      <c r="L180" s="917" t="n">
        <v>45</v>
      </c>
      <c r="M180" s="917" t="n">
        <v>0</v>
      </c>
      <c r="N180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80" s="294" t="inlineStr">
        <is>
          <t>LONDRA (UK)</t>
        </is>
      </c>
      <c r="P180" s="210" t="inlineStr">
        <is>
          <t>G</t>
        </is>
      </c>
      <c r="Q180" s="211" t="n">
        <v>1760</v>
      </c>
      <c r="R180" s="211">
        <f>+MAXA(_xlfn.CEILING.MATH(Q180/60)+2,1)</f>
        <v/>
      </c>
      <c r="S180" s="917" t="n">
        <v>89</v>
      </c>
      <c r="T180" s="917" t="n">
        <v>0</v>
      </c>
      <c r="U180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81">
      <c r="A181" s="217" t="inlineStr">
        <is>
          <t>LOSANNA (CH)</t>
        </is>
      </c>
      <c r="B181" s="210" t="inlineStr">
        <is>
          <t>G</t>
        </is>
      </c>
      <c r="C181" s="211" t="n">
        <v>895</v>
      </c>
      <c r="D181" s="211">
        <f>+MAXA(_xlfn.CEILING.MATH(C181/60)+2,1)</f>
        <v/>
      </c>
      <c r="E181" s="915" t="n">
        <v>92</v>
      </c>
      <c r="F181" s="915" t="n">
        <v>200</v>
      </c>
      <c r="G181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81" s="294" t="inlineStr">
        <is>
          <t>LOSANNA (CH)</t>
        </is>
      </c>
      <c r="I181" s="210" t="inlineStr">
        <is>
          <t>G</t>
        </is>
      </c>
      <c r="J181" s="211" t="n">
        <v>345</v>
      </c>
      <c r="K181" s="211">
        <f>+MAXA(_xlfn.CEILING.MATH(J181/60)+2,1)</f>
        <v/>
      </c>
      <c r="L181" s="917" t="n">
        <v>10</v>
      </c>
      <c r="M181" s="917" t="n">
        <v>200</v>
      </c>
      <c r="N181" s="917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81" s="294" t="inlineStr">
        <is>
          <t>LOSANNA (CH)</t>
        </is>
      </c>
      <c r="P181" s="210" t="inlineStr">
        <is>
          <t>G</t>
        </is>
      </c>
      <c r="Q181" s="211" t="n">
        <v>890</v>
      </c>
      <c r="R181" s="211">
        <f>+MAXA(_xlfn.CEILING.MATH(Q181/60)+2,1)</f>
        <v/>
      </c>
      <c r="S181" s="917" t="n">
        <v>55</v>
      </c>
      <c r="T181" s="917" t="n">
        <v>200</v>
      </c>
      <c r="U181" s="917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82">
      <c r="A182" s="217" t="inlineStr">
        <is>
          <t>LUCCA (LU)</t>
        </is>
      </c>
      <c r="B182" s="210" t="inlineStr">
        <is>
          <t>B</t>
        </is>
      </c>
      <c r="C182" s="211" t="n">
        <v>370</v>
      </c>
      <c r="D182" s="211">
        <f>+MAXA(_xlfn.CEILING.MATH(C182/60)+2,1)</f>
        <v/>
      </c>
      <c r="E182" s="915" t="n">
        <v>15</v>
      </c>
      <c r="F182" s="915" t="n"/>
      <c r="G182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82" s="217" t="inlineStr">
        <is>
          <t>LUCCA (LU)</t>
        </is>
      </c>
      <c r="I182" s="210" t="inlineStr">
        <is>
          <t>B</t>
        </is>
      </c>
      <c r="J182" s="211" t="n">
        <v>310</v>
      </c>
      <c r="K182" s="211">
        <f>+MAXA(_xlfn.CEILING.MATH(J182/60)+2,1)</f>
        <v/>
      </c>
      <c r="L182" s="917" t="n">
        <v>40</v>
      </c>
      <c r="M182" s="917" t="n"/>
      <c r="N182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82" s="217" t="inlineStr">
        <is>
          <t>LUCCA (LU)</t>
        </is>
      </c>
      <c r="P182" s="210" t="inlineStr">
        <is>
          <t>F</t>
        </is>
      </c>
      <c r="Q182" s="211" t="n">
        <v>465</v>
      </c>
      <c r="R182" s="211">
        <f>+MAXA(_xlfn.CEILING.MATH(Q182/60)+2,1)</f>
        <v/>
      </c>
      <c r="S182" s="917" t="n">
        <v>21</v>
      </c>
      <c r="T182" s="917" t="n">
        <v>0</v>
      </c>
      <c r="U182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83">
      <c r="A183" s="217" t="inlineStr">
        <is>
          <t>LUGANO (CH)</t>
        </is>
      </c>
      <c r="B183" s="210" t="inlineStr">
        <is>
          <t>G</t>
        </is>
      </c>
      <c r="C183" s="211" t="n">
        <v>690</v>
      </c>
      <c r="D183" s="211">
        <f>+MAXA(_xlfn.CEILING.MATH(C183/60)+2,1)</f>
        <v/>
      </c>
      <c r="E183" s="915" t="n">
        <v>50</v>
      </c>
      <c r="F183" s="915" t="n">
        <v>200</v>
      </c>
      <c r="G183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83" s="294" t="inlineStr">
        <is>
          <t>LUGANO (CH)</t>
        </is>
      </c>
      <c r="I183" s="210" t="inlineStr">
        <is>
          <t>G</t>
        </is>
      </c>
      <c r="J183" s="211" t="n">
        <v>105</v>
      </c>
      <c r="K183" s="211">
        <f>+MAXA(_xlfn.CEILING.MATH(J183/60)+2,1)</f>
        <v/>
      </c>
      <c r="L183" s="917" t="n">
        <v>6</v>
      </c>
      <c r="M183" s="917" t="n">
        <v>200</v>
      </c>
      <c r="N183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83" s="294" t="inlineStr">
        <is>
          <t>LUGANO (CH)</t>
        </is>
      </c>
      <c r="P183" s="210" t="inlineStr">
        <is>
          <t>G</t>
        </is>
      </c>
      <c r="Q183" s="211" t="n">
        <v>650</v>
      </c>
      <c r="R183" s="211">
        <f>+MAXA(_xlfn.CEILING.MATH(Q183/60)+2,1)</f>
        <v/>
      </c>
      <c r="S183" s="917" t="n">
        <v>50</v>
      </c>
      <c r="T183" s="917" t="n">
        <v>200</v>
      </c>
      <c r="U183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84">
      <c r="A184" s="217" t="inlineStr">
        <is>
          <t>LUIS SIMOES LOGISTICA-MATO-IO (P)</t>
        </is>
      </c>
      <c r="B184" s="210" t="inlineStr">
        <is>
          <t>F</t>
        </is>
      </c>
      <c r="C184" s="211" t="n">
        <v>2331</v>
      </c>
      <c r="D184" s="211">
        <f>+MAXA(_xlfn.CEILING.MATH(C184/60)+2,1)</f>
        <v/>
      </c>
      <c r="E184" s="915" t="n">
        <v>175</v>
      </c>
      <c r="F184" s="915" t="n">
        <v>0</v>
      </c>
      <c r="G184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84" s="294" t="inlineStr">
        <is>
          <t>LUIS SIMOES LOGISTICA-MATO-IO (P)</t>
        </is>
      </c>
      <c r="I184" s="210" t="inlineStr">
        <is>
          <t>F</t>
        </is>
      </c>
      <c r="J184" s="211" t="n">
        <v>1998</v>
      </c>
      <c r="K184" s="211">
        <f>+MAXA(_xlfn.CEILING.MATH(J184/60)+2,1)</f>
        <v/>
      </c>
      <c r="L184" s="917" t="n">
        <v>227</v>
      </c>
      <c r="M184" s="917" t="n">
        <v>0</v>
      </c>
      <c r="N184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84" s="294" t="inlineStr">
        <is>
          <t>LUIS SIMOES LOGISTICA-MATO-IO (P)</t>
        </is>
      </c>
      <c r="P184" s="210" t="inlineStr">
        <is>
          <t>F</t>
        </is>
      </c>
      <c r="Q184" s="211" t="n">
        <v>2521</v>
      </c>
      <c r="R184" s="211">
        <f>+MAXA(_xlfn.CEILING.MATH(Q184/60)+2,1)</f>
        <v/>
      </c>
      <c r="S184" s="917" t="n">
        <v>195</v>
      </c>
      <c r="T184" s="917" t="n">
        <v>0</v>
      </c>
      <c r="U184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85">
      <c r="A185" s="217" t="inlineStr">
        <is>
          <t>LUSSEMBURGO (L)</t>
        </is>
      </c>
      <c r="B185" s="210" t="inlineStr">
        <is>
          <t>F</t>
        </is>
      </c>
      <c r="C185" s="211" t="n">
        <v>1320</v>
      </c>
      <c r="D185" s="211">
        <f>+MAXA(_xlfn.CEILING.MATH(C185/60)+2,1)</f>
        <v/>
      </c>
      <c r="E185" s="915" t="n">
        <v>70</v>
      </c>
      <c r="F185" s="915" t="n">
        <v>0</v>
      </c>
      <c r="G185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85" s="217" t="inlineStr">
        <is>
          <t>LUSSEMBURGO (L)</t>
        </is>
      </c>
      <c r="I185" s="210" t="inlineStr">
        <is>
          <t>F</t>
        </is>
      </c>
      <c r="J185" s="211" t="n">
        <v>720</v>
      </c>
      <c r="K185" s="211">
        <f>+MAXA(_xlfn.CEILING.MATH(J185/60)+2,1)</f>
        <v/>
      </c>
      <c r="L185" s="917" t="n">
        <v>30</v>
      </c>
      <c r="M185" s="917" t="n">
        <v>0</v>
      </c>
      <c r="N185" s="917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85" s="217" t="inlineStr">
        <is>
          <t>LUSSEMBURGO (L)</t>
        </is>
      </c>
      <c r="P185" s="210" t="inlineStr">
        <is>
          <t>G</t>
        </is>
      </c>
      <c r="Q185" s="211" t="n">
        <v>1260</v>
      </c>
      <c r="R185" s="211">
        <f>+MAXA(_xlfn.CEILING.MATH(Q185/60)+2,1)</f>
        <v/>
      </c>
      <c r="S185" s="917" t="n">
        <v>70</v>
      </c>
      <c r="T185" s="916" t="n">
        <v>0</v>
      </c>
      <c r="U185" s="917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86">
      <c r="A186" s="217" t="inlineStr">
        <is>
          <t>MADRID (E)</t>
        </is>
      </c>
      <c r="B186" s="210" t="inlineStr">
        <is>
          <t>C</t>
        </is>
      </c>
      <c r="C186" s="211" t="n">
        <v>1950</v>
      </c>
      <c r="D186" s="211">
        <f>+MAXA(_xlfn.CEILING.MATH(C186/60)+2,1)</f>
        <v/>
      </c>
      <c r="E186" s="915" t="n">
        <v>115</v>
      </c>
      <c r="F186" s="915" t="n">
        <v>0</v>
      </c>
      <c r="G186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86" s="294" t="inlineStr">
        <is>
          <t>MADRID (E)</t>
        </is>
      </c>
      <c r="I186" s="210" t="inlineStr">
        <is>
          <t>C</t>
        </is>
      </c>
      <c r="J186" s="211" t="n">
        <v>1590</v>
      </c>
      <c r="K186" s="211">
        <f>+MAXA(_xlfn.CEILING.MATH(J186/60)+2,1)</f>
        <v/>
      </c>
      <c r="L186" s="916" t="n">
        <v>110</v>
      </c>
      <c r="M186" s="917" t="n">
        <v>0</v>
      </c>
      <c r="N186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86" s="294" t="inlineStr">
        <is>
          <t>MADRID (E)</t>
        </is>
      </c>
      <c r="P186" s="210" t="inlineStr">
        <is>
          <t>F</t>
        </is>
      </c>
      <c r="Q186" s="211" t="n">
        <v>2050</v>
      </c>
      <c r="R186" s="211">
        <f>+MAXA(_xlfn.CEILING.MATH(Q186/60)+2,1)</f>
        <v/>
      </c>
      <c r="S186" s="916" t="n">
        <v>132</v>
      </c>
      <c r="T186" s="916" t="n">
        <v>0</v>
      </c>
      <c r="U186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87">
      <c r="A187" s="217" t="inlineStr">
        <is>
          <t>MAGENTA (MI)</t>
        </is>
      </c>
      <c r="B187" s="210" t="inlineStr">
        <is>
          <t>A</t>
        </is>
      </c>
      <c r="C187" s="211" t="n">
        <v>640</v>
      </c>
      <c r="D187" s="211">
        <f>+MAXA(_xlfn.CEILING.MATH(C187/60)+2,1)</f>
        <v/>
      </c>
      <c r="E187" s="915" t="n">
        <v>45</v>
      </c>
      <c r="F187" s="915" t="n">
        <v>0</v>
      </c>
      <c r="G187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87" s="294" t="inlineStr">
        <is>
          <t>MAGENTA (MI)</t>
        </is>
      </c>
      <c r="I187" s="210" t="inlineStr">
        <is>
          <t>A</t>
        </is>
      </c>
      <c r="J187" s="211" t="n">
        <v>60</v>
      </c>
      <c r="K187" s="211">
        <f>+MAXA(_xlfn.CEILING.MATH(J187/60)+2,1)</f>
        <v/>
      </c>
      <c r="L187" s="916" t="n">
        <v>5</v>
      </c>
      <c r="M187" s="917" t="n">
        <v>0</v>
      </c>
      <c r="N187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87" s="294" t="inlineStr">
        <is>
          <t>MAGENTA (MI)</t>
        </is>
      </c>
      <c r="P187" s="210" t="inlineStr">
        <is>
          <t>D</t>
        </is>
      </c>
      <c r="Q187" s="211" t="n">
        <v>570</v>
      </c>
      <c r="R187" s="211">
        <f>+MAXA(_xlfn.CEILING.MATH(Q187/60)+2,1)</f>
        <v/>
      </c>
      <c r="S187" s="916" t="n">
        <v>48</v>
      </c>
      <c r="T187" s="916" t="n">
        <v>0</v>
      </c>
      <c r="U187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88">
      <c r="A188" s="217" t="inlineStr">
        <is>
          <t>MANCHESTER (UK)</t>
        </is>
      </c>
      <c r="B188" s="210" t="inlineStr">
        <is>
          <t>F</t>
        </is>
      </c>
      <c r="C188" s="211" t="n">
        <v>2150</v>
      </c>
      <c r="D188" s="211">
        <f>+MAXA(_xlfn.CEILING.MATH(C188/60)+2,1)</f>
        <v/>
      </c>
      <c r="E188" s="915" t="n">
        <v>90</v>
      </c>
      <c r="F188" s="915" t="n">
        <v>0</v>
      </c>
      <c r="G188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88" s="294" t="inlineStr">
        <is>
          <t>MANCHESTER (UK)</t>
        </is>
      </c>
      <c r="I188" s="210" t="inlineStr">
        <is>
          <t>F</t>
        </is>
      </c>
      <c r="J188" s="211" t="n">
        <v>1630</v>
      </c>
      <c r="K188" s="211">
        <f>+MAXA(_xlfn.CEILING.MATH(J188/60)+2,1)</f>
        <v/>
      </c>
      <c r="L188" s="917" t="n">
        <v>45</v>
      </c>
      <c r="M188" s="917" t="n">
        <v>0</v>
      </c>
      <c r="N188" s="917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88" s="294" t="inlineStr">
        <is>
          <t>MANCHESTER (UK)</t>
        </is>
      </c>
      <c r="P188" s="210" t="inlineStr">
        <is>
          <t>G</t>
        </is>
      </c>
      <c r="Q188" s="211" t="n">
        <v>2100</v>
      </c>
      <c r="R188" s="211">
        <f>+MAXA(_xlfn.CEILING.MATH(Q188/60)+2,1)</f>
        <v/>
      </c>
      <c r="S188" s="917" t="n">
        <v>89</v>
      </c>
      <c r="T188" s="917" t="n">
        <v>0</v>
      </c>
      <c r="U188" s="917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89">
      <c r="A189" s="217" t="inlineStr">
        <is>
          <t>MANDELLO DEL LARIO (LC)</t>
        </is>
      </c>
      <c r="B189" s="210" t="inlineStr">
        <is>
          <t>A</t>
        </is>
      </c>
      <c r="C189" s="211" t="n">
        <v>680</v>
      </c>
      <c r="D189" s="211">
        <f>+MAXA(_xlfn.CEILING.MATH(C189/60)+2,1)</f>
        <v/>
      </c>
      <c r="E189" s="915" t="n">
        <v>50</v>
      </c>
      <c r="F189" s="915" t="n">
        <v>0</v>
      </c>
      <c r="G189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89" s="294" t="inlineStr">
        <is>
          <t>MANDELLO DEL LARIO (LC)</t>
        </is>
      </c>
      <c r="I189" s="210" t="inlineStr">
        <is>
          <t>A</t>
        </is>
      </c>
      <c r="J189" s="211" t="n">
        <v>50</v>
      </c>
      <c r="K189" s="211">
        <f>+MAXA(_xlfn.CEILING.MATH(J189/60)+2,1)</f>
        <v/>
      </c>
      <c r="L189" s="917" t="n">
        <v>0</v>
      </c>
      <c r="M189" s="917" t="n">
        <v>0</v>
      </c>
      <c r="N189" s="917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89" s="294" t="inlineStr">
        <is>
          <t>MANDELLO DEL LARIO (LC)</t>
        </is>
      </c>
      <c r="P189" s="210" t="inlineStr">
        <is>
          <t>A</t>
        </is>
      </c>
      <c r="Q189" s="211" t="n">
        <v>630</v>
      </c>
      <c r="R189" s="211">
        <f>+MAXA(_xlfn.CEILING.MATH(Q189/60)+2,1)</f>
        <v/>
      </c>
      <c r="S189" s="917" t="n">
        <v>50</v>
      </c>
      <c r="T189" s="916" t="n">
        <v>0</v>
      </c>
      <c r="U189" s="917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90">
      <c r="A190" s="217" t="inlineStr">
        <is>
          <t>MANIPULADOS POLO-CAMPO-PGIO (E)</t>
        </is>
      </c>
      <c r="B190" s="210" t="inlineStr">
        <is>
          <t>C</t>
        </is>
      </c>
      <c r="C190" s="211" t="n">
        <v>1870</v>
      </c>
      <c r="D190" s="211">
        <f>+MAXA(_xlfn.CEILING.MATH(C190/60)+2,1)</f>
        <v/>
      </c>
      <c r="E190" s="915" t="n">
        <v>115</v>
      </c>
      <c r="F190" s="915" t="n">
        <v>0</v>
      </c>
      <c r="G190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90" s="294" t="inlineStr">
        <is>
          <t>MANIPULADOS POLO-CAMPO-PGIO (E)</t>
        </is>
      </c>
      <c r="I190" s="210" t="inlineStr">
        <is>
          <t>C</t>
        </is>
      </c>
      <c r="J190" s="211" t="n">
        <v>1537</v>
      </c>
      <c r="K190" s="211">
        <f>+MAXA(_xlfn.CEILING.MATH(J190/60)+2,1)</f>
        <v/>
      </c>
      <c r="L190" s="917" t="n">
        <v>167</v>
      </c>
      <c r="M190" s="917" t="n">
        <v>0</v>
      </c>
      <c r="N190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90" s="294" t="inlineStr">
        <is>
          <t>MANIPULADOS POLO-CAMPO-PGIO (E)</t>
        </is>
      </c>
      <c r="P190" s="210" t="inlineStr">
        <is>
          <t>F</t>
        </is>
      </c>
      <c r="Q190" s="211" t="n">
        <v>2077</v>
      </c>
      <c r="R190" s="211">
        <f>+MAXA(_xlfn.CEILING.MATH(Q190/60)+2,1)</f>
        <v/>
      </c>
      <c r="S190" s="917" t="n">
        <v>132</v>
      </c>
      <c r="T190" s="917" t="n">
        <v>0</v>
      </c>
      <c r="U190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91">
      <c r="A191" s="217" t="inlineStr">
        <is>
          <t>MANTOVA (MN)</t>
        </is>
      </c>
      <c r="B191" s="210" t="inlineStr">
        <is>
          <t>A</t>
        </is>
      </c>
      <c r="C191" s="211" t="n">
        <v>510</v>
      </c>
      <c r="D191" s="211">
        <f>+MAXA(_xlfn.CEILING.MATH(C191/60)+2,1)</f>
        <v/>
      </c>
      <c r="E191" s="915" t="n">
        <v>35</v>
      </c>
      <c r="F191" s="915" t="n">
        <v>0</v>
      </c>
      <c r="G191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91" s="217" t="inlineStr">
        <is>
          <t>MANTOVA (MN)</t>
        </is>
      </c>
      <c r="I191" s="210" t="inlineStr">
        <is>
          <t>A</t>
        </is>
      </c>
      <c r="J191" s="211" t="n">
        <v>140</v>
      </c>
      <c r="K191" s="211">
        <f>+MAXA(_xlfn.CEILING.MATH(J191/60)+2,1)</f>
        <v/>
      </c>
      <c r="L191" s="916" t="n">
        <v>10</v>
      </c>
      <c r="M191" s="917" t="n">
        <v>0</v>
      </c>
      <c r="N191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91" s="217" t="inlineStr">
        <is>
          <t>MANTOVA (MN)</t>
        </is>
      </c>
      <c r="P191" s="210" t="inlineStr">
        <is>
          <t>E</t>
        </is>
      </c>
      <c r="Q191" s="211" t="n">
        <v>465</v>
      </c>
      <c r="R191" s="211">
        <f>+MAXA(_xlfn.CEILING.MATH(Q191/60)+2,1)</f>
        <v/>
      </c>
      <c r="S191" s="916" t="n">
        <v>35</v>
      </c>
      <c r="T191" s="916" t="n">
        <v>0</v>
      </c>
      <c r="U191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92">
      <c r="A192" s="217" t="inlineStr">
        <is>
          <t>MAROSTICA (VI)</t>
        </is>
      </c>
      <c r="B192" s="210" t="inlineStr">
        <is>
          <t>B</t>
        </is>
      </c>
      <c r="C192" s="211" t="n">
        <v>590</v>
      </c>
      <c r="D192" s="211">
        <f>+MAXA(_xlfn.CEILING.MATH(C192/60)+2,1)</f>
        <v/>
      </c>
      <c r="E192" s="915" t="n">
        <v>42</v>
      </c>
      <c r="F192" s="915" t="n">
        <v>0</v>
      </c>
      <c r="G192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92" s="294" t="inlineStr">
        <is>
          <t>MAROSTICA (VI)</t>
        </is>
      </c>
      <c r="I192" s="210" t="inlineStr">
        <is>
          <t>B</t>
        </is>
      </c>
      <c r="J192" s="211" t="n">
        <v>220</v>
      </c>
      <c r="K192" s="211">
        <f>+MAXA(_xlfn.CEILING.MATH(J192/60)+2,1)</f>
        <v/>
      </c>
      <c r="L192" s="917" t="n">
        <v>12</v>
      </c>
      <c r="M192" s="917" t="n">
        <v>0</v>
      </c>
      <c r="N192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92" s="294" t="inlineStr">
        <is>
          <t>MAROSTICA (VI)</t>
        </is>
      </c>
      <c r="P192" s="210" t="inlineStr">
        <is>
          <t>F</t>
        </is>
      </c>
      <c r="Q192" s="211" t="n">
        <v>525</v>
      </c>
      <c r="R192" s="211">
        <f>+MAXA(_xlfn.CEILING.MATH(Q192/60)+2,1)</f>
        <v/>
      </c>
      <c r="S192" s="917" t="n">
        <v>40</v>
      </c>
      <c r="T192" s="916" t="n">
        <v>0</v>
      </c>
      <c r="U192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93">
      <c r="A193" s="217" t="inlineStr">
        <is>
          <t>MARSALA (TP)</t>
        </is>
      </c>
      <c r="B193" s="210" t="inlineStr">
        <is>
          <t>E</t>
        </is>
      </c>
      <c r="C193" s="211" t="n">
        <v>1062</v>
      </c>
      <c r="D193" s="211">
        <f>+MAXA(_xlfn.CEILING.MATH(C193/60)+2,1)</f>
        <v/>
      </c>
      <c r="E193" s="915" t="n">
        <v>30</v>
      </c>
      <c r="F193" s="915" t="n">
        <v>170</v>
      </c>
      <c r="G193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93" s="294" t="inlineStr">
        <is>
          <t>MARSALA (TP)</t>
        </is>
      </c>
      <c r="I193" s="210" t="inlineStr">
        <is>
          <t>E</t>
        </is>
      </c>
      <c r="J193" s="211" t="n">
        <v>1620</v>
      </c>
      <c r="K193" s="211">
        <f>+MAXA(_xlfn.CEILING.MATH(J193/60)+2,1)</f>
        <v/>
      </c>
      <c r="L193" s="917" t="n">
        <v>81</v>
      </c>
      <c r="M193" s="917" t="n">
        <v>170</v>
      </c>
      <c r="N193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93" s="294" t="inlineStr">
        <is>
          <t>MARSALA (TP)</t>
        </is>
      </c>
      <c r="P193" s="210" t="inlineStr">
        <is>
          <t>F</t>
        </is>
      </c>
      <c r="Q193" s="211" t="n">
        <v>1055</v>
      </c>
      <c r="R193" s="211">
        <f>+MAXA(_xlfn.CEILING.MATH(Q193/60)+2,1)</f>
        <v/>
      </c>
      <c r="S193" s="917" t="n">
        <v>25</v>
      </c>
      <c r="T193" s="917" t="n">
        <v>170</v>
      </c>
      <c r="U193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94">
      <c r="A194" s="217" t="inlineStr">
        <is>
          <t>MASSAFRA (TA)</t>
        </is>
      </c>
      <c r="B194" s="210" t="inlineStr">
        <is>
          <t>B</t>
        </is>
      </c>
      <c r="C194" s="211" t="n">
        <v>515</v>
      </c>
      <c r="D194" s="211">
        <f>+MAXA(_xlfn.CEILING.MATH(C194/60)+2,1)</f>
        <v/>
      </c>
      <c r="E194" s="915" t="n">
        <v>26</v>
      </c>
      <c r="F194" s="915" t="n">
        <v>0</v>
      </c>
      <c r="G194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94" s="294" t="inlineStr">
        <is>
          <t>MASSAFRA (TA)</t>
        </is>
      </c>
      <c r="I194" s="210" t="inlineStr">
        <is>
          <t>C</t>
        </is>
      </c>
      <c r="J194" s="211" t="n">
        <v>975</v>
      </c>
      <c r="K194" s="211">
        <f>+MAXA(_xlfn.CEILING.MATH(J194/60)+2,1)</f>
        <v/>
      </c>
      <c r="L194" s="917" t="n">
        <v>80</v>
      </c>
      <c r="M194" s="917" t="n">
        <v>0</v>
      </c>
      <c r="N194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94" s="294" t="inlineStr">
        <is>
          <t>MASSAFRA (TA)</t>
        </is>
      </c>
      <c r="P194" s="210" t="inlineStr">
        <is>
          <t>F</t>
        </is>
      </c>
      <c r="Q194" s="211" t="n">
        <v>380</v>
      </c>
      <c r="R194" s="211">
        <f>+MAXA(_xlfn.CEILING.MATH(Q194/60)+2,1)</f>
        <v/>
      </c>
      <c r="S194" s="917" t="n">
        <v>27</v>
      </c>
      <c r="T194" s="916" t="n">
        <v>0</v>
      </c>
      <c r="U194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95" ht="13.5" customHeight="1">
      <c r="A195" s="217" t="inlineStr">
        <is>
          <t>MATARÓ (E)</t>
        </is>
      </c>
      <c r="B195" s="210" t="inlineStr">
        <is>
          <t>C</t>
        </is>
      </c>
      <c r="C195" s="211" t="n">
        <v>1345</v>
      </c>
      <c r="D195" s="211">
        <f>+MAXA(_xlfn.CEILING.MATH(C195/60)+2,1)</f>
        <v/>
      </c>
      <c r="E195" s="915" t="n">
        <v>115</v>
      </c>
      <c r="F195" s="915" t="n">
        <v>0</v>
      </c>
      <c r="G195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95" s="294" t="inlineStr">
        <is>
          <t>MATARÓ (E)</t>
        </is>
      </c>
      <c r="I195" s="210" t="inlineStr">
        <is>
          <t>C</t>
        </is>
      </c>
      <c r="J195" s="211" t="n">
        <v>1012</v>
      </c>
      <c r="K195" s="211">
        <f>+MAXA(_xlfn.CEILING.MATH(J195/60)+2,1)</f>
        <v/>
      </c>
      <c r="L195" s="917" t="n">
        <v>167</v>
      </c>
      <c r="M195" s="917" t="n">
        <v>0</v>
      </c>
      <c r="N195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95" s="294" t="inlineStr">
        <is>
          <t>MATARÓ (E)</t>
        </is>
      </c>
      <c r="P195" s="210" t="inlineStr">
        <is>
          <t>F</t>
        </is>
      </c>
      <c r="Q195" s="211" t="n">
        <v>1509</v>
      </c>
      <c r="R195" s="211">
        <f>+MAXA(_xlfn.CEILING.MATH(Q195/60)+2,1)</f>
        <v/>
      </c>
      <c r="S195" s="917" t="n">
        <v>132</v>
      </c>
      <c r="T195" s="917" t="n">
        <v>0</v>
      </c>
      <c r="U195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96">
      <c r="A196" s="217" t="inlineStr">
        <is>
          <t>MATERA (MT)</t>
        </is>
      </c>
      <c r="B196" s="210" t="inlineStr">
        <is>
          <t>B</t>
        </is>
      </c>
      <c r="C196" s="211" t="n">
        <v>440</v>
      </c>
      <c r="D196" s="211">
        <f>+MAXA(_xlfn.CEILING.MATH(C196/60)+2,1)</f>
        <v/>
      </c>
      <c r="E196" s="915" t="n">
        <v>11</v>
      </c>
      <c r="F196" s="915" t="n">
        <v>0</v>
      </c>
      <c r="G196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96" s="217" t="inlineStr">
        <is>
          <t>MATERA (MT)</t>
        </is>
      </c>
      <c r="I196" s="210" t="inlineStr">
        <is>
          <t>B</t>
        </is>
      </c>
      <c r="J196" s="211" t="n">
        <v>930</v>
      </c>
      <c r="K196" s="211">
        <f>+MAXA(_xlfn.CEILING.MATH(J196/60)+2,1)</f>
        <v/>
      </c>
      <c r="L196" s="916" t="n">
        <v>70</v>
      </c>
      <c r="M196" s="917" t="n">
        <v>0</v>
      </c>
      <c r="N196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96" s="217" t="inlineStr">
        <is>
          <t>MATERA (MT)</t>
        </is>
      </c>
      <c r="P196" s="210" t="inlineStr">
        <is>
          <t>D</t>
        </is>
      </c>
      <c r="Q196" s="211" t="n">
        <v>335</v>
      </c>
      <c r="R196" s="211">
        <f>+MAXA(_xlfn.CEILING.MATH(Q196/60)+2,1)</f>
        <v/>
      </c>
      <c r="S196" s="916" t="n">
        <v>18</v>
      </c>
      <c r="T196" s="916" t="n">
        <v>0</v>
      </c>
      <c r="U196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97">
      <c r="A197" s="217" t="inlineStr">
        <is>
          <t>MATOSINHOS (P)</t>
        </is>
      </c>
      <c r="B197" s="210" t="inlineStr">
        <is>
          <t>F</t>
        </is>
      </c>
      <c r="C197" s="211" t="n">
        <v>2331</v>
      </c>
      <c r="D197" s="211">
        <f>+MAXA(_xlfn.CEILING.MATH(C197/60)+2,1)</f>
        <v/>
      </c>
      <c r="E197" s="915" t="n">
        <v>175</v>
      </c>
      <c r="F197" s="915" t="n">
        <v>0</v>
      </c>
      <c r="G197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97" s="294" t="inlineStr">
        <is>
          <t>MATOSINHOS (P)</t>
        </is>
      </c>
      <c r="I197" s="210" t="inlineStr">
        <is>
          <t>F</t>
        </is>
      </c>
      <c r="J197" s="211" t="n">
        <v>1998</v>
      </c>
      <c r="K197" s="211">
        <f>+MAXA(_xlfn.CEILING.MATH(J197/60)+2,1)</f>
        <v/>
      </c>
      <c r="L197" s="917" t="n">
        <v>227</v>
      </c>
      <c r="M197" s="917" t="n">
        <v>0</v>
      </c>
      <c r="N197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97" s="294" t="inlineStr">
        <is>
          <t>MATOSINHOS (P)</t>
        </is>
      </c>
      <c r="P197" s="210" t="inlineStr">
        <is>
          <t>F</t>
        </is>
      </c>
      <c r="Q197" s="211" t="n">
        <v>2521</v>
      </c>
      <c r="R197" s="211">
        <f>+MAXA(_xlfn.CEILING.MATH(Q197/60)+2,1)</f>
        <v/>
      </c>
      <c r="S197" s="917" t="n">
        <v>195</v>
      </c>
      <c r="T197" s="917" t="n">
        <v>0</v>
      </c>
      <c r="U197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98">
      <c r="A198" s="217" t="inlineStr">
        <is>
          <t>MAXHÜTTE-HAIDHOF (D)</t>
        </is>
      </c>
      <c r="B198" s="210" t="inlineStr">
        <is>
          <t>F</t>
        </is>
      </c>
      <c r="C198" s="211" t="n">
        <v>1103</v>
      </c>
      <c r="D198" s="211">
        <f>+MAXA(_xlfn.CEILING.MATH(C198/60)+2,1)</f>
        <v/>
      </c>
      <c r="E198" s="915" t="n">
        <v>84</v>
      </c>
      <c r="F198" s="915" t="n">
        <v>0</v>
      </c>
      <c r="G198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98" s="294" t="inlineStr">
        <is>
          <t>MAXHÜTTE-HAIDHOF (D)</t>
        </is>
      </c>
      <c r="I198" s="210" t="inlineStr">
        <is>
          <t>F</t>
        </is>
      </c>
      <c r="J198" s="211" t="n">
        <v>657</v>
      </c>
      <c r="K198" s="211">
        <f>+MAXA(_xlfn.CEILING.MATH(J198/60)+2,1)</f>
        <v/>
      </c>
      <c r="L198" s="917" t="n">
        <v>63</v>
      </c>
      <c r="M198" s="917" t="n">
        <v>0</v>
      </c>
      <c r="N198" s="917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98" s="294" t="inlineStr">
        <is>
          <t>MAXHÜTTE-HAIDHOF (D)</t>
        </is>
      </c>
      <c r="P198" s="210" t="inlineStr">
        <is>
          <t>G</t>
        </is>
      </c>
      <c r="Q198" s="211" t="n">
        <v>1058</v>
      </c>
      <c r="R198" s="211">
        <f>+MAXA(_xlfn.CEILING.MATH(Q198/60)+2,1)</f>
        <v/>
      </c>
      <c r="S198" s="917" t="n">
        <v>83</v>
      </c>
      <c r="T198" s="917" t="n">
        <v>0</v>
      </c>
      <c r="U198" s="917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199">
      <c r="A199" s="217" t="inlineStr">
        <is>
          <t>MESSINA (ME)</t>
        </is>
      </c>
      <c r="B199" s="210" t="inlineStr">
        <is>
          <t>C</t>
        </is>
      </c>
      <c r="C199" s="211" t="n">
        <v>720</v>
      </c>
      <c r="D199" s="211">
        <f>+MAXA(_xlfn.CEILING.MATH(C199/60)+2,1)</f>
        <v/>
      </c>
      <c r="E199" s="915" t="n">
        <v>25</v>
      </c>
      <c r="F199" s="915" t="n">
        <v>170</v>
      </c>
      <c r="G199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199" s="294" t="inlineStr">
        <is>
          <t>MESSINA (ME)</t>
        </is>
      </c>
      <c r="I199" s="210" t="inlineStr">
        <is>
          <t>C</t>
        </is>
      </c>
      <c r="J199" s="211" t="n">
        <v>1280</v>
      </c>
      <c r="K199" s="211">
        <f>+MAXA(_xlfn.CEILING.MATH(J199/60)+2,1)</f>
        <v/>
      </c>
      <c r="L199" s="916" t="n">
        <v>70</v>
      </c>
      <c r="M199" s="917" t="n">
        <v>170</v>
      </c>
      <c r="N199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199" s="294" t="inlineStr">
        <is>
          <t>MESSINA (ME)</t>
        </is>
      </c>
      <c r="P199" s="210" t="inlineStr">
        <is>
          <t>F</t>
        </is>
      </c>
      <c r="Q199" s="211" t="n">
        <v>710</v>
      </c>
      <c r="R199" s="211">
        <f>+MAXA(_xlfn.CEILING.MATH(Q199/60)+2,1)</f>
        <v/>
      </c>
      <c r="S199" s="916" t="n">
        <v>14</v>
      </c>
      <c r="T199" s="916" t="n">
        <v>170</v>
      </c>
      <c r="U199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00">
      <c r="A200" s="217" t="inlineStr">
        <is>
          <t>MEZZAGO (MB)</t>
        </is>
      </c>
      <c r="B200" s="210" t="inlineStr">
        <is>
          <t>A</t>
        </is>
      </c>
      <c r="C200" s="211" t="n">
        <v>640</v>
      </c>
      <c r="D200" s="211">
        <f>+MAXA(_xlfn.CEILING.MATH(C200/60)+2,1)</f>
        <v/>
      </c>
      <c r="E200" s="915" t="n">
        <v>50</v>
      </c>
      <c r="F200" s="915" t="n"/>
      <c r="G200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00" s="294" t="inlineStr">
        <is>
          <t>MEZZAGO (MB)</t>
        </is>
      </c>
      <c r="I200" s="210" t="inlineStr">
        <is>
          <t>A</t>
        </is>
      </c>
      <c r="J200" s="211" t="n">
        <v>10</v>
      </c>
      <c r="K200" s="211">
        <f>+MAXA(_xlfn.CEILING.MATH(J200/60)+2,1)</f>
        <v/>
      </c>
      <c r="L200" s="916" t="n">
        <v>0</v>
      </c>
      <c r="M200" s="917" t="n"/>
      <c r="N200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00" s="294" t="inlineStr">
        <is>
          <t>MEZZAGO (MB)</t>
        </is>
      </c>
      <c r="P200" s="210" t="inlineStr">
        <is>
          <t>F</t>
        </is>
      </c>
      <c r="Q200" s="211" t="n">
        <v>590</v>
      </c>
      <c r="R200" s="211">
        <f>+MAXA(_xlfn.CEILING.MATH(Q200/60)+2,1)</f>
        <v/>
      </c>
      <c r="S200" s="916" t="n">
        <v>50</v>
      </c>
      <c r="T200" s="916" t="n">
        <v>0</v>
      </c>
      <c r="U200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01">
      <c r="A201" s="217" t="inlineStr">
        <is>
          <t>MILANO (MI)</t>
        </is>
      </c>
      <c r="B201" s="210" t="inlineStr">
        <is>
          <t>A</t>
        </is>
      </c>
      <c r="C201" s="211" t="n">
        <v>620</v>
      </c>
      <c r="D201" s="211">
        <f>+MAXA(_xlfn.CEILING.MATH(C201/60)+2,1)</f>
        <v/>
      </c>
      <c r="E201" s="915" t="n">
        <v>45</v>
      </c>
      <c r="F201" s="915" t="n">
        <v>0</v>
      </c>
      <c r="G201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01" s="217" t="inlineStr">
        <is>
          <t>MILANO (MI)</t>
        </is>
      </c>
      <c r="I201" s="210" t="inlineStr">
        <is>
          <t>A</t>
        </is>
      </c>
      <c r="J201" s="211" t="n">
        <v>40</v>
      </c>
      <c r="K201" s="211">
        <f>+MAXA(_xlfn.CEILING.MATH(J201/60)+2,1)</f>
        <v/>
      </c>
      <c r="L201" s="916" t="n">
        <v>2</v>
      </c>
      <c r="M201" s="917" t="n">
        <v>0</v>
      </c>
      <c r="N201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01" s="217" t="inlineStr">
        <is>
          <t>MILANO (MI)</t>
        </is>
      </c>
      <c r="P201" s="210" t="inlineStr">
        <is>
          <t>D</t>
        </is>
      </c>
      <c r="Q201" s="211" t="n">
        <v>565</v>
      </c>
      <c r="R201" s="211">
        <f>+MAXA(_xlfn.CEILING.MATH(Q201/60)+2,1)</f>
        <v/>
      </c>
      <c r="S201" s="916" t="n">
        <v>44</v>
      </c>
      <c r="T201" s="916" t="n">
        <v>0</v>
      </c>
      <c r="U201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02">
      <c r="A202" s="294" t="inlineStr">
        <is>
          <t>MODENA (MO)</t>
        </is>
      </c>
      <c r="B202" s="210" t="inlineStr">
        <is>
          <t>A</t>
        </is>
      </c>
      <c r="C202" s="211" t="n">
        <v>450</v>
      </c>
      <c r="D202" s="211">
        <f>+MAXA(_xlfn.CEILING.MATH(C202/60)+2,1)</f>
        <v/>
      </c>
      <c r="E202" s="915" t="n">
        <v>35</v>
      </c>
      <c r="F202" s="915" t="n">
        <v>0</v>
      </c>
      <c r="G202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02" s="294" t="inlineStr">
        <is>
          <t>MODENA (MO)</t>
        </is>
      </c>
      <c r="I202" s="210" t="inlineStr">
        <is>
          <t>A</t>
        </is>
      </c>
      <c r="J202" s="211" t="n">
        <v>210</v>
      </c>
      <c r="K202" s="211">
        <f>+MAXA(_xlfn.CEILING.MATH(J202/60)+2,1)</f>
        <v/>
      </c>
      <c r="L202" s="917" t="n">
        <v>20</v>
      </c>
      <c r="M202" s="917" t="n">
        <v>0</v>
      </c>
      <c r="N202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02" s="294" t="inlineStr">
        <is>
          <t>MODENA (MO)</t>
        </is>
      </c>
      <c r="P202" s="210" t="inlineStr">
        <is>
          <t>F</t>
        </is>
      </c>
      <c r="Q202" s="211" t="n">
        <v>400</v>
      </c>
      <c r="R202" s="211">
        <f>+MAXA(_xlfn.CEILING.MATH(Q202/60)+2,1)</f>
        <v/>
      </c>
      <c r="S202" s="917" t="n">
        <v>30</v>
      </c>
      <c r="T202" s="917" t="n">
        <v>0</v>
      </c>
      <c r="U202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03">
      <c r="A203" s="217" t="inlineStr">
        <is>
          <t>MONTA' (CN)</t>
        </is>
      </c>
      <c r="B203" s="210" t="inlineStr">
        <is>
          <t>C</t>
        </is>
      </c>
      <c r="C203" s="211" t="n">
        <v>647</v>
      </c>
      <c r="D203" s="211">
        <f>+MAXA(_xlfn.CEILING.MATH(C203/60)+2,1)</f>
        <v/>
      </c>
      <c r="E203" s="915" t="n">
        <v>43</v>
      </c>
      <c r="F203" s="915" t="n">
        <v>0</v>
      </c>
      <c r="G203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03" s="294" t="inlineStr">
        <is>
          <t>MONTA' (CN)</t>
        </is>
      </c>
      <c r="I203" s="210" t="inlineStr">
        <is>
          <t>C</t>
        </is>
      </c>
      <c r="J203" s="211" t="n">
        <v>190</v>
      </c>
      <c r="K203" s="211">
        <f>+MAXA(_xlfn.CEILING.MATH(J203/60)+2,1)</f>
        <v/>
      </c>
      <c r="L203" s="917" t="n">
        <v>24</v>
      </c>
      <c r="M203" s="917" t="n">
        <v>0</v>
      </c>
      <c r="N203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03" s="294" t="inlineStr">
        <is>
          <t>MONTA' (CN)</t>
        </is>
      </c>
      <c r="P203" s="210" t="inlineStr">
        <is>
          <t>D</t>
        </is>
      </c>
      <c r="Q203" s="211" t="n">
        <v>660</v>
      </c>
      <c r="R203" s="211">
        <f>+MAXA(_xlfn.CEILING.MATH(Q203/60)+2,1)</f>
        <v/>
      </c>
      <c r="S203" s="917" t="n">
        <v>51</v>
      </c>
      <c r="T203" s="916" t="n">
        <v>0</v>
      </c>
      <c r="U203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04">
      <c r="A204" s="217" t="inlineStr">
        <is>
          <t>MONTALCINO (SI)</t>
        </is>
      </c>
      <c r="B204" s="210" t="inlineStr">
        <is>
          <t>B</t>
        </is>
      </c>
      <c r="C204" s="211" t="n">
        <v>250</v>
      </c>
      <c r="D204" s="211">
        <f>+MAXA(_xlfn.CEILING.MATH(C204/60)+2,1)</f>
        <v/>
      </c>
      <c r="E204" s="915" t="n">
        <v>12</v>
      </c>
      <c r="F204" s="915" t="n">
        <v>0</v>
      </c>
      <c r="G204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04" s="294" t="inlineStr">
        <is>
          <t>MONTALCINO (SI)</t>
        </is>
      </c>
      <c r="I204" s="210" t="inlineStr">
        <is>
          <t>B</t>
        </is>
      </c>
      <c r="J204" s="211" t="n">
        <v>430</v>
      </c>
      <c r="K204" s="211">
        <f>+MAXA(_xlfn.CEILING.MATH(J204/60)+2,1)</f>
        <v/>
      </c>
      <c r="L204" s="917" t="n">
        <v>32</v>
      </c>
      <c r="M204" s="917" t="n">
        <v>0</v>
      </c>
      <c r="N204" s="917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04" s="294" t="inlineStr">
        <is>
          <t>MONTALCINO (SI)</t>
        </is>
      </c>
      <c r="P204" s="210" t="inlineStr">
        <is>
          <t>E</t>
        </is>
      </c>
      <c r="Q204" s="211" t="n">
        <v>340</v>
      </c>
      <c r="R204" s="211">
        <f>+MAXA(_xlfn.CEILING.MATH(Q204/60)+2,1)</f>
        <v/>
      </c>
      <c r="S204" s="917" t="n">
        <v>8</v>
      </c>
      <c r="T204" s="917" t="n">
        <v>0</v>
      </c>
      <c r="U204" s="917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05">
      <c r="A205" s="217" t="inlineStr">
        <is>
          <t>MONTE PORZIO C. (RM)</t>
        </is>
      </c>
      <c r="B205" s="210" t="inlineStr">
        <is>
          <t>B</t>
        </is>
      </c>
      <c r="C205" s="211" t="n">
        <v>50</v>
      </c>
      <c r="D205" s="211">
        <f>+MAXA(_xlfn.CEILING.MATH(C205/60)+2,1)</f>
        <v/>
      </c>
      <c r="E205" s="915" t="n">
        <v>1</v>
      </c>
      <c r="F205" s="915" t="n">
        <v>0</v>
      </c>
      <c r="G205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05" s="294" t="inlineStr">
        <is>
          <t>MONTE PORZIO C. (RM)</t>
        </is>
      </c>
      <c r="I205" s="210" t="inlineStr">
        <is>
          <t>B</t>
        </is>
      </c>
      <c r="J205" s="211" t="n">
        <v>625</v>
      </c>
      <c r="K205" s="211">
        <f>+MAXA(_xlfn.CEILING.MATH(J205/60)+2,1)</f>
        <v/>
      </c>
      <c r="L205" s="916" t="n">
        <v>55</v>
      </c>
      <c r="M205" s="917" t="n">
        <v>0</v>
      </c>
      <c r="N205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05" s="294" t="inlineStr">
        <is>
          <t>MONTE PORZIO C. (RM)</t>
        </is>
      </c>
      <c r="P205" s="210" t="inlineStr">
        <is>
          <t>F</t>
        </is>
      </c>
      <c r="Q205" s="211" t="n">
        <v>220</v>
      </c>
      <c r="R205" s="211">
        <f>+MAXA(_xlfn.CEILING.MATH(Q205/60)+2,1)</f>
        <v/>
      </c>
      <c r="S205" s="916" t="n">
        <v>22</v>
      </c>
      <c r="T205" s="916" t="n">
        <v>0</v>
      </c>
      <c r="U205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06">
      <c r="A206" s="217" t="inlineStr">
        <is>
          <t>MONTEVARCHI (AR)</t>
        </is>
      </c>
      <c r="B206" s="210" t="inlineStr">
        <is>
          <t>A</t>
        </is>
      </c>
      <c r="C206" s="211" t="n">
        <v>275</v>
      </c>
      <c r="D206" s="211">
        <f>+MAXA(_xlfn.CEILING.MATH(C206/60)+2,1)</f>
        <v/>
      </c>
      <c r="E206" s="915" t="n">
        <v>17</v>
      </c>
      <c r="F206" s="915" t="n">
        <v>0</v>
      </c>
      <c r="G206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06" s="294" t="inlineStr">
        <is>
          <t>MONTEVARCHI (AR)</t>
        </is>
      </c>
      <c r="I206" s="210" t="inlineStr">
        <is>
          <t>A</t>
        </is>
      </c>
      <c r="J206" s="211" t="n">
        <v>375</v>
      </c>
      <c r="K206" s="211">
        <f>+MAXA(_xlfn.CEILING.MATH(J206/60)+2,1)</f>
        <v/>
      </c>
      <c r="L206" s="917" t="n">
        <v>34</v>
      </c>
      <c r="M206" s="917" t="n">
        <v>0</v>
      </c>
      <c r="N206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06" s="294" t="inlineStr">
        <is>
          <t>MONTEVARCHI (AR)</t>
        </is>
      </c>
      <c r="P206" s="210" t="inlineStr">
        <is>
          <t>D</t>
        </is>
      </c>
      <c r="Q206" s="211" t="n">
        <v>350</v>
      </c>
      <c r="R206" s="211">
        <f>+MAXA(_xlfn.CEILING.MATH(Q206/60)+2,1)</f>
        <v/>
      </c>
      <c r="S206" s="917" t="n">
        <v>12</v>
      </c>
      <c r="T206" s="917" t="n"/>
      <c r="U206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07">
      <c r="A207" s="217" t="inlineStr">
        <is>
          <t>MONZA (MB)</t>
        </is>
      </c>
      <c r="B207" s="210" t="inlineStr">
        <is>
          <t>A</t>
        </is>
      </c>
      <c r="C207" s="211" t="n">
        <v>630</v>
      </c>
      <c r="D207" s="211">
        <f>+MAXA(_xlfn.CEILING.MATH(C207/60)+2,1)</f>
        <v/>
      </c>
      <c r="E207" s="915" t="n">
        <v>50</v>
      </c>
      <c r="F207" s="915" t="n">
        <v>0</v>
      </c>
      <c r="G207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07" s="294" t="inlineStr">
        <is>
          <t>MONZA (MB)</t>
        </is>
      </c>
      <c r="I207" s="210" t="inlineStr">
        <is>
          <t>A</t>
        </is>
      </c>
      <c r="J207" s="211" t="n">
        <v>20</v>
      </c>
      <c r="K207" s="211">
        <f>+MAXA(_xlfn.CEILING.MATH(J207/60)+2,1)</f>
        <v/>
      </c>
      <c r="L207" s="916" t="n">
        <v>0</v>
      </c>
      <c r="M207" s="917" t="n">
        <v>0</v>
      </c>
      <c r="N207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07" s="294" t="inlineStr">
        <is>
          <t>MONZA (MB)</t>
        </is>
      </c>
      <c r="P207" s="210" t="inlineStr">
        <is>
          <t>F</t>
        </is>
      </c>
      <c r="Q207" s="211" t="n">
        <v>580</v>
      </c>
      <c r="R207" s="211">
        <f>+MAXA(_xlfn.CEILING.MATH(Q207/60)+2,1)</f>
        <v/>
      </c>
      <c r="S207" s="916" t="n">
        <v>46</v>
      </c>
      <c r="T207" s="916" t="n">
        <v>0</v>
      </c>
      <c r="U207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08">
      <c r="A208" s="217" t="inlineStr">
        <is>
          <t>MOUSSY-LE-NEUF (F)</t>
        </is>
      </c>
      <c r="B208" s="210" t="inlineStr">
        <is>
          <t>F</t>
        </is>
      </c>
      <c r="C208" s="211" t="n">
        <v>1450</v>
      </c>
      <c r="D208" s="211">
        <f>+MAXA(_xlfn.CEILING.MATH(C208/60)+2,1)</f>
        <v/>
      </c>
      <c r="E208" s="915" t="n">
        <v>180</v>
      </c>
      <c r="F208" s="915" t="n">
        <v>0</v>
      </c>
      <c r="G208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08" s="294" t="inlineStr">
        <is>
          <t>MOUSSY-LE-NEUF (F)</t>
        </is>
      </c>
      <c r="I208" s="210" t="inlineStr">
        <is>
          <t>F</t>
        </is>
      </c>
      <c r="J208" s="211" t="n">
        <v>900</v>
      </c>
      <c r="K208" s="211">
        <f>+MAXA(_xlfn.CEILING.MATH(J208/60)+2,1)</f>
        <v/>
      </c>
      <c r="L208" s="917" t="n">
        <v>32</v>
      </c>
      <c r="M208" s="917" t="n">
        <v>0</v>
      </c>
      <c r="N208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08" s="294" t="inlineStr">
        <is>
          <t>MOUSSY-LE-NEUF (F)</t>
        </is>
      </c>
      <c r="P208" s="210" t="inlineStr">
        <is>
          <t>G</t>
        </is>
      </c>
      <c r="Q208" s="211" t="n">
        <v>1450</v>
      </c>
      <c r="R208" s="211">
        <f>+MAXA(_xlfn.CEILING.MATH(Q208/60)+2,1)</f>
        <v/>
      </c>
      <c r="S208" s="917" t="n">
        <v>195</v>
      </c>
      <c r="T208" s="917" t="n">
        <v>0</v>
      </c>
      <c r="U208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09">
      <c r="A209" s="217" t="inlineStr">
        <is>
          <t>NAPOLI (NA)</t>
        </is>
      </c>
      <c r="B209" s="210" t="inlineStr">
        <is>
          <t>A</t>
        </is>
      </c>
      <c r="C209" s="211" t="n">
        <v>240</v>
      </c>
      <c r="D209" s="211">
        <f>+MAXA(_xlfn.CEILING.MATH(C209/60)+2,1)</f>
        <v/>
      </c>
      <c r="E209" s="915" t="n">
        <v>20</v>
      </c>
      <c r="F209" s="915" t="n">
        <v>0</v>
      </c>
      <c r="G209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09" s="217" t="inlineStr">
        <is>
          <t>NAPOLI (NA)</t>
        </is>
      </c>
      <c r="I209" s="210" t="inlineStr">
        <is>
          <t>A</t>
        </is>
      </c>
      <c r="J209" s="211" t="n">
        <v>800</v>
      </c>
      <c r="K209" s="211">
        <f>+MAXA(_xlfn.CEILING.MATH(J209/60)+2,1)</f>
        <v/>
      </c>
      <c r="L209" s="917" t="n">
        <v>70</v>
      </c>
      <c r="M209" s="917" t="n">
        <v>0</v>
      </c>
      <c r="N209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09" s="217" t="inlineStr">
        <is>
          <t>NAPOLI (NA)</t>
        </is>
      </c>
      <c r="P209" s="210" t="inlineStr">
        <is>
          <t>F</t>
        </is>
      </c>
      <c r="Q209" s="211" t="n">
        <v>255</v>
      </c>
      <c r="R209" s="211">
        <f>+MAXA(_xlfn.CEILING.MATH(Q209/60)+2,1)</f>
        <v/>
      </c>
      <c r="S209" s="917" t="n">
        <v>11</v>
      </c>
      <c r="T209" s="917" t="n"/>
      <c r="U209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10">
      <c r="A210" s="217" t="inlineStr">
        <is>
          <t>NETTUNO (RM)</t>
        </is>
      </c>
      <c r="B210" s="210" t="inlineStr">
        <is>
          <t>A</t>
        </is>
      </c>
      <c r="C210" s="211" t="n">
        <v>40</v>
      </c>
      <c r="D210" s="211">
        <f>+MAXA(_xlfn.CEILING.MATH(C210/60)+2,1)</f>
        <v/>
      </c>
      <c r="E210" s="915" t="n">
        <v>0</v>
      </c>
      <c r="F210" s="915" t="n">
        <v>0</v>
      </c>
      <c r="G210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10" s="294" t="inlineStr">
        <is>
          <t>NETTUNO (RM)</t>
        </is>
      </c>
      <c r="I210" s="210" t="inlineStr">
        <is>
          <t>A</t>
        </is>
      </c>
      <c r="J210" s="211" t="n">
        <v>720</v>
      </c>
      <c r="K210" s="211">
        <f>+MAXA(_xlfn.CEILING.MATH(J210/60)+2,1)</f>
        <v/>
      </c>
      <c r="L210" s="916" t="n">
        <v>50</v>
      </c>
      <c r="M210" s="917" t="n">
        <v>0</v>
      </c>
      <c r="N210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10" s="294" t="inlineStr">
        <is>
          <t>NETTUNO (RM)</t>
        </is>
      </c>
      <c r="P210" s="210" t="inlineStr">
        <is>
          <t>F</t>
        </is>
      </c>
      <c r="Q210" s="211" t="n">
        <v>270</v>
      </c>
      <c r="R210" s="211">
        <f>+MAXA(_xlfn.CEILING.MATH(Q210/60)+2,1)</f>
        <v/>
      </c>
      <c r="S210" s="916" t="n">
        <v>19</v>
      </c>
      <c r="T210" s="916" t="n">
        <v>0</v>
      </c>
      <c r="U210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11">
      <c r="A211" s="217" t="inlineStr">
        <is>
          <t>NOALE (VE)</t>
        </is>
      </c>
      <c r="B211" s="210" t="inlineStr">
        <is>
          <t>B</t>
        </is>
      </c>
      <c r="C211" s="211" t="n">
        <v>560</v>
      </c>
      <c r="D211" s="211">
        <f>+MAXA(_xlfn.CEILING.MATH(C211/60)+2,1)</f>
        <v/>
      </c>
      <c r="E211" s="915" t="n">
        <v>37</v>
      </c>
      <c r="F211" s="915" t="n"/>
      <c r="G211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11" s="294" t="inlineStr">
        <is>
          <t>NOALE (VE)</t>
        </is>
      </c>
      <c r="I211" s="210" t="inlineStr">
        <is>
          <t>B</t>
        </is>
      </c>
      <c r="J211" s="211" t="n">
        <v>240</v>
      </c>
      <c r="K211" s="211">
        <f>+MAXA(_xlfn.CEILING.MATH(J211/60)+2,1)</f>
        <v/>
      </c>
      <c r="L211" s="917" t="n">
        <v>15</v>
      </c>
      <c r="M211" s="917" t="n"/>
      <c r="N211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11" s="294" t="inlineStr">
        <is>
          <t>NOALE (VE)</t>
        </is>
      </c>
      <c r="P211" s="210" t="inlineStr">
        <is>
          <t>F</t>
        </is>
      </c>
      <c r="Q211" s="211" t="n">
        <v>490</v>
      </c>
      <c r="R211" s="211">
        <f>+MAXA(_xlfn.CEILING.MATH(Q211/60)+2,1)</f>
        <v/>
      </c>
      <c r="S211" s="917" t="n">
        <v>35</v>
      </c>
      <c r="T211" s="917" t="n">
        <v>0</v>
      </c>
      <c r="U211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12">
      <c r="A212" s="217" t="inlineStr">
        <is>
          <t>NOGARA (VR)</t>
        </is>
      </c>
      <c r="B212" s="210" t="inlineStr">
        <is>
          <t>A</t>
        </is>
      </c>
      <c r="C212" s="211" t="n">
        <v>520</v>
      </c>
      <c r="D212" s="211">
        <f>+MAXA(_xlfn.CEILING.MATH(C212/60)+2,1)</f>
        <v/>
      </c>
      <c r="E212" s="915" t="n">
        <v>35</v>
      </c>
      <c r="F212" s="915" t="n">
        <v>0</v>
      </c>
      <c r="G212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12" s="294" t="inlineStr">
        <is>
          <t>NOGARA (VR)</t>
        </is>
      </c>
      <c r="I212" s="210" t="inlineStr">
        <is>
          <t>B</t>
        </is>
      </c>
      <c r="J212" s="211" t="n">
        <v>170</v>
      </c>
      <c r="K212" s="211">
        <f>+MAXA(_xlfn.CEILING.MATH(J212/60)+2,1)</f>
        <v/>
      </c>
      <c r="L212" s="916" t="n">
        <v>10</v>
      </c>
      <c r="M212" s="917" t="n">
        <v>0</v>
      </c>
      <c r="N212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12" s="294" t="inlineStr">
        <is>
          <t>NOGARA (VR)</t>
        </is>
      </c>
      <c r="P212" s="210" t="inlineStr">
        <is>
          <t>E</t>
        </is>
      </c>
      <c r="Q212" s="211" t="n">
        <v>460</v>
      </c>
      <c r="R212" s="211">
        <f>+MAXA(_xlfn.CEILING.MATH(Q212/60)+2,1)</f>
        <v/>
      </c>
      <c r="S212" s="916" t="n">
        <v>31</v>
      </c>
      <c r="T212" s="916" t="n">
        <v>0</v>
      </c>
      <c r="U212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13">
      <c r="A213" s="217" t="inlineStr">
        <is>
          <t>NOLA (NA)</t>
        </is>
      </c>
      <c r="B213" s="210" t="inlineStr">
        <is>
          <t>A</t>
        </is>
      </c>
      <c r="C213" s="211" t="n">
        <v>240</v>
      </c>
      <c r="D213" s="211">
        <f>+MAXA(_xlfn.CEILING.MATH(C213/60)+2,1)</f>
        <v/>
      </c>
      <c r="E213" s="915" t="n">
        <v>16</v>
      </c>
      <c r="F213" s="915" t="n">
        <v>0</v>
      </c>
      <c r="G213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13" s="294" t="inlineStr">
        <is>
          <t>NOLA (NA)</t>
        </is>
      </c>
      <c r="I213" s="210" t="inlineStr">
        <is>
          <t>A</t>
        </is>
      </c>
      <c r="J213" s="211" t="n">
        <v>795</v>
      </c>
      <c r="K213" s="211">
        <f>+MAXA(_xlfn.CEILING.MATH(J213/60)+2,1)</f>
        <v/>
      </c>
      <c r="L213" s="917" t="n">
        <v>66</v>
      </c>
      <c r="M213" s="917" t="n">
        <v>0</v>
      </c>
      <c r="N213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13" s="294" t="inlineStr">
        <is>
          <t>NOLA (NA)</t>
        </is>
      </c>
      <c r="P213" s="210" t="inlineStr">
        <is>
          <t>F</t>
        </is>
      </c>
      <c r="Q213" s="211" t="n">
        <v>255</v>
      </c>
      <c r="R213" s="211">
        <f>+MAXA(_xlfn.CEILING.MATH(Q213/60)+2,1)</f>
        <v/>
      </c>
      <c r="S213" s="917" t="n">
        <v>11</v>
      </c>
      <c r="T213" s="917" t="n">
        <v>0</v>
      </c>
      <c r="U213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14">
      <c r="A214" s="217" t="inlineStr">
        <is>
          <t>NOVARA (NO)</t>
        </is>
      </c>
      <c r="B214" s="210" t="inlineStr">
        <is>
          <t>A</t>
        </is>
      </c>
      <c r="C214" s="211" t="n">
        <v>670</v>
      </c>
      <c r="D214" s="211">
        <f>+MAXA(_xlfn.CEILING.MATH(C214/60)+2,1)</f>
        <v/>
      </c>
      <c r="E214" s="915" t="n">
        <v>55</v>
      </c>
      <c r="F214" s="915" t="n">
        <v>0</v>
      </c>
      <c r="G214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14" s="217" t="inlineStr">
        <is>
          <t>NOVARA (NO)</t>
        </is>
      </c>
      <c r="I214" s="210" t="inlineStr">
        <is>
          <t>A</t>
        </is>
      </c>
      <c r="J214" s="211" t="n">
        <v>80</v>
      </c>
      <c r="K214" s="211">
        <f>+MAXA(_xlfn.CEILING.MATH(J214/60)+2,1)</f>
        <v/>
      </c>
      <c r="L214" s="916" t="n">
        <v>10</v>
      </c>
      <c r="M214" s="917" t="n">
        <v>0</v>
      </c>
      <c r="N214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14" s="217" t="inlineStr">
        <is>
          <t>NOVARA (NO)</t>
        </is>
      </c>
      <c r="P214" s="210" t="inlineStr">
        <is>
          <t>F</t>
        </is>
      </c>
      <c r="Q214" s="211" t="n">
        <v>620</v>
      </c>
      <c r="R214" s="211">
        <f>+MAXA(_xlfn.CEILING.MATH(Q214/60)+2,1)</f>
        <v/>
      </c>
      <c r="S214" s="916" t="n">
        <v>52</v>
      </c>
      <c r="T214" s="916" t="n">
        <v>0</v>
      </c>
      <c r="U214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15">
      <c r="A215" s="217" t="inlineStr">
        <is>
          <t>NOVI LIGURE (AL)</t>
        </is>
      </c>
      <c r="B215" s="210" t="inlineStr">
        <is>
          <t>F</t>
        </is>
      </c>
      <c r="C215" s="211" t="n">
        <v>560</v>
      </c>
      <c r="D215" s="211">
        <f>+MAXA(_xlfn.CEILING.MATH(C215/60)+2,1)</f>
        <v/>
      </c>
      <c r="E215" s="915" t="n">
        <v>36</v>
      </c>
      <c r="F215" s="915" t="n">
        <v>0</v>
      </c>
      <c r="G215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15" s="294" t="inlineStr">
        <is>
          <t>NOVI LIGURE (AL)</t>
        </is>
      </c>
      <c r="I215" s="210" t="inlineStr">
        <is>
          <t>F</t>
        </is>
      </c>
      <c r="J215" s="211" t="n">
        <v>140</v>
      </c>
      <c r="K215" s="211">
        <f>+MAXA(_xlfn.CEILING.MATH(J215/60)+2,1)</f>
        <v/>
      </c>
      <c r="L215" s="916" t="n">
        <v>10</v>
      </c>
      <c r="M215" s="917" t="n">
        <v>0</v>
      </c>
      <c r="N215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15" s="294" t="inlineStr">
        <is>
          <t>NOVI LIGURE (AL)</t>
        </is>
      </c>
      <c r="P215" s="210" t="inlineStr">
        <is>
          <t>F</t>
        </is>
      </c>
      <c r="Q215" s="211" t="n">
        <v>605</v>
      </c>
      <c r="R215" s="211">
        <f>+MAXA(_xlfn.CEILING.MATH(Q215/60)+2,1)</f>
        <v/>
      </c>
      <c r="S215" s="916" t="n">
        <v>47</v>
      </c>
      <c r="T215" s="916" t="n">
        <v>0</v>
      </c>
      <c r="U215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16">
      <c r="A216" s="217" t="inlineStr">
        <is>
          <t>NYON (CH)</t>
        </is>
      </c>
      <c r="B216" s="210" t="inlineStr">
        <is>
          <t>G</t>
        </is>
      </c>
      <c r="C216" s="211" t="n">
        <v>909</v>
      </c>
      <c r="D216" s="211">
        <f>+MAXA(_xlfn.CEILING.MATH(C216/60)+2,1)</f>
        <v/>
      </c>
      <c r="E216" s="915" t="n">
        <v>135</v>
      </c>
      <c r="F216" s="915" t="n">
        <v>200</v>
      </c>
      <c r="G216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16" s="294" t="inlineStr">
        <is>
          <t>NYON (CH)</t>
        </is>
      </c>
      <c r="I216" s="210" t="inlineStr">
        <is>
          <t>G</t>
        </is>
      </c>
      <c r="J216" s="211" t="n">
        <v>370</v>
      </c>
      <c r="K216" s="211">
        <f>+MAXA(_xlfn.CEILING.MATH(J216/60)+2,1)</f>
        <v/>
      </c>
      <c r="L216" s="917" t="n">
        <v>105</v>
      </c>
      <c r="M216" s="917" t="n">
        <v>200</v>
      </c>
      <c r="N216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16" s="294" t="inlineStr">
        <is>
          <t>NYON (CH)</t>
        </is>
      </c>
      <c r="P216" s="210" t="inlineStr">
        <is>
          <t>G</t>
        </is>
      </c>
      <c r="Q216" s="211" t="n">
        <v>910</v>
      </c>
      <c r="R216" s="211">
        <f>+MAXA(_xlfn.CEILING.MATH(Q216/60)+2,1)</f>
        <v/>
      </c>
      <c r="S216" s="917" t="n">
        <v>150</v>
      </c>
      <c r="T216" s="917" t="n">
        <v>200</v>
      </c>
      <c r="U216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17">
      <c r="A217" s="217" t="inlineStr">
        <is>
          <t>OOSTRUM (NL)</t>
        </is>
      </c>
      <c r="B217" s="210" t="inlineStr">
        <is>
          <t>E</t>
        </is>
      </c>
      <c r="C217" s="211" t="n">
        <v>1720</v>
      </c>
      <c r="D217" s="211">
        <f>+MAXA(_xlfn.CEILING.MATH(C217/60)+2,1)</f>
        <v/>
      </c>
      <c r="E217" s="915" t="n">
        <v>30</v>
      </c>
      <c r="F217" s="915" t="n">
        <v>0</v>
      </c>
      <c r="G217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17" s="294" t="inlineStr">
        <is>
          <t>OOSTRUM (NL)</t>
        </is>
      </c>
      <c r="I217" s="210" t="inlineStr">
        <is>
          <t>E</t>
        </is>
      </c>
      <c r="J217" s="211" t="n">
        <v>1130</v>
      </c>
      <c r="K217" s="211">
        <f>+MAXA(_xlfn.CEILING.MATH(J217/60)+2,1)</f>
        <v/>
      </c>
      <c r="L217" s="917" t="n">
        <v>30</v>
      </c>
      <c r="M217" s="917" t="n">
        <v>0</v>
      </c>
      <c r="N217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17" s="294" t="inlineStr">
        <is>
          <t>OOSTRUM (NL)</t>
        </is>
      </c>
      <c r="P217" s="210" t="inlineStr">
        <is>
          <t>F</t>
        </is>
      </c>
      <c r="Q217" s="211" t="n">
        <v>1490</v>
      </c>
      <c r="R217" s="211">
        <f>+MAXA(_xlfn.CEILING.MATH(Q217/60)+2,1)</f>
        <v/>
      </c>
      <c r="S217" s="917" t="n">
        <v>55</v>
      </c>
      <c r="T217" s="917" t="n">
        <v>0</v>
      </c>
      <c r="U217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18">
      <c r="A218" s="217" t="inlineStr">
        <is>
          <t>ORTONA (CH)</t>
        </is>
      </c>
      <c r="B218" s="210" t="inlineStr">
        <is>
          <t>C</t>
        </is>
      </c>
      <c r="C218" s="211" t="n">
        <v>260</v>
      </c>
      <c r="D218" s="211">
        <f>+MAXA(_xlfn.CEILING.MATH(C218/60)+2,1)</f>
        <v/>
      </c>
      <c r="E218" s="915" t="n">
        <v>23</v>
      </c>
      <c r="F218" s="915" t="n">
        <v>0</v>
      </c>
      <c r="G218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18" s="294" t="inlineStr">
        <is>
          <t>ORTONA (CH)</t>
        </is>
      </c>
      <c r="I218" s="210" t="inlineStr">
        <is>
          <t>C</t>
        </is>
      </c>
      <c r="J218" s="211" t="n">
        <v>635</v>
      </c>
      <c r="K218" s="211">
        <f>+MAXA(_xlfn.CEILING.MATH(J218/60)+2,1)</f>
        <v/>
      </c>
      <c r="L218" s="917" t="n">
        <v>53</v>
      </c>
      <c r="M218" s="917" t="n">
        <v>0</v>
      </c>
      <c r="N218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18" s="294" t="inlineStr">
        <is>
          <t>ORTONA (CH)</t>
        </is>
      </c>
      <c r="P218" s="210" t="inlineStr">
        <is>
          <t>F</t>
        </is>
      </c>
      <c r="Q218" s="211" t="n">
        <v>33</v>
      </c>
      <c r="R218" s="211">
        <f>+MAXA(_xlfn.CEILING.MATH(Q218/60)+2,1)</f>
        <v/>
      </c>
      <c r="S218" s="917" t="n">
        <v>0</v>
      </c>
      <c r="T218" s="917" t="n">
        <v>0</v>
      </c>
      <c r="U218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19">
      <c r="A219" s="217" t="inlineStr">
        <is>
          <t>ORVIETO (TR)</t>
        </is>
      </c>
      <c r="B219" s="210" t="inlineStr">
        <is>
          <t>C</t>
        </is>
      </c>
      <c r="C219" s="211" t="n">
        <v>160</v>
      </c>
      <c r="D219" s="211">
        <f>+MAXA(_xlfn.CEILING.MATH(C219/60)+2,1)</f>
        <v/>
      </c>
      <c r="E219" s="915" t="n">
        <v>8</v>
      </c>
      <c r="F219" s="915" t="n"/>
      <c r="G219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19" s="294" t="inlineStr">
        <is>
          <t>ORVIETO (TR)</t>
        </is>
      </c>
      <c r="I219" s="210" t="inlineStr">
        <is>
          <t>C</t>
        </is>
      </c>
      <c r="J219" s="211" t="n">
        <v>490</v>
      </c>
      <c r="K219" s="211">
        <f>+MAXA(_xlfn.CEILING.MATH(J219/60)+2,1)</f>
        <v/>
      </c>
      <c r="L219" s="917" t="n">
        <v>45</v>
      </c>
      <c r="M219" s="917" t="n"/>
      <c r="N219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19" s="294" t="inlineStr">
        <is>
          <t>ORVIETO (TR)</t>
        </is>
      </c>
      <c r="P219" s="210" t="inlineStr">
        <is>
          <t>F</t>
        </is>
      </c>
      <c r="Q219" s="211" t="n">
        <v>310</v>
      </c>
      <c r="R219" s="211">
        <f>+MAXA(_xlfn.CEILING.MATH(Q219/60)+2,1)</f>
        <v/>
      </c>
      <c r="S219" s="917" t="n">
        <v>28</v>
      </c>
      <c r="T219" s="917" t="n">
        <v>0</v>
      </c>
      <c r="U219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20">
      <c r="A220" s="217" t="inlineStr">
        <is>
          <t>OSLO (N)</t>
        </is>
      </c>
      <c r="B220" s="210" t="inlineStr">
        <is>
          <t>E</t>
        </is>
      </c>
      <c r="C220" s="211" t="n">
        <v>2700</v>
      </c>
      <c r="D220" s="211">
        <f>+MAXA(_xlfn.CEILING.MATH(C220/60)+2,1)</f>
        <v/>
      </c>
      <c r="E220" s="915" t="n">
        <v>50</v>
      </c>
      <c r="F220" s="915" t="n">
        <v>320</v>
      </c>
      <c r="G220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20" s="294" t="inlineStr">
        <is>
          <t>OSLO (N)</t>
        </is>
      </c>
      <c r="I220" s="210" t="inlineStr">
        <is>
          <t>E</t>
        </is>
      </c>
      <c r="J220" s="211" t="n">
        <v>2250</v>
      </c>
      <c r="K220" s="211">
        <f>+MAXA(_xlfn.CEILING.MATH(J220/60)+2,1)</f>
        <v/>
      </c>
      <c r="L220" s="917" t="n">
        <v>40</v>
      </c>
      <c r="M220" s="917" t="n">
        <v>320</v>
      </c>
      <c r="N220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20" s="294" t="inlineStr">
        <is>
          <t>OSLO (N)</t>
        </is>
      </c>
      <c r="P220" s="210" t="inlineStr">
        <is>
          <t>F</t>
        </is>
      </c>
      <c r="Q220" s="211" t="n">
        <v>2467</v>
      </c>
      <c r="R220" s="211">
        <f>+MAXA(_xlfn.CEILING.MATH(Q220/60)+2,1)</f>
        <v/>
      </c>
      <c r="S220" s="917" t="n">
        <v>70</v>
      </c>
      <c r="T220" s="917" t="n">
        <v>320</v>
      </c>
      <c r="U220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21">
      <c r="A221" s="217" t="inlineStr">
        <is>
          <t>OSTIA (RM)</t>
        </is>
      </c>
      <c r="B221" s="210" t="inlineStr">
        <is>
          <t>A</t>
        </is>
      </c>
      <c r="C221" s="211" t="n">
        <v>30</v>
      </c>
      <c r="D221" s="211">
        <f>+MAXA(_xlfn.CEILING.MATH(C221/60)+2,1)</f>
        <v/>
      </c>
      <c r="E221" s="915" t="n">
        <v>0</v>
      </c>
      <c r="F221" s="915" t="n">
        <v>0</v>
      </c>
      <c r="G221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21" s="294" t="inlineStr">
        <is>
          <t>OSTIA (RM)</t>
        </is>
      </c>
      <c r="I221" s="210" t="inlineStr">
        <is>
          <t>A</t>
        </is>
      </c>
      <c r="J221" s="211" t="n">
        <v>630</v>
      </c>
      <c r="K221" s="211">
        <f>+MAXA(_xlfn.CEILING.MATH(J221/60)+2,1)</f>
        <v/>
      </c>
      <c r="L221" s="916" t="n">
        <v>50</v>
      </c>
      <c r="M221" s="917" t="n">
        <v>0</v>
      </c>
      <c r="N221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21" s="294" t="inlineStr">
        <is>
          <t>OSTIA (RM)</t>
        </is>
      </c>
      <c r="P221" s="210" t="inlineStr">
        <is>
          <t>F</t>
        </is>
      </c>
      <c r="Q221" s="211" t="n">
        <v>245</v>
      </c>
      <c r="R221" s="211">
        <f>+MAXA(_xlfn.CEILING.MATH(Q221/60)+2,1)</f>
        <v/>
      </c>
      <c r="S221" s="916" t="n">
        <v>16</v>
      </c>
      <c r="T221" s="916" t="n">
        <v>0</v>
      </c>
      <c r="U221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22">
      <c r="A222" s="217" t="inlineStr">
        <is>
          <t>P&amp;G MATARO-JIJONA DC (E)</t>
        </is>
      </c>
      <c r="B222" s="210" t="inlineStr">
        <is>
          <t>C</t>
        </is>
      </c>
      <c r="C222" s="211" t="n">
        <v>1834</v>
      </c>
      <c r="D222" s="211">
        <f>+MAXA(_xlfn.CEILING.MATH(C222/60)+2,1)</f>
        <v/>
      </c>
      <c r="E222" s="915" t="n">
        <v>115</v>
      </c>
      <c r="F222" s="915" t="n">
        <v>0</v>
      </c>
      <c r="G222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22" s="294" t="inlineStr">
        <is>
          <t>P&amp;G MATARO-JIJONA DC (E)</t>
        </is>
      </c>
      <c r="I222" s="210" t="inlineStr">
        <is>
          <t>C</t>
        </is>
      </c>
      <c r="J222" s="211" t="n">
        <v>1501</v>
      </c>
      <c r="K222" s="211">
        <f>+MAXA(_xlfn.CEILING.MATH(J222/60)+2,1)</f>
        <v/>
      </c>
      <c r="L222" s="917" t="n">
        <v>167</v>
      </c>
      <c r="M222" s="917" t="n">
        <v>0</v>
      </c>
      <c r="N222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22" s="294" t="inlineStr">
        <is>
          <t>P&amp;G MATARO-JIJONA DC (E)</t>
        </is>
      </c>
      <c r="P222" s="210" t="inlineStr">
        <is>
          <t>F</t>
        </is>
      </c>
      <c r="Q222" s="211" t="n">
        <v>2074</v>
      </c>
      <c r="R222" s="211">
        <f>+MAXA(_xlfn.CEILING.MATH(Q222/60)+2,1)</f>
        <v/>
      </c>
      <c r="S222" s="917" t="n">
        <v>132</v>
      </c>
      <c r="T222" s="917" t="n">
        <v>0</v>
      </c>
      <c r="U222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23">
      <c r="A223" s="217" t="inlineStr">
        <is>
          <t>P&amp;G MATARO-MEQUINENZA (E)</t>
        </is>
      </c>
      <c r="B223" s="210" t="inlineStr">
        <is>
          <t>C</t>
        </is>
      </c>
      <c r="C223" s="211" t="n">
        <v>1550</v>
      </c>
      <c r="D223" s="211">
        <f>+MAXA(_xlfn.CEILING.MATH(C223/60)+2,1)</f>
        <v/>
      </c>
      <c r="E223" s="915" t="n">
        <v>115</v>
      </c>
      <c r="F223" s="915" t="n">
        <v>0</v>
      </c>
      <c r="G223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23" s="294" t="inlineStr">
        <is>
          <t>P&amp;G MATARO-MEQUINENZA (E)</t>
        </is>
      </c>
      <c r="I223" s="210" t="inlineStr">
        <is>
          <t>C</t>
        </is>
      </c>
      <c r="J223" s="211" t="n">
        <v>1180</v>
      </c>
      <c r="K223" s="211">
        <f>+MAXA(_xlfn.CEILING.MATH(J223/60)+2,1)</f>
        <v/>
      </c>
      <c r="L223" s="917" t="n">
        <v>170</v>
      </c>
      <c r="M223" s="917" t="n">
        <v>0</v>
      </c>
      <c r="N223" s="917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23" s="294" t="inlineStr">
        <is>
          <t>P&amp;G MATARO-MEQUINENZA (E)</t>
        </is>
      </c>
      <c r="P223" s="210" t="inlineStr">
        <is>
          <t>F</t>
        </is>
      </c>
      <c r="Q223" s="211" t="n">
        <v>1650</v>
      </c>
      <c r="R223" s="211">
        <f>+MAXA(_xlfn.CEILING.MATH(Q223/60)+2,1)</f>
        <v/>
      </c>
      <c r="S223" s="917" t="n">
        <v>135</v>
      </c>
      <c r="T223" s="917" t="n">
        <v>0</v>
      </c>
      <c r="U223" s="917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24">
      <c r="A224" s="217" t="inlineStr">
        <is>
          <t>PADOVA (PD)</t>
        </is>
      </c>
      <c r="B224" s="210" t="inlineStr">
        <is>
          <t>B</t>
        </is>
      </c>
      <c r="C224" s="211" t="n">
        <v>530</v>
      </c>
      <c r="D224" s="211">
        <f>+MAXA(_xlfn.CEILING.MATH(C224/60)+2,1)</f>
        <v/>
      </c>
      <c r="E224" s="915" t="n">
        <v>40</v>
      </c>
      <c r="F224" s="915" t="n">
        <v>0</v>
      </c>
      <c r="G224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24" s="217" t="inlineStr">
        <is>
          <t>PADOVA (PD)</t>
        </is>
      </c>
      <c r="I224" s="210" t="inlineStr">
        <is>
          <t>B</t>
        </is>
      </c>
      <c r="J224" s="211" t="n">
        <v>220</v>
      </c>
      <c r="K224" s="211">
        <f>+MAXA(_xlfn.CEILING.MATH(J224/60)+2,1)</f>
        <v/>
      </c>
      <c r="L224" s="916" t="n">
        <v>15</v>
      </c>
      <c r="M224" s="917" t="n">
        <v>0</v>
      </c>
      <c r="N224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24" s="217" t="inlineStr">
        <is>
          <t>PADOVA (PD)</t>
        </is>
      </c>
      <c r="P224" s="210" t="inlineStr">
        <is>
          <t>F</t>
        </is>
      </c>
      <c r="Q224" s="211" t="n">
        <v>470</v>
      </c>
      <c r="R224" s="211">
        <f>+MAXA(_xlfn.CEILING.MATH(Q224/60)+2,1)</f>
        <v/>
      </c>
      <c r="S224" s="916" t="n">
        <v>35</v>
      </c>
      <c r="T224" s="916" t="n">
        <v>0</v>
      </c>
      <c r="U224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25">
      <c r="A225" s="217" t="inlineStr">
        <is>
          <t>PAESANA (CN)</t>
        </is>
      </c>
      <c r="B225" s="210" t="inlineStr">
        <is>
          <t>C</t>
        </is>
      </c>
      <c r="C225" s="211" t="n">
        <v>685</v>
      </c>
      <c r="D225" s="211">
        <f>+MAXA(_xlfn.CEILING.MATH(C225/60)+2,1)</f>
        <v/>
      </c>
      <c r="E225" s="915" t="n">
        <v>41</v>
      </c>
      <c r="F225" s="915" t="n">
        <v>0</v>
      </c>
      <c r="G225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25" s="294" t="inlineStr">
        <is>
          <t>PAESANA (CN)</t>
        </is>
      </c>
      <c r="I225" s="210" t="inlineStr">
        <is>
          <t>C</t>
        </is>
      </c>
      <c r="J225" s="211" t="n">
        <v>240</v>
      </c>
      <c r="K225" s="211">
        <f>+MAXA(_xlfn.CEILING.MATH(J225/60)+2,1)</f>
        <v/>
      </c>
      <c r="L225" s="917" t="n">
        <v>25</v>
      </c>
      <c r="M225" s="917" t="n">
        <v>0</v>
      </c>
      <c r="N225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25" s="294" t="inlineStr">
        <is>
          <t>PAESANA (CN)</t>
        </is>
      </c>
      <c r="P225" s="210" t="inlineStr">
        <is>
          <t>D</t>
        </is>
      </c>
      <c r="Q225" s="211" t="n">
        <v>730</v>
      </c>
      <c r="R225" s="211">
        <f>+MAXA(_xlfn.CEILING.MATH(Q225/60)+2,1)</f>
        <v/>
      </c>
      <c r="S225" s="917" t="n">
        <v>60</v>
      </c>
      <c r="T225" s="916" t="n">
        <v>0</v>
      </c>
      <c r="U225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26">
      <c r="A226" s="217" t="inlineStr">
        <is>
          <t>PALERMO (PA)</t>
        </is>
      </c>
      <c r="B226" s="210" t="inlineStr">
        <is>
          <t>E</t>
        </is>
      </c>
      <c r="C226" s="211" t="n">
        <v>950</v>
      </c>
      <c r="D226" s="211">
        <f>+MAXA(_xlfn.CEILING.MATH(C226/60)+2,1)</f>
        <v/>
      </c>
      <c r="E226" s="915" t="n">
        <v>30</v>
      </c>
      <c r="F226" s="915" t="n">
        <v>170</v>
      </c>
      <c r="G226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26" s="294" t="inlineStr">
        <is>
          <t>PALERMO (PA)</t>
        </is>
      </c>
      <c r="I226" s="210" t="inlineStr">
        <is>
          <t>E</t>
        </is>
      </c>
      <c r="J226" s="211" t="n">
        <v>1500</v>
      </c>
      <c r="K226" s="211">
        <f>+MAXA(_xlfn.CEILING.MATH(J226/60)+2,1)</f>
        <v/>
      </c>
      <c r="L226" s="916" t="n">
        <v>80</v>
      </c>
      <c r="M226" s="917" t="n">
        <v>170</v>
      </c>
      <c r="N226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26" s="294" t="inlineStr">
        <is>
          <t>PALERMO (PA)</t>
        </is>
      </c>
      <c r="P226" s="210" t="inlineStr">
        <is>
          <t>F</t>
        </is>
      </c>
      <c r="Q226" s="211" t="n">
        <v>930</v>
      </c>
      <c r="R226" s="211">
        <f>+MAXA(_xlfn.CEILING.MATH(Q226/60)+2,1)</f>
        <v/>
      </c>
      <c r="S226" s="916" t="n">
        <v>25</v>
      </c>
      <c r="T226" s="916" t="n">
        <v>170</v>
      </c>
      <c r="U226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27">
      <c r="A227" s="217" t="inlineStr">
        <is>
          <t>PALIANO (FR)</t>
        </is>
      </c>
      <c r="B227" s="210" t="inlineStr">
        <is>
          <t>C</t>
        </is>
      </c>
      <c r="C227" s="211" t="n">
        <v>81</v>
      </c>
      <c r="D227" s="211">
        <f>+MAXA(_xlfn.CEILING.MATH(C227/60)+2,1)</f>
        <v/>
      </c>
      <c r="E227" s="915" t="n">
        <v>3</v>
      </c>
      <c r="F227" s="915" t="n"/>
      <c r="G227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27" s="294" t="inlineStr">
        <is>
          <t>PALIANO (FR)</t>
        </is>
      </c>
      <c r="I227" s="210" t="inlineStr">
        <is>
          <t>B</t>
        </is>
      </c>
      <c r="J227" s="211" t="n">
        <v>640</v>
      </c>
      <c r="K227" s="211">
        <f>+MAXA(_xlfn.CEILING.MATH(J227/60)+2,1)</f>
        <v/>
      </c>
      <c r="L227" s="917" t="n">
        <v>55</v>
      </c>
      <c r="M227" s="917" t="n">
        <v>0</v>
      </c>
      <c r="N227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27" s="294" t="inlineStr">
        <is>
          <t>PALIANO (FR)</t>
        </is>
      </c>
      <c r="P227" s="210" t="inlineStr">
        <is>
          <t>D</t>
        </is>
      </c>
      <c r="Q227" s="211" t="n">
        <v>205</v>
      </c>
      <c r="R227" s="211">
        <f>+MAXA(_xlfn.CEILING.MATH(Q227/60)+2,1)</f>
        <v/>
      </c>
      <c r="S227" s="917" t="n">
        <v>16</v>
      </c>
      <c r="T227" s="916" t="n">
        <v>0</v>
      </c>
      <c r="U227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28">
      <c r="A228" s="217" t="inlineStr">
        <is>
          <t>PARIGI (F)</t>
        </is>
      </c>
      <c r="B228" s="210" t="inlineStr">
        <is>
          <t>F</t>
        </is>
      </c>
      <c r="C228" s="211" t="n">
        <v>1420</v>
      </c>
      <c r="D228" s="211">
        <f>+MAXA(_xlfn.CEILING.MATH(C228/60)+2,1)</f>
        <v/>
      </c>
      <c r="E228" s="915" t="n">
        <v>190</v>
      </c>
      <c r="F228" s="915" t="n">
        <v>0</v>
      </c>
      <c r="G228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28" s="294" t="inlineStr">
        <is>
          <t>PARIGI (F)</t>
        </is>
      </c>
      <c r="I228" s="210" t="inlineStr">
        <is>
          <t>F</t>
        </is>
      </c>
      <c r="J228" s="211" t="n">
        <v>880</v>
      </c>
      <c r="K228" s="211">
        <f>+MAXA(_xlfn.CEILING.MATH(J228/60)+2,1)</f>
        <v/>
      </c>
      <c r="L228" s="916" t="n">
        <v>155</v>
      </c>
      <c r="M228" s="917" t="n">
        <v>0</v>
      </c>
      <c r="N228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28" s="294" t="inlineStr">
        <is>
          <t>PARIGI (F)</t>
        </is>
      </c>
      <c r="P228" s="210" t="inlineStr">
        <is>
          <t>G</t>
        </is>
      </c>
      <c r="Q228" s="211" t="n">
        <v>1415</v>
      </c>
      <c r="R228" s="211">
        <f>+MAXA(_xlfn.CEILING.MATH(Q228/60)+2,1)</f>
        <v/>
      </c>
      <c r="S228" s="916" t="n">
        <v>200</v>
      </c>
      <c r="T228" s="916" t="n">
        <v>0</v>
      </c>
      <c r="U228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29">
      <c r="A229" s="217" t="inlineStr">
        <is>
          <t>PARMA (PR)</t>
        </is>
      </c>
      <c r="B229" s="210" t="inlineStr">
        <is>
          <t>B</t>
        </is>
      </c>
      <c r="C229" s="211" t="n">
        <v>500</v>
      </c>
      <c r="D229" s="211">
        <f>+MAXA(_xlfn.CEILING.MATH(C229/60)+2,1)</f>
        <v/>
      </c>
      <c r="E229" s="915" t="n">
        <v>35</v>
      </c>
      <c r="F229" s="915" t="n">
        <v>0</v>
      </c>
      <c r="G229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29" s="217" t="inlineStr">
        <is>
          <t>PARMA (PR)</t>
        </is>
      </c>
      <c r="I229" s="210" t="inlineStr">
        <is>
          <t>B</t>
        </is>
      </c>
      <c r="J229" s="211" t="n">
        <v>150</v>
      </c>
      <c r="K229" s="211">
        <f>+MAXA(_xlfn.CEILING.MATH(J229/60)+2,1)</f>
        <v/>
      </c>
      <c r="L229" s="916" t="n">
        <v>20</v>
      </c>
      <c r="M229" s="917" t="n">
        <v>0</v>
      </c>
      <c r="N229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29" s="217" t="inlineStr">
        <is>
          <t>PARMA (PR)</t>
        </is>
      </c>
      <c r="P229" s="210" t="inlineStr">
        <is>
          <t>F</t>
        </is>
      </c>
      <c r="Q229" s="211" t="n">
        <v>450</v>
      </c>
      <c r="R229" s="211">
        <f>+MAXA(_xlfn.CEILING.MATH(Q229/60)+2,1)</f>
        <v/>
      </c>
      <c r="S229" s="916" t="n">
        <v>35</v>
      </c>
      <c r="T229" s="916" t="n">
        <v>0</v>
      </c>
      <c r="U229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30">
      <c r="A230" s="217" t="inlineStr">
        <is>
          <t>PAULLO (MI)</t>
        </is>
      </c>
      <c r="B230" s="210" t="inlineStr">
        <is>
          <t>A</t>
        </is>
      </c>
      <c r="C230" s="211" t="n">
        <v>610</v>
      </c>
      <c r="D230" s="211">
        <f>+MAXA(_xlfn.CEILING.MATH(C230/60)+2,1)</f>
        <v/>
      </c>
      <c r="E230" s="915" t="n">
        <v>46</v>
      </c>
      <c r="F230" s="915" t="n">
        <v>0</v>
      </c>
      <c r="G230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30" s="294" t="inlineStr">
        <is>
          <t>PAULLO (MI)</t>
        </is>
      </c>
      <c r="I230" s="210" t="inlineStr">
        <is>
          <t>A</t>
        </is>
      </c>
      <c r="J230" s="211" t="n">
        <v>37</v>
      </c>
      <c r="K230" s="211">
        <f>+MAXA(_xlfn.CEILING.MATH(J230/60)+2,1)</f>
        <v/>
      </c>
      <c r="L230" s="917" t="n">
        <v>5</v>
      </c>
      <c r="M230" s="917" t="n"/>
      <c r="N230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30" s="294" t="inlineStr">
        <is>
          <t>PAULLO (MI)</t>
        </is>
      </c>
      <c r="P230" s="210" t="inlineStr">
        <is>
          <t>D</t>
        </is>
      </c>
      <c r="Q230" s="211" t="n">
        <v>565</v>
      </c>
      <c r="R230" s="211">
        <f>+MAXA(_xlfn.CEILING.MATH(Q230/60)+2,1)</f>
        <v/>
      </c>
      <c r="S230" s="917" t="n">
        <v>46</v>
      </c>
      <c r="T230" s="917" t="n">
        <v>0</v>
      </c>
      <c r="U230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31">
      <c r="A231" s="217" t="inlineStr">
        <is>
          <t>PAVIA (PV)</t>
        </is>
      </c>
      <c r="B231" s="210" t="inlineStr">
        <is>
          <t>B</t>
        </is>
      </c>
      <c r="C231" s="211" t="n">
        <v>610</v>
      </c>
      <c r="D231" s="211">
        <f>+MAXA(_xlfn.CEILING.MATH(C231/60)+2,1)</f>
        <v/>
      </c>
      <c r="E231" s="915" t="n">
        <v>45</v>
      </c>
      <c r="F231" s="915" t="n">
        <v>0</v>
      </c>
      <c r="G231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31" s="217" t="inlineStr">
        <is>
          <t>PAVIA (PV)</t>
        </is>
      </c>
      <c r="I231" s="210" t="inlineStr">
        <is>
          <t>B</t>
        </is>
      </c>
      <c r="J231" s="211" t="n">
        <v>75</v>
      </c>
      <c r="K231" s="211">
        <f>+MAXA(_xlfn.CEILING.MATH(J231/60)+2,1)</f>
        <v/>
      </c>
      <c r="L231" s="916" t="n">
        <v>4</v>
      </c>
      <c r="M231" s="917" t="n">
        <v>0</v>
      </c>
      <c r="N231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31" s="217" t="inlineStr">
        <is>
          <t>PAVIA (PV)</t>
        </is>
      </c>
      <c r="P231" s="210" t="inlineStr">
        <is>
          <t>F</t>
        </is>
      </c>
      <c r="Q231" s="211" t="n">
        <v>560</v>
      </c>
      <c r="R231" s="211">
        <f>+MAXA(_xlfn.CEILING.MATH(Q231/60)+2,1)</f>
        <v/>
      </c>
      <c r="S231" s="916" t="n">
        <v>42</v>
      </c>
      <c r="T231" s="916" t="n">
        <v>0</v>
      </c>
      <c r="U231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32">
      <c r="A232" s="217" t="inlineStr">
        <is>
          <t>PAVONA (RM)</t>
        </is>
      </c>
      <c r="B232" s="210" t="inlineStr">
        <is>
          <t>A</t>
        </is>
      </c>
      <c r="C232" s="211" t="n">
        <v>10</v>
      </c>
      <c r="D232" s="211">
        <f>+MAXA(_xlfn.CEILING.MATH(C232/60)+2,1)</f>
        <v/>
      </c>
      <c r="E232" s="915" t="n">
        <v>0</v>
      </c>
      <c r="F232" s="915" t="n">
        <v>0</v>
      </c>
      <c r="G232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32" s="294" t="inlineStr">
        <is>
          <t>PAVONA (RM)</t>
        </is>
      </c>
      <c r="I232" s="210" t="inlineStr">
        <is>
          <t>A</t>
        </is>
      </c>
      <c r="J232" s="211" t="n">
        <v>670</v>
      </c>
      <c r="K232" s="211">
        <f>+MAXA(_xlfn.CEILING.MATH(J232/60)+2,1)</f>
        <v/>
      </c>
      <c r="L232" s="916" t="n">
        <v>50</v>
      </c>
      <c r="M232" s="917" t="n">
        <v>0</v>
      </c>
      <c r="N232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32" s="294" t="inlineStr">
        <is>
          <t>PAVONA (RM)</t>
        </is>
      </c>
      <c r="P232" s="210" t="inlineStr">
        <is>
          <t>F</t>
        </is>
      </c>
      <c r="Q232" s="211" t="n">
        <v>225</v>
      </c>
      <c r="R232" s="211">
        <f>+MAXA(_xlfn.CEILING.MATH(Q232/60)+2,1)</f>
        <v/>
      </c>
      <c r="S232" s="916" t="n">
        <v>16</v>
      </c>
      <c r="T232" s="916" t="n">
        <v>0</v>
      </c>
      <c r="U232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33">
      <c r="A233" s="217" t="inlineStr">
        <is>
          <t>PERUGIA (PG)</t>
        </is>
      </c>
      <c r="B233" s="210" t="inlineStr">
        <is>
          <t>B</t>
        </is>
      </c>
      <c r="C233" s="211" t="n">
        <v>213</v>
      </c>
      <c r="D233" s="211">
        <f>+MAXA(_xlfn.CEILING.MATH(C233/60)+2,1)</f>
        <v/>
      </c>
      <c r="E233" s="915" t="n">
        <v>5</v>
      </c>
      <c r="F233" s="915" t="n">
        <v>0</v>
      </c>
      <c r="G233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33" s="294" t="inlineStr">
        <is>
          <t>PERUGIA (PG)</t>
        </is>
      </c>
      <c r="I233" s="210" t="inlineStr">
        <is>
          <t>B</t>
        </is>
      </c>
      <c r="J233" s="211" t="n">
        <v>477</v>
      </c>
      <c r="K233" s="211">
        <f>+MAXA(_xlfn.CEILING.MATH(J233/60)+2,1)</f>
        <v/>
      </c>
      <c r="L233" s="917" t="n">
        <v>38</v>
      </c>
      <c r="M233" s="917" t="n">
        <v>0</v>
      </c>
      <c r="N233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33" s="294" t="inlineStr">
        <is>
          <t>PERUGIA (PG)</t>
        </is>
      </c>
      <c r="P233" s="210" t="inlineStr">
        <is>
          <t>E</t>
        </is>
      </c>
      <c r="Q233" s="211" t="n">
        <v>245</v>
      </c>
      <c r="R233" s="211">
        <f>+MAXA(_xlfn.CEILING.MATH(Q233/60)+2,1)</f>
        <v/>
      </c>
      <c r="S233" s="917" t="n">
        <v>8</v>
      </c>
      <c r="T233" s="917" t="n">
        <v>0</v>
      </c>
      <c r="U233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34">
      <c r="A234" s="217" t="inlineStr">
        <is>
          <t>PESCARA (PE)</t>
        </is>
      </c>
      <c r="B234" s="210" t="inlineStr">
        <is>
          <t>B</t>
        </is>
      </c>
      <c r="C234" s="211" t="n">
        <v>240</v>
      </c>
      <c r="D234" s="211">
        <f>+MAXA(_xlfn.CEILING.MATH(C234/60)+2,1)</f>
        <v/>
      </c>
      <c r="E234" s="915" t="n">
        <v>20</v>
      </c>
      <c r="F234" s="915" t="n">
        <v>0</v>
      </c>
      <c r="G234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34" s="217" t="inlineStr">
        <is>
          <t>PESCARA (PE)</t>
        </is>
      </c>
      <c r="I234" s="210" t="inlineStr">
        <is>
          <t>B</t>
        </is>
      </c>
      <c r="J234" s="211" t="n">
        <v>600</v>
      </c>
      <c r="K234" s="211">
        <f>+MAXA(_xlfn.CEILING.MATH(J234/60)+2,1)</f>
        <v/>
      </c>
      <c r="L234" s="916" t="n">
        <v>50</v>
      </c>
      <c r="M234" s="917" t="n">
        <v>0</v>
      </c>
      <c r="N234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34" s="217" t="inlineStr">
        <is>
          <t>PESCARA (PE)</t>
        </is>
      </c>
      <c r="P234" s="210" t="inlineStr">
        <is>
          <t>F</t>
        </is>
      </c>
      <c r="Q234" s="211" t="n">
        <v>15</v>
      </c>
      <c r="R234" s="211">
        <f>+MAXA(_xlfn.CEILING.MATH(Q234/60)+2,1)</f>
        <v/>
      </c>
      <c r="S234" s="916" t="n">
        <v>2</v>
      </c>
      <c r="T234" s="916" t="n">
        <v>0</v>
      </c>
      <c r="U234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35">
      <c r="A235" s="217" t="inlineStr">
        <is>
          <t>PIACENZA (PC)</t>
        </is>
      </c>
      <c r="B235" s="210" t="inlineStr">
        <is>
          <t>A</t>
        </is>
      </c>
      <c r="C235" s="211" t="n">
        <v>550</v>
      </c>
      <c r="D235" s="211">
        <f>+MAXA(_xlfn.CEILING.MATH(C235/60)+2,1)</f>
        <v/>
      </c>
      <c r="E235" s="915" t="n">
        <v>39</v>
      </c>
      <c r="F235" s="915" t="n">
        <v>0</v>
      </c>
      <c r="G235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35" s="294" t="inlineStr">
        <is>
          <t>PIACENZA (PC)</t>
        </is>
      </c>
      <c r="I235" s="210" t="inlineStr">
        <is>
          <t>A</t>
        </is>
      </c>
      <c r="J235" s="211" t="n">
        <v>93</v>
      </c>
      <c r="K235" s="211">
        <f>+MAXA(_xlfn.CEILING.MATH(J235/60)+2,1)</f>
        <v/>
      </c>
      <c r="L235" s="917" t="n">
        <v>11</v>
      </c>
      <c r="M235" s="917" t="n">
        <v>0</v>
      </c>
      <c r="N235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35" s="294" t="inlineStr">
        <is>
          <t>PIACENZA (PC)</t>
        </is>
      </c>
      <c r="P235" s="210" t="inlineStr">
        <is>
          <t>F</t>
        </is>
      </c>
      <c r="Q235" s="211" t="n">
        <v>505</v>
      </c>
      <c r="R235" s="211">
        <f>+MAXA(_xlfn.CEILING.MATH(Q235/60)+2,1)</f>
        <v/>
      </c>
      <c r="S235" s="917" t="n">
        <v>39</v>
      </c>
      <c r="T235" s="917" t="n">
        <v>0</v>
      </c>
      <c r="U235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36">
      <c r="A236" s="217" t="inlineStr">
        <is>
          <t>PIOLTELLO (MI)</t>
        </is>
      </c>
      <c r="B236" s="210" t="inlineStr">
        <is>
          <t>A</t>
        </is>
      </c>
      <c r="C236" s="211" t="n">
        <v>620</v>
      </c>
      <c r="D236" s="211">
        <f>+MAXA(_xlfn.CEILING.MATH(C236/60)+2,1)</f>
        <v/>
      </c>
      <c r="E236" s="915" t="n">
        <v>49</v>
      </c>
      <c r="F236" s="915" t="n">
        <v>0</v>
      </c>
      <c r="G236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36" s="294" t="inlineStr">
        <is>
          <t>PIOLTELLO (MI)</t>
        </is>
      </c>
      <c r="I236" s="210" t="inlineStr">
        <is>
          <t>A</t>
        </is>
      </c>
      <c r="J236" s="211" t="n">
        <v>25</v>
      </c>
      <c r="K236" s="211">
        <f>+MAXA(_xlfn.CEILING.MATH(J236/60)+2,1)</f>
        <v/>
      </c>
      <c r="L236" s="917" t="n">
        <v>2</v>
      </c>
      <c r="M236" s="917" t="n">
        <v>0</v>
      </c>
      <c r="N236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36" s="294" t="inlineStr">
        <is>
          <t>PIOLTELLO (MI)</t>
        </is>
      </c>
      <c r="P236" s="210" t="inlineStr">
        <is>
          <t>D</t>
        </is>
      </c>
      <c r="Q236" s="211" t="n">
        <v>575</v>
      </c>
      <c r="R236" s="211">
        <f>+MAXA(_xlfn.CEILING.MATH(Q236/60)+2,1)</f>
        <v/>
      </c>
      <c r="S236" s="917" t="n">
        <v>48</v>
      </c>
      <c r="T236" s="917" t="n">
        <v>0</v>
      </c>
      <c r="U236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37">
      <c r="A237" s="217" t="inlineStr">
        <is>
          <t>PISA (PI)</t>
        </is>
      </c>
      <c r="B237" s="210" t="inlineStr">
        <is>
          <t>C</t>
        </is>
      </c>
      <c r="C237" s="211" t="n">
        <v>360</v>
      </c>
      <c r="D237" s="211">
        <f>+MAXA(_xlfn.CEILING.MATH(C237/60)+2,1)</f>
        <v/>
      </c>
      <c r="E237" s="915" t="n">
        <v>15</v>
      </c>
      <c r="F237" s="915" t="n">
        <v>0</v>
      </c>
      <c r="G237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37" s="294" t="inlineStr">
        <is>
          <t>PISA (PI)</t>
        </is>
      </c>
      <c r="I237" s="210" t="inlineStr">
        <is>
          <t>C</t>
        </is>
      </c>
      <c r="J237" s="211" t="n">
        <v>310</v>
      </c>
      <c r="K237" s="211">
        <f>+MAXA(_xlfn.CEILING.MATH(J237/60)+2,1)</f>
        <v/>
      </c>
      <c r="L237" s="916" t="n">
        <v>35</v>
      </c>
      <c r="M237" s="917" t="n">
        <v>0</v>
      </c>
      <c r="N237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37" s="294" t="inlineStr">
        <is>
          <t>PISA (PI)</t>
        </is>
      </c>
      <c r="P237" s="210" t="inlineStr">
        <is>
          <t>F</t>
        </is>
      </c>
      <c r="Q237" s="211" t="n">
        <v>470</v>
      </c>
      <c r="R237" s="211">
        <f>+MAXA(_xlfn.CEILING.MATH(Q237/60)+2,1)</f>
        <v/>
      </c>
      <c r="S237" s="916" t="n">
        <v>16</v>
      </c>
      <c r="T237" s="916" t="n">
        <v>0</v>
      </c>
      <c r="U237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38">
      <c r="A238" s="217" t="inlineStr">
        <is>
          <t>POLICORO (MT)</t>
        </is>
      </c>
      <c r="B238" s="210" t="inlineStr">
        <is>
          <t>B</t>
        </is>
      </c>
      <c r="C238" s="211" t="n">
        <v>485</v>
      </c>
      <c r="D238" s="211">
        <f>+MAXA(_xlfn.CEILING.MATH(C238/60)+2,1)</f>
        <v/>
      </c>
      <c r="E238" s="915" t="n">
        <v>19</v>
      </c>
      <c r="F238" s="915" t="n">
        <v>0</v>
      </c>
      <c r="G238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38" s="294" t="inlineStr">
        <is>
          <t>POLICORO (MT)</t>
        </is>
      </c>
      <c r="I238" s="210" t="inlineStr">
        <is>
          <t>B</t>
        </is>
      </c>
      <c r="J238" s="211" t="n">
        <v>1016</v>
      </c>
      <c r="K238" s="211">
        <f>+MAXA(_xlfn.CEILING.MATH(J238/60)+2,1)</f>
        <v/>
      </c>
      <c r="L238" s="917" t="n">
        <v>80</v>
      </c>
      <c r="M238" s="917" t="n">
        <v>0</v>
      </c>
      <c r="N238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38" s="294" t="inlineStr">
        <is>
          <t>POLICORO (MT)</t>
        </is>
      </c>
      <c r="P238" s="210" t="inlineStr">
        <is>
          <t>D</t>
        </is>
      </c>
      <c r="Q238" s="211" t="n">
        <v>425</v>
      </c>
      <c r="R238" s="211">
        <f>+MAXA(_xlfn.CEILING.MATH(Q238/60)+2,1)</f>
        <v/>
      </c>
      <c r="S238" s="917" t="n">
        <v>28</v>
      </c>
      <c r="T238" s="916" t="n">
        <v>0</v>
      </c>
      <c r="U238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39">
      <c r="A239" s="217" t="inlineStr">
        <is>
          <t>POMEZIA (RM)</t>
        </is>
      </c>
      <c r="B239" s="210" t="inlineStr">
        <is>
          <t>A</t>
        </is>
      </c>
      <c r="C239" s="211" t="n">
        <v>10</v>
      </c>
      <c r="D239" s="211">
        <f>+MAXA(_xlfn.CEILING.MATH(C239/60)+2,1)</f>
        <v/>
      </c>
      <c r="E239" s="915" t="n">
        <v>0</v>
      </c>
      <c r="F239" s="915" t="n">
        <v>0</v>
      </c>
      <c r="G239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39" s="294" t="inlineStr">
        <is>
          <t>POMEZIA (RM)</t>
        </is>
      </c>
      <c r="I239" s="210" t="inlineStr">
        <is>
          <t>A</t>
        </is>
      </c>
      <c r="J239" s="211" t="n">
        <v>640</v>
      </c>
      <c r="K239" s="211">
        <f>+MAXA(_xlfn.CEILING.MATH(J239/60)+2,1)</f>
        <v/>
      </c>
      <c r="L239" s="916" t="n">
        <v>50</v>
      </c>
      <c r="M239" s="917" t="n">
        <v>0</v>
      </c>
      <c r="N239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39" s="294" t="inlineStr">
        <is>
          <t>POMEZIA (RM)</t>
        </is>
      </c>
      <c r="P239" s="210" t="inlineStr">
        <is>
          <t>F</t>
        </is>
      </c>
      <c r="Q239" s="211" t="n">
        <v>240</v>
      </c>
      <c r="R239" s="211">
        <f>+MAXA(_xlfn.CEILING.MATH(Q239/60)+2,1)</f>
        <v/>
      </c>
      <c r="S239" s="916" t="n">
        <v>16</v>
      </c>
      <c r="T239" s="916" t="n">
        <v>0</v>
      </c>
      <c r="U239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40">
      <c r="A240" s="217" t="inlineStr">
        <is>
          <t>PONSACCO (PI)</t>
        </is>
      </c>
      <c r="B240" s="210" t="inlineStr">
        <is>
          <t>C</t>
        </is>
      </c>
      <c r="C240" s="211" t="n">
        <v>350</v>
      </c>
      <c r="D240" s="211" t="n">
        <v>8</v>
      </c>
      <c r="E240" s="915" t="n">
        <v>13</v>
      </c>
      <c r="F240" s="915" t="n">
        <v>0</v>
      </c>
      <c r="G240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40" s="294" t="inlineStr">
        <is>
          <t>PONSACCO (PI)</t>
        </is>
      </c>
      <c r="I240" s="210" t="inlineStr">
        <is>
          <t>C</t>
        </is>
      </c>
      <c r="J240" s="211" t="n">
        <v>334</v>
      </c>
      <c r="K240" s="211" t="n">
        <v>8</v>
      </c>
      <c r="L240" s="917" t="n">
        <v>35</v>
      </c>
      <c r="M240" s="917" t="n">
        <v>0</v>
      </c>
      <c r="N240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40" s="294" t="inlineStr">
        <is>
          <t>PONSACCO (PI)</t>
        </is>
      </c>
      <c r="P240" s="210" t="inlineStr">
        <is>
          <t>F</t>
        </is>
      </c>
      <c r="Q240" s="211" t="n">
        <v>450</v>
      </c>
      <c r="R240" s="211" t="n">
        <v>8</v>
      </c>
      <c r="S240" s="917" t="n">
        <v>16</v>
      </c>
      <c r="T240" s="917" t="n">
        <v>0</v>
      </c>
      <c r="U240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41">
      <c r="A241" s="217" t="inlineStr">
        <is>
          <t>PONTE IN VALTELLINA (SO)</t>
        </is>
      </c>
      <c r="B241" s="210" t="inlineStr">
        <is>
          <t>F</t>
        </is>
      </c>
      <c r="C241" s="211" t="n">
        <v>725</v>
      </c>
      <c r="D241" s="211">
        <f>+MAXA(_xlfn.CEILING.MATH(C241/60)+2,1)</f>
        <v/>
      </c>
      <c r="E241" s="915" t="n">
        <v>42</v>
      </c>
      <c r="F241" s="915" t="n">
        <v>0</v>
      </c>
      <c r="G241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41" s="294" t="inlineStr">
        <is>
          <t>PONTE IN VALTELLINA (SO)</t>
        </is>
      </c>
      <c r="I241" s="210" t="inlineStr">
        <is>
          <t>G</t>
        </is>
      </c>
      <c r="J241" s="211" t="n">
        <v>120</v>
      </c>
      <c r="K241" s="211">
        <f>+MAXA(_xlfn.CEILING.MATH(J241/60)+2,1)</f>
        <v/>
      </c>
      <c r="L241" s="917" t="n">
        <v>0</v>
      </c>
      <c r="M241" s="917" t="n">
        <v>0</v>
      </c>
      <c r="N241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41" s="294" t="inlineStr">
        <is>
          <t>PONTE IN VALTELLINA (SO)</t>
        </is>
      </c>
      <c r="P241" s="210" t="inlineStr">
        <is>
          <t>G</t>
        </is>
      </c>
      <c r="Q241" s="211" t="n">
        <v>680</v>
      </c>
      <c r="R241" s="211">
        <f>+MAXA(_xlfn.CEILING.MATH(Q241/60)+2,1)</f>
        <v/>
      </c>
      <c r="S241" s="917" t="n">
        <v>41</v>
      </c>
      <c r="T241" s="917" t="n">
        <v>0</v>
      </c>
      <c r="U241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42">
      <c r="A242" s="217" t="inlineStr">
        <is>
          <t>PONTINIA (LT)</t>
        </is>
      </c>
      <c r="B242" s="210" t="inlineStr">
        <is>
          <t>A</t>
        </is>
      </c>
      <c r="C242" s="211" t="n">
        <v>50</v>
      </c>
      <c r="D242" s="211">
        <f>+MAXA(_xlfn.CEILING.MATH(C242/60)+2,1)</f>
        <v/>
      </c>
      <c r="E242" s="915" t="n">
        <v>0</v>
      </c>
      <c r="F242" s="915" t="n">
        <v>0</v>
      </c>
      <c r="G242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42" s="294" t="inlineStr">
        <is>
          <t>PONTINIA (LT)</t>
        </is>
      </c>
      <c r="I242" s="210" t="inlineStr">
        <is>
          <t>A</t>
        </is>
      </c>
      <c r="J242" s="211" t="n">
        <v>700</v>
      </c>
      <c r="K242" s="211">
        <f>+MAXA(_xlfn.CEILING.MATH(J242/60)+2,1)</f>
        <v/>
      </c>
      <c r="L242" s="916" t="n">
        <v>56</v>
      </c>
      <c r="M242" s="917" t="n">
        <v>0</v>
      </c>
      <c r="N242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42" s="294" t="inlineStr">
        <is>
          <t>PONTINIA (LT)</t>
        </is>
      </c>
      <c r="P242" s="210" t="inlineStr">
        <is>
          <t>F</t>
        </is>
      </c>
      <c r="Q242" s="211" t="n">
        <v>235</v>
      </c>
      <c r="R242" s="211">
        <f>+MAXA(_xlfn.CEILING.MATH(Q242/60)+2,1)</f>
        <v/>
      </c>
      <c r="S242" s="916" t="n">
        <v>12</v>
      </c>
      <c r="T242" s="916" t="n">
        <v>0</v>
      </c>
      <c r="U242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43">
      <c r="A243" s="217" t="inlineStr">
        <is>
          <t>POTENZA (PZ)</t>
        </is>
      </c>
      <c r="B243" s="210" t="inlineStr">
        <is>
          <t>C</t>
        </is>
      </c>
      <c r="C243" s="211" t="n">
        <v>380</v>
      </c>
      <c r="D243" s="211" t="n">
        <v>19</v>
      </c>
      <c r="E243" s="915" t="n">
        <v>19</v>
      </c>
      <c r="F243" s="915" t="n">
        <v>0</v>
      </c>
      <c r="G243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43" s="294" t="inlineStr">
        <is>
          <t>POTENZA (PZ)</t>
        </is>
      </c>
      <c r="I243" s="210" t="inlineStr">
        <is>
          <t>C</t>
        </is>
      </c>
      <c r="J243" s="211" t="n">
        <v>892</v>
      </c>
      <c r="K243" s="211">
        <f>+MAXA(_xlfn.CEILING.MATH(J243/60)+2,1)</f>
        <v/>
      </c>
      <c r="L243" s="917" t="n">
        <v>66</v>
      </c>
      <c r="M243" s="917" t="n">
        <v>0</v>
      </c>
      <c r="N243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43" s="294" t="inlineStr">
        <is>
          <t>POTENZA (PZ)</t>
        </is>
      </c>
      <c r="P243" s="210" t="inlineStr">
        <is>
          <t>F</t>
        </is>
      </c>
      <c r="Q243" s="211" t="n">
        <v>298</v>
      </c>
      <c r="R243" s="211">
        <f>+MAXA(_xlfn.CEILING.MATH(Q243/60)+2,1)</f>
        <v/>
      </c>
      <c r="S243" s="917" t="n">
        <v>14</v>
      </c>
      <c r="T243" s="916" t="n">
        <v>0</v>
      </c>
      <c r="U243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44">
      <c r="A244" s="217" t="inlineStr">
        <is>
          <t>PRATO (PO)</t>
        </is>
      </c>
      <c r="B244" s="210" t="inlineStr">
        <is>
          <t>C</t>
        </is>
      </c>
      <c r="C244" s="211" t="n">
        <v>335</v>
      </c>
      <c r="D244" s="211">
        <f>+MAXA(_xlfn.CEILING.MATH(C244/60)+2,1)</f>
        <v/>
      </c>
      <c r="E244" s="915" t="n">
        <v>21</v>
      </c>
      <c r="F244" s="915" t="n">
        <v>0</v>
      </c>
      <c r="G244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44" s="294" t="inlineStr">
        <is>
          <t>PRATO (PO)</t>
        </is>
      </c>
      <c r="I244" s="210" t="inlineStr">
        <is>
          <t>C</t>
        </is>
      </c>
      <c r="J244" s="211" t="n">
        <v>320</v>
      </c>
      <c r="K244" s="211">
        <f>+MAXA(_xlfn.CEILING.MATH(J244/60)+2,1)</f>
        <v/>
      </c>
      <c r="L244" s="917" t="n">
        <v>30</v>
      </c>
      <c r="M244" s="917" t="n">
        <v>0</v>
      </c>
      <c r="N244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44" s="294" t="inlineStr">
        <is>
          <t>PRATO (PO)</t>
        </is>
      </c>
      <c r="P244" s="210" t="inlineStr">
        <is>
          <t>F</t>
        </is>
      </c>
      <c r="Q244" s="211" t="n">
        <v>410</v>
      </c>
      <c r="R244" s="211">
        <f>+MAXA(_xlfn.CEILING.MATH(Q244/60)+2,1)</f>
        <v/>
      </c>
      <c r="S244" s="917" t="n">
        <v>16.5</v>
      </c>
      <c r="T244" s="917" t="n">
        <v>0</v>
      </c>
      <c r="U244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45">
      <c r="A245" s="217" t="inlineStr">
        <is>
          <t>PRIVERNO (LT)</t>
        </is>
      </c>
      <c r="B245" s="210" t="inlineStr">
        <is>
          <t>A</t>
        </is>
      </c>
      <c r="C245" s="211" t="n">
        <v>75</v>
      </c>
      <c r="D245" s="211">
        <f>+MAXA(_xlfn.CEILING.MATH(C245/60)+2,1)</f>
        <v/>
      </c>
      <c r="E245" s="915" t="n">
        <v>0</v>
      </c>
      <c r="F245" s="915" t="n">
        <v>0</v>
      </c>
      <c r="G245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45" s="294" t="inlineStr">
        <is>
          <t>PRIVERNO (LT)</t>
        </is>
      </c>
      <c r="I245" s="210" t="inlineStr">
        <is>
          <t>A</t>
        </is>
      </c>
      <c r="J245" s="211" t="n">
        <v>690</v>
      </c>
      <c r="K245" s="211">
        <f>+MAXA(_xlfn.CEILING.MATH(J245/60)+2,1)</f>
        <v/>
      </c>
      <c r="L245" s="917" t="n">
        <v>60</v>
      </c>
      <c r="M245" s="917" t="n">
        <v>0</v>
      </c>
      <c r="N245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45" s="294" t="inlineStr">
        <is>
          <t>PRIVERNO (LT)</t>
        </is>
      </c>
      <c r="P245" s="210" t="inlineStr">
        <is>
          <t>F</t>
        </is>
      </c>
      <c r="Q245" s="211" t="n">
        <v>219</v>
      </c>
      <c r="R245" s="211">
        <f>+MAXA(_xlfn.CEILING.MATH(Q245/60)+2,1)</f>
        <v/>
      </c>
      <c r="S245" s="917" t="n">
        <v>12</v>
      </c>
      <c r="T245" s="917" t="n">
        <v>0</v>
      </c>
      <c r="U245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46">
      <c r="A246" s="217" t="inlineStr">
        <is>
          <t>PUURS – SINT-AMANDS (B)</t>
        </is>
      </c>
      <c r="B246" s="210" t="inlineStr">
        <is>
          <t>F</t>
        </is>
      </c>
      <c r="C246" s="211" t="n">
        <v>1525</v>
      </c>
      <c r="D246" s="211">
        <f>+MAXA(_xlfn.CEILING.MATH(C246/60)+2,1)</f>
        <v/>
      </c>
      <c r="E246" s="915" t="n">
        <v>60</v>
      </c>
      <c r="F246" s="915" t="n">
        <v>0</v>
      </c>
      <c r="G246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46" s="294" t="inlineStr">
        <is>
          <t>PUURS – SINT-AMANDS (B)</t>
        </is>
      </c>
      <c r="I246" s="210" t="inlineStr">
        <is>
          <t>F</t>
        </is>
      </c>
      <c r="J246" s="211" t="n">
        <v>935</v>
      </c>
      <c r="K246" s="211">
        <f>+MAXA(_xlfn.CEILING.MATH(J246/60)+2,1)</f>
        <v/>
      </c>
      <c r="L246" s="917" t="n">
        <v>20</v>
      </c>
      <c r="M246" s="917" t="n">
        <v>0</v>
      </c>
      <c r="N246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46" s="294" t="inlineStr">
        <is>
          <t>PUURS – SINT-AMANDS (B)</t>
        </is>
      </c>
      <c r="P246" s="210" t="inlineStr">
        <is>
          <t>G</t>
        </is>
      </c>
      <c r="Q246" s="211" t="n">
        <v>1480</v>
      </c>
      <c r="R246" s="211">
        <f>+MAXA(_xlfn.CEILING.MATH(Q246/60)+2,1)</f>
        <v/>
      </c>
      <c r="S246" s="917" t="n">
        <v>60</v>
      </c>
      <c r="T246" s="917" t="n">
        <v>0</v>
      </c>
      <c r="U246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47">
      <c r="A247" s="217" t="inlineStr">
        <is>
          <t>QUELUX DE BAIXO (P)</t>
        </is>
      </c>
      <c r="B247" s="210" t="inlineStr">
        <is>
          <t>F</t>
        </is>
      </c>
      <c r="C247" s="211" t="n">
        <v>2530</v>
      </c>
      <c r="D247" s="211">
        <f>+MAXA(_xlfn.CEILING.MATH(C247/60)+2,1)</f>
        <v/>
      </c>
      <c r="E247" s="915" t="n">
        <v>185</v>
      </c>
      <c r="F247" s="915" t="n">
        <v>0</v>
      </c>
      <c r="G247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47" s="294" t="inlineStr">
        <is>
          <t>QUELUX DE BAIXO (P)</t>
        </is>
      </c>
      <c r="I247" s="210" t="inlineStr">
        <is>
          <t>F</t>
        </is>
      </c>
      <c r="J247" s="211" t="n">
        <v>2200</v>
      </c>
      <c r="K247" s="211">
        <f>+MAXA(_xlfn.CEILING.MATH(J247/60)+2,1)</f>
        <v/>
      </c>
      <c r="L247" s="917" t="n">
        <v>240</v>
      </c>
      <c r="M247" s="917" t="n">
        <v>0</v>
      </c>
      <c r="N247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47" s="294" t="inlineStr">
        <is>
          <t>QUELUX DE BAIXO (P)</t>
        </is>
      </c>
      <c r="P247" s="210" t="inlineStr">
        <is>
          <t>F</t>
        </is>
      </c>
      <c r="Q247" s="211" t="n">
        <v>2660</v>
      </c>
      <c r="R247" s="211">
        <f>+MAXA(_xlfn.CEILING.MATH(Q247/60)+2,1)</f>
        <v/>
      </c>
      <c r="S247" s="917" t="n">
        <v>200</v>
      </c>
      <c r="T247" s="917" t="n">
        <v>0</v>
      </c>
      <c r="U247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48">
      <c r="A248" s="217" t="inlineStr">
        <is>
          <t>REGGIO EMILIA (RE)</t>
        </is>
      </c>
      <c r="B248" s="210" t="inlineStr">
        <is>
          <t>B</t>
        </is>
      </c>
      <c r="C248" s="211" t="n">
        <v>470</v>
      </c>
      <c r="D248" s="211">
        <f>+MAXA(_xlfn.CEILING.MATH(C248/60)+2,1)</f>
        <v/>
      </c>
      <c r="E248" s="915" t="n">
        <v>35</v>
      </c>
      <c r="F248" s="915" t="n">
        <v>0</v>
      </c>
      <c r="G248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48" s="217" t="inlineStr">
        <is>
          <t>REGGIO EMILIA (RE)</t>
        </is>
      </c>
      <c r="I248" s="210" t="inlineStr">
        <is>
          <t>B</t>
        </is>
      </c>
      <c r="J248" s="211" t="n">
        <v>180</v>
      </c>
      <c r="K248" s="211">
        <f>+MAXA(_xlfn.CEILING.MATH(J248/60)+2,1)</f>
        <v/>
      </c>
      <c r="L248" s="917" t="n">
        <v>20</v>
      </c>
      <c r="M248" s="917" t="n">
        <v>0</v>
      </c>
      <c r="N248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48" s="217" t="inlineStr">
        <is>
          <t>REGGIO EMILIA (RE)</t>
        </is>
      </c>
      <c r="P248" s="210" t="inlineStr">
        <is>
          <t>F</t>
        </is>
      </c>
      <c r="Q248" s="211" t="n">
        <v>425</v>
      </c>
      <c r="R248" s="211">
        <f>+MAXA(_xlfn.CEILING.MATH(Q248/60)+2,1)</f>
        <v/>
      </c>
      <c r="S248" s="917" t="n">
        <v>32</v>
      </c>
      <c r="T248" s="917" t="n">
        <v>0</v>
      </c>
      <c r="U248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49">
      <c r="A249" s="217" t="inlineStr">
        <is>
          <t>RHO (MI)</t>
        </is>
      </c>
      <c r="B249" s="210" t="inlineStr">
        <is>
          <t>A</t>
        </is>
      </c>
      <c r="C249" s="211" t="n">
        <v>630</v>
      </c>
      <c r="D249" s="211">
        <f>+MAXA(_xlfn.CEILING.MATH(C249/60)+2,1)</f>
        <v/>
      </c>
      <c r="E249" s="915" t="n">
        <v>44</v>
      </c>
      <c r="F249" s="915" t="n">
        <v>0</v>
      </c>
      <c r="G249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49" s="294" t="inlineStr">
        <is>
          <t>RHO (MI)</t>
        </is>
      </c>
      <c r="I249" s="210" t="inlineStr">
        <is>
          <t>A</t>
        </is>
      </c>
      <c r="J249" s="211" t="n">
        <v>44</v>
      </c>
      <c r="K249" s="211">
        <f>+MAXA(_xlfn.CEILING.MATH(J249/60)+2,1)</f>
        <v/>
      </c>
      <c r="L249" s="917" t="n">
        <v>2</v>
      </c>
      <c r="M249" s="917" t="n">
        <v>0</v>
      </c>
      <c r="N249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49" s="294" t="inlineStr">
        <is>
          <t>RHO (MI)</t>
        </is>
      </c>
      <c r="P249" s="210" t="inlineStr">
        <is>
          <t>D</t>
        </is>
      </c>
      <c r="Q249" s="211" t="n">
        <v>585</v>
      </c>
      <c r="R249" s="211">
        <f>+MAXA(_xlfn.CEILING.MATH(Q249/60)+2,1)</f>
        <v/>
      </c>
      <c r="S249" s="917" t="n">
        <v>44</v>
      </c>
      <c r="T249" s="916" t="n">
        <v>0</v>
      </c>
      <c r="U249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50">
      <c r="A250" s="217" t="inlineStr">
        <is>
          <t>RIARDO (CE)</t>
        </is>
      </c>
      <c r="B250" s="210" t="inlineStr">
        <is>
          <t>A</t>
        </is>
      </c>
      <c r="C250" s="211" t="n">
        <v>190</v>
      </c>
      <c r="D250" s="211" t="n">
        <v>6</v>
      </c>
      <c r="E250" s="915" t="n">
        <v>11</v>
      </c>
      <c r="F250" s="915" t="n">
        <v>0</v>
      </c>
      <c r="G250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50" s="294" t="inlineStr">
        <is>
          <t>RIARDO (CE)</t>
        </is>
      </c>
      <c r="I250" s="210" t="inlineStr">
        <is>
          <t>A</t>
        </is>
      </c>
      <c r="J250" s="211" t="n">
        <v>750</v>
      </c>
      <c r="K250" s="211">
        <f>+MAXA(_xlfn.CEILING.MATH(J250/60)+2,1)</f>
        <v/>
      </c>
      <c r="L250" s="917" t="n">
        <v>65</v>
      </c>
      <c r="M250" s="917" t="n">
        <v>0</v>
      </c>
      <c r="N250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50" s="294" t="inlineStr">
        <is>
          <t>RIARDO (CE)</t>
        </is>
      </c>
      <c r="P250" s="210" t="inlineStr">
        <is>
          <t>F</t>
        </is>
      </c>
      <c r="Q250" s="211" t="n">
        <v>200</v>
      </c>
      <c r="R250" s="211">
        <f>+MAXA(_xlfn.CEILING.MATH(Q250/60)+2,1)</f>
        <v/>
      </c>
      <c r="S250" s="917" t="n">
        <v>7</v>
      </c>
      <c r="T250" s="917" t="n">
        <v>0</v>
      </c>
      <c r="U250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51">
      <c r="A251" s="217" t="inlineStr">
        <is>
          <t>RIGA (LV)</t>
        </is>
      </c>
      <c r="B251" s="210" t="inlineStr">
        <is>
          <t>E</t>
        </is>
      </c>
      <c r="C251" s="211" t="n">
        <v>2460</v>
      </c>
      <c r="D251" s="211">
        <f>+MAXA(_xlfn.CEILING.MATH(C251/60)+2,1)</f>
        <v/>
      </c>
      <c r="E251" s="915" t="n">
        <v>65</v>
      </c>
      <c r="F251" s="915" t="n">
        <v>0</v>
      </c>
      <c r="G251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51" s="294" t="inlineStr">
        <is>
          <t>RIGA (LV)</t>
        </is>
      </c>
      <c r="I251" s="210" t="inlineStr">
        <is>
          <t>E</t>
        </is>
      </c>
      <c r="J251" s="211" t="n">
        <v>2140</v>
      </c>
      <c r="K251" s="211">
        <f>+MAXA(_xlfn.CEILING.MATH(J251/60)+2,1)</f>
        <v/>
      </c>
      <c r="L251" s="917" t="n">
        <v>40</v>
      </c>
      <c r="M251" s="917" t="n">
        <v>0</v>
      </c>
      <c r="N251" s="917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51" s="294" t="inlineStr">
        <is>
          <t>RIGA (LV)</t>
        </is>
      </c>
      <c r="P251" s="210" t="inlineStr">
        <is>
          <t>F</t>
        </is>
      </c>
      <c r="Q251" s="211" t="n">
        <v>2400</v>
      </c>
      <c r="R251" s="211">
        <f>+MAXA(_xlfn.CEILING.MATH(Q251/60)+2,1)</f>
        <v/>
      </c>
      <c r="S251" s="917" t="n">
        <v>60</v>
      </c>
      <c r="T251" s="917" t="n">
        <v>0</v>
      </c>
      <c r="U251" s="917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52">
      <c r="A252" s="217" t="inlineStr">
        <is>
          <t>RILLAND (NL)</t>
        </is>
      </c>
      <c r="B252" s="210" t="inlineStr">
        <is>
          <t>E</t>
        </is>
      </c>
      <c r="C252" s="211" t="n">
        <v>1640</v>
      </c>
      <c r="D252" s="211">
        <f>+MAXA(_xlfn.CEILING.MATH(C252/60)+2,1)</f>
        <v/>
      </c>
      <c r="E252" s="915" t="n">
        <v>52</v>
      </c>
      <c r="F252" s="915" t="n">
        <v>0</v>
      </c>
      <c r="G252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52" s="294" t="inlineStr">
        <is>
          <t>RILLAND (NL)</t>
        </is>
      </c>
      <c r="I252" s="210" t="inlineStr">
        <is>
          <t>E</t>
        </is>
      </c>
      <c r="J252" s="211" t="n">
        <v>990</v>
      </c>
      <c r="K252" s="211">
        <f>+MAXA(_xlfn.CEILING.MATH(J252/60)+2,1)</f>
        <v/>
      </c>
      <c r="L252" s="917" t="n">
        <v>17</v>
      </c>
      <c r="M252" s="917" t="n">
        <v>0</v>
      </c>
      <c r="N252" s="917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52" s="294" t="inlineStr">
        <is>
          <t>RILLAND (NL)</t>
        </is>
      </c>
      <c r="P252" s="210" t="inlineStr">
        <is>
          <t>F</t>
        </is>
      </c>
      <c r="Q252" s="211" t="n">
        <v>1550</v>
      </c>
      <c r="R252" s="211">
        <f>+MAXA(_xlfn.CEILING.MATH(Q252/60)+2,1)</f>
        <v/>
      </c>
      <c r="S252" s="917" t="n">
        <v>60</v>
      </c>
      <c r="T252" s="917" t="n">
        <v>0</v>
      </c>
      <c r="U252" s="917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53">
      <c r="A253" s="217" t="inlineStr">
        <is>
          <t>ROCCA MASSIMA (LT)</t>
        </is>
      </c>
      <c r="B253" s="210" t="inlineStr">
        <is>
          <t>A</t>
        </is>
      </c>
      <c r="C253" s="211" t="n">
        <v>60</v>
      </c>
      <c r="D253" s="211">
        <f>+MAXA(_xlfn.CEILING.MATH(C253/60)+2,1)</f>
        <v/>
      </c>
      <c r="E253" s="915" t="n">
        <v>0</v>
      </c>
      <c r="F253" s="915" t="n">
        <v>0</v>
      </c>
      <c r="G253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53" s="294" t="inlineStr">
        <is>
          <t>ROCCA MASSIMA (LT)</t>
        </is>
      </c>
      <c r="I253" s="210" t="inlineStr">
        <is>
          <t>A</t>
        </is>
      </c>
      <c r="J253" s="211" t="n">
        <v>650</v>
      </c>
      <c r="K253" s="211">
        <f>+MAXA(_xlfn.CEILING.MATH(J253/60)+2,1)</f>
        <v/>
      </c>
      <c r="L253" s="916" t="n">
        <v>55</v>
      </c>
      <c r="M253" s="917" t="n">
        <v>0</v>
      </c>
      <c r="N253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53" s="294" t="inlineStr">
        <is>
          <t>ROCCA MASSIMA (LT)</t>
        </is>
      </c>
      <c r="P253" s="210" t="inlineStr">
        <is>
          <t>F</t>
        </is>
      </c>
      <c r="Q253" s="211" t="n">
        <v>250</v>
      </c>
      <c r="R253" s="211">
        <f>+MAXA(_xlfn.CEILING.MATH(Q253/60)+2,1)</f>
        <v/>
      </c>
      <c r="S253" s="916" t="n">
        <v>22</v>
      </c>
      <c r="T253" s="916" t="n">
        <v>0</v>
      </c>
      <c r="U253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54">
      <c r="A254" s="217" t="inlineStr">
        <is>
          <t>RODI GARGANICO (FG)</t>
        </is>
      </c>
      <c r="B254" s="210" t="inlineStr">
        <is>
          <t>D</t>
        </is>
      </c>
      <c r="C254" s="211" t="n">
        <v>416</v>
      </c>
      <c r="D254" s="211">
        <f>+MAXA(_xlfn.CEILING.MATH(C254/60)+2,1)</f>
        <v/>
      </c>
      <c r="E254" s="915" t="n">
        <v>35</v>
      </c>
      <c r="F254" s="915" t="n">
        <v>0</v>
      </c>
      <c r="G254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54" s="294" t="inlineStr">
        <is>
          <t>RODI GARGANICO (FG)</t>
        </is>
      </c>
      <c r="I254" s="210" t="inlineStr">
        <is>
          <t>D</t>
        </is>
      </c>
      <c r="J254" s="211" t="n">
        <v>790</v>
      </c>
      <c r="K254" s="211">
        <f>+MAXA(_xlfn.CEILING.MATH(J254/60)+2,1)</f>
        <v/>
      </c>
      <c r="L254" s="917" t="n">
        <v>65</v>
      </c>
      <c r="M254" s="917" t="n">
        <v>0</v>
      </c>
      <c r="N254" s="917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54" s="294" t="inlineStr">
        <is>
          <t>RODI GARGANICO (FG)</t>
        </is>
      </c>
      <c r="P254" s="210" t="inlineStr">
        <is>
          <t>D</t>
        </is>
      </c>
      <c r="Q254" s="211" t="n">
        <v>197</v>
      </c>
      <c r="R254" s="211">
        <f>+MAXA(_xlfn.CEILING.MATH(Q254/60)+2,1)</f>
        <v/>
      </c>
      <c r="S254" s="917" t="n">
        <v>14</v>
      </c>
      <c r="T254" s="917" t="n">
        <v>0</v>
      </c>
      <c r="U254" s="917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55">
      <c r="A255" s="217" t="inlineStr">
        <is>
          <t>ROMA (RM)</t>
        </is>
      </c>
      <c r="B255" s="210" t="inlineStr">
        <is>
          <t>A</t>
        </is>
      </c>
      <c r="C255" s="211" t="n">
        <v>45</v>
      </c>
      <c r="D255" s="211">
        <f>+MAXA(_xlfn.CEILING.MATH(C255/60)+2,1)</f>
        <v/>
      </c>
      <c r="E255" s="915" t="n">
        <v>0</v>
      </c>
      <c r="F255" s="915" t="n">
        <v>0</v>
      </c>
      <c r="G255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55" s="294" t="inlineStr">
        <is>
          <t>ROMA (RM)</t>
        </is>
      </c>
      <c r="I255" s="210" t="inlineStr">
        <is>
          <t>A</t>
        </is>
      </c>
      <c r="J255" s="211" t="n">
        <v>600</v>
      </c>
      <c r="K255" s="211">
        <f>+MAXA(_xlfn.CEILING.MATH(J255/60)+2,1)</f>
        <v/>
      </c>
      <c r="L255" s="917" t="n">
        <v>50</v>
      </c>
      <c r="M255" s="917" t="n">
        <v>0</v>
      </c>
      <c r="N255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55" s="294" t="inlineStr">
        <is>
          <t>ROMA (RM)</t>
        </is>
      </c>
      <c r="P255" s="210" t="inlineStr">
        <is>
          <t>G</t>
        </is>
      </c>
      <c r="Q255" s="211" t="n">
        <v>220</v>
      </c>
      <c r="R255" s="211">
        <f>+MAXA(_xlfn.CEILING.MATH(Q255/60)+2,1)</f>
        <v/>
      </c>
      <c r="S255" s="917" t="n">
        <v>22</v>
      </c>
      <c r="T255" s="917" t="n">
        <v>0</v>
      </c>
      <c r="U255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56">
      <c r="A256" s="294" t="inlineStr">
        <is>
          <t>ROTTERDAM (NL)</t>
        </is>
      </c>
      <c r="B256" s="210" t="inlineStr">
        <is>
          <t>E</t>
        </is>
      </c>
      <c r="C256" s="211" t="n">
        <v>1628</v>
      </c>
      <c r="D256" s="211">
        <f>+MAXA(_xlfn.CEILING.MATH(C256/60)+2,1)</f>
        <v/>
      </c>
      <c r="E256" s="915" t="n">
        <v>62</v>
      </c>
      <c r="F256" s="915" t="n">
        <v>0</v>
      </c>
      <c r="G256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56" s="294" t="inlineStr">
        <is>
          <t>ROTTERDAM (NL)</t>
        </is>
      </c>
      <c r="I256" s="210" t="inlineStr">
        <is>
          <t>E</t>
        </is>
      </c>
      <c r="J256" s="211" t="n">
        <v>1041</v>
      </c>
      <c r="K256" s="211">
        <f>+MAXA(_xlfn.CEILING.MATH(J256/60)+2,1)</f>
        <v/>
      </c>
      <c r="L256" s="917" t="n">
        <v>17</v>
      </c>
      <c r="M256" s="917" t="n">
        <v>0</v>
      </c>
      <c r="N256" s="917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56" s="294" t="inlineStr">
        <is>
          <t>ROTTERDAM (NL)</t>
        </is>
      </c>
      <c r="P256" s="210" t="inlineStr">
        <is>
          <t>E</t>
        </is>
      </c>
      <c r="Q256" s="211" t="n">
        <v>1582</v>
      </c>
      <c r="R256" s="211">
        <f>+MAXA(_xlfn.CEILING.MATH(Q256/60)+2,1)</f>
        <v/>
      </c>
      <c r="S256" s="917" t="n">
        <v>60</v>
      </c>
      <c r="T256" s="917" t="n">
        <v>0</v>
      </c>
      <c r="U256" s="917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57">
      <c r="A257" s="217" t="inlineStr">
        <is>
          <t>RUMST - MIVAS (B)</t>
        </is>
      </c>
      <c r="B257" s="210" t="inlineStr">
        <is>
          <t>F</t>
        </is>
      </c>
      <c r="C257" s="211" t="n">
        <v>1550</v>
      </c>
      <c r="D257" s="211">
        <f>+MAXA(_xlfn.CEILING.MATH(C257/60)+2,1)</f>
        <v/>
      </c>
      <c r="E257" s="915" t="n">
        <v>60</v>
      </c>
      <c r="F257" s="915" t="n">
        <v>0</v>
      </c>
      <c r="G257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57" s="294" t="inlineStr">
        <is>
          <t>RUMST - MIVAS (B)</t>
        </is>
      </c>
      <c r="I257" s="210" t="inlineStr">
        <is>
          <t>F</t>
        </is>
      </c>
      <c r="J257" s="211" t="n">
        <v>930</v>
      </c>
      <c r="K257" s="211">
        <f>+MAXA(_xlfn.CEILING.MATH(J257/60)+2,1)</f>
        <v/>
      </c>
      <c r="L257" s="917" t="n">
        <v>17</v>
      </c>
      <c r="M257" s="917" t="n">
        <v>0</v>
      </c>
      <c r="N257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57" s="294" t="inlineStr">
        <is>
          <t>RUMST - MIVAS (B)</t>
        </is>
      </c>
      <c r="P257" s="210" t="inlineStr">
        <is>
          <t>G</t>
        </is>
      </c>
      <c r="Q257" s="211" t="n">
        <v>1475</v>
      </c>
      <c r="R257" s="211">
        <f>+MAXA(_xlfn.CEILING.MATH(Q257/60)+2,1)</f>
        <v/>
      </c>
      <c r="S257" s="917" t="n">
        <v>60</v>
      </c>
      <c r="T257" s="917" t="n">
        <v>0</v>
      </c>
      <c r="U257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58">
      <c r="A258" s="217" t="inlineStr">
        <is>
          <t>RUSSI (RA)</t>
        </is>
      </c>
      <c r="B258" s="210" t="inlineStr">
        <is>
          <t>C</t>
        </is>
      </c>
      <c r="C258" s="211" t="n">
        <v>401</v>
      </c>
      <c r="D258" s="211">
        <f>+MAXA(_xlfn.CEILING.MATH(C258/60)+2,1)</f>
        <v/>
      </c>
      <c r="E258" s="915" t="n">
        <v>6</v>
      </c>
      <c r="F258" s="915" t="n">
        <v>0</v>
      </c>
      <c r="G258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58" s="294" t="inlineStr">
        <is>
          <t>RUSSI (RA)</t>
        </is>
      </c>
      <c r="I258" s="210" t="inlineStr">
        <is>
          <t>C</t>
        </is>
      </c>
      <c r="J258" s="211" t="n">
        <v>305</v>
      </c>
      <c r="K258" s="211">
        <f>+MAXA(_xlfn.CEILING.MATH(J258/60)+2,1)</f>
        <v/>
      </c>
      <c r="L258" s="917" t="n">
        <v>29</v>
      </c>
      <c r="M258" s="917" t="n">
        <v>0</v>
      </c>
      <c r="N258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58" s="294" t="inlineStr">
        <is>
          <t>RUSSI (RA)</t>
        </is>
      </c>
      <c r="P258" s="210" t="inlineStr">
        <is>
          <t>D</t>
        </is>
      </c>
      <c r="Q258" s="211" t="n">
        <v>310</v>
      </c>
      <c r="R258" s="211">
        <f>+MAXA(_xlfn.CEILING.MATH(Q258/60)+2,1)</f>
        <v/>
      </c>
      <c r="S258" s="917" t="n">
        <v>22</v>
      </c>
      <c r="T258" s="917" t="n">
        <v>0</v>
      </c>
      <c r="U258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59">
      <c r="A259" s="217" t="inlineStr">
        <is>
          <t>RUTIGLIANO (BA)</t>
        </is>
      </c>
      <c r="B259" s="210" t="inlineStr">
        <is>
          <t>C</t>
        </is>
      </c>
      <c r="C259" s="211" t="n">
        <v>460</v>
      </c>
      <c r="D259" s="211">
        <f>+MAXA(_xlfn.CEILING.MATH(C259/60)+2,1)</f>
        <v/>
      </c>
      <c r="E259" s="915" t="n">
        <v>26</v>
      </c>
      <c r="F259" s="915" t="n">
        <v>0</v>
      </c>
      <c r="G259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59" s="294" t="inlineStr">
        <is>
          <t>RUTIGLIANO (BA)</t>
        </is>
      </c>
      <c r="I259" s="210" t="inlineStr">
        <is>
          <t>C</t>
        </is>
      </c>
      <c r="J259" s="211" t="n">
        <v>922</v>
      </c>
      <c r="K259" s="211">
        <f>+MAXA(_xlfn.CEILING.MATH(J259/60)+2,1)</f>
        <v/>
      </c>
      <c r="L259" s="916" t="n">
        <v>75</v>
      </c>
      <c r="M259" s="916" t="n">
        <v>0</v>
      </c>
      <c r="N259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59" s="294" t="inlineStr">
        <is>
          <t>RUTIGLIANO (BA)</t>
        </is>
      </c>
      <c r="P259" s="210" t="inlineStr">
        <is>
          <t>E</t>
        </is>
      </c>
      <c r="Q259" s="211" t="n">
        <v>330</v>
      </c>
      <c r="R259" s="211">
        <f>+MAXA(_xlfn.CEILING.MATH(Q259/60)+2,1)</f>
        <v/>
      </c>
      <c r="S259" s="916" t="n">
        <v>23</v>
      </c>
      <c r="T259" s="916" t="n">
        <v>0</v>
      </c>
      <c r="U259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60">
      <c r="A260" s="217" t="inlineStr">
        <is>
          <t>S. BENEDETTO DEL TRONTO (AP)</t>
        </is>
      </c>
      <c r="B260" s="210" t="inlineStr">
        <is>
          <t>C</t>
        </is>
      </c>
      <c r="C260" s="211" t="n">
        <v>250</v>
      </c>
      <c r="D260" s="211">
        <f>+MAXA(_xlfn.CEILING.MATH(C260/60)+2,1)</f>
        <v/>
      </c>
      <c r="E260" s="915" t="n">
        <v>20</v>
      </c>
      <c r="F260" s="915" t="n">
        <v>0</v>
      </c>
      <c r="G260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60" s="294" t="inlineStr">
        <is>
          <t>S. BENEDETTO DEL TRONTO (AP)</t>
        </is>
      </c>
      <c r="I260" s="210" t="inlineStr">
        <is>
          <t>C</t>
        </is>
      </c>
      <c r="J260" s="211" t="n">
        <v>530</v>
      </c>
      <c r="K260" s="211">
        <f>+MAXA(_xlfn.CEILING.MATH(J260/60)+2,1)</f>
        <v/>
      </c>
      <c r="L260" s="917" t="n">
        <v>45</v>
      </c>
      <c r="M260" s="917" t="n">
        <v>0</v>
      </c>
      <c r="N260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60" s="294" t="inlineStr">
        <is>
          <t>S. BENEDETTO DEL TRONTO (AP)</t>
        </is>
      </c>
      <c r="P260" s="210" t="inlineStr">
        <is>
          <t>F</t>
        </is>
      </c>
      <c r="Q260" s="211" t="n">
        <v>65</v>
      </c>
      <c r="R260" s="211">
        <f>+MAXA(_xlfn.CEILING.MATH(Q260/60)+2,1)</f>
        <v/>
      </c>
      <c r="S260" s="917" t="n">
        <v>5</v>
      </c>
      <c r="T260" s="917" t="n">
        <v>0</v>
      </c>
      <c r="U260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61">
      <c r="A261" s="217" t="inlineStr">
        <is>
          <t>S. MARTINO BUON ALBERGO (VR)</t>
        </is>
      </c>
      <c r="B261" s="210" t="inlineStr">
        <is>
          <t>A</t>
        </is>
      </c>
      <c r="C261" s="211" t="n">
        <v>550</v>
      </c>
      <c r="D261" s="211">
        <f>+MAXA(_xlfn.CEILING.MATH(C261/60)+2,1)</f>
        <v/>
      </c>
      <c r="E261" s="915" t="n">
        <v>40</v>
      </c>
      <c r="F261" s="915" t="n">
        <v>0</v>
      </c>
      <c r="G261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61" s="294" t="inlineStr">
        <is>
          <t>S. MARTINO BUON ALBERGO (VR)</t>
        </is>
      </c>
      <c r="I261" s="210" t="inlineStr">
        <is>
          <t>B</t>
        </is>
      </c>
      <c r="J261" s="211" t="n">
        <v>150</v>
      </c>
      <c r="K261" s="211">
        <f>+MAXA(_xlfn.CEILING.MATH(J261/60)+2,1)</f>
        <v/>
      </c>
      <c r="L261" s="917" t="n">
        <v>11</v>
      </c>
      <c r="M261" s="917" t="n">
        <v>0</v>
      </c>
      <c r="N261" s="917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61" s="294" t="inlineStr">
        <is>
          <t>S. MARTINO BUON ALBERGO (VR)</t>
        </is>
      </c>
      <c r="P261" s="210" t="inlineStr">
        <is>
          <t>E</t>
        </is>
      </c>
      <c r="Q261" s="211" t="n">
        <v>505</v>
      </c>
      <c r="R261" s="211">
        <f>+MAXA(_xlfn.CEILING.MATH(Q261/60)+2,1)</f>
        <v/>
      </c>
      <c r="S261" s="917" t="n">
        <v>39</v>
      </c>
      <c r="T261" s="917" t="n">
        <v>0</v>
      </c>
      <c r="U261" s="917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62">
      <c r="A262" s="217" t="inlineStr">
        <is>
          <t>SABAUDIA (LT)</t>
        </is>
      </c>
      <c r="B262" s="210" t="inlineStr">
        <is>
          <t>A</t>
        </is>
      </c>
      <c r="C262" s="211" t="n">
        <v>70</v>
      </c>
      <c r="D262" s="211">
        <f>+MAXA(_xlfn.CEILING.MATH(C262/60)+2,1)</f>
        <v/>
      </c>
      <c r="E262" s="915" t="n">
        <v>0</v>
      </c>
      <c r="F262" s="915" t="n">
        <v>0</v>
      </c>
      <c r="G262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62" s="294" t="inlineStr">
        <is>
          <t>SABAUDIA (LT)</t>
        </is>
      </c>
      <c r="I262" s="210" t="inlineStr">
        <is>
          <t>A</t>
        </is>
      </c>
      <c r="J262" s="211" t="n">
        <v>700</v>
      </c>
      <c r="K262" s="211">
        <f>+MAXA(_xlfn.CEILING.MATH(J262/60)+2,1)</f>
        <v/>
      </c>
      <c r="L262" s="916" t="n">
        <v>56</v>
      </c>
      <c r="M262" s="917" t="n">
        <v>0</v>
      </c>
      <c r="N262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62" s="294" t="inlineStr">
        <is>
          <t>SABAUDIA (LT)</t>
        </is>
      </c>
      <c r="P262" s="210" t="inlineStr">
        <is>
          <t>F</t>
        </is>
      </c>
      <c r="Q262" s="211" t="n">
        <v>250</v>
      </c>
      <c r="R262" s="211">
        <f>+MAXA(_xlfn.CEILING.MATH(Q262/60)+2,1)</f>
        <v/>
      </c>
      <c r="S262" s="916" t="n">
        <v>12</v>
      </c>
      <c r="T262" s="916" t="n">
        <v>0</v>
      </c>
      <c r="U262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63">
      <c r="A263" s="217" t="inlineStr">
        <is>
          <t>SAINT OUEN L'AUMONE (F)</t>
        </is>
      </c>
      <c r="B263" s="210" t="inlineStr">
        <is>
          <t>F</t>
        </is>
      </c>
      <c r="C263" s="211" t="n">
        <v>1555</v>
      </c>
      <c r="D263" s="211">
        <f>+MAXA(_xlfn.CEILING.MATH(C263/60)+2,1)</f>
        <v/>
      </c>
      <c r="E263" s="915" t="n">
        <v>205</v>
      </c>
      <c r="F263" s="915" t="n">
        <v>0</v>
      </c>
      <c r="G263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63" s="294" t="inlineStr">
        <is>
          <t>SAINT OUEN L'AUMONE (F)</t>
        </is>
      </c>
      <c r="I263" s="210" t="inlineStr">
        <is>
          <t>F</t>
        </is>
      </c>
      <c r="J263" s="211" t="n">
        <v>1015</v>
      </c>
      <c r="K263" s="211">
        <f>+MAXA(_xlfn.CEILING.MATH(J263/60)+2,1)</f>
        <v/>
      </c>
      <c r="L263" s="917" t="n">
        <v>171</v>
      </c>
      <c r="M263" s="917" t="n">
        <v>0</v>
      </c>
      <c r="N263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63" s="294" t="inlineStr">
        <is>
          <t>SAINT OUEN L'AUMONE (F)</t>
        </is>
      </c>
      <c r="P263" s="210" t="inlineStr">
        <is>
          <t>G</t>
        </is>
      </c>
      <c r="Q263" s="211" t="n">
        <v>1450</v>
      </c>
      <c r="R263" s="211">
        <f>+MAXA(_xlfn.CEILING.MATH(Q263/60)+2,1)</f>
        <v/>
      </c>
      <c r="S263" s="917" t="n">
        <v>200</v>
      </c>
      <c r="T263" s="917" t="n">
        <v>0</v>
      </c>
      <c r="U263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64">
      <c r="A264" s="217" t="inlineStr">
        <is>
          <t>SAINT-GEORGES-DE-RENEINS (F)</t>
        </is>
      </c>
      <c r="B264" s="210" t="inlineStr">
        <is>
          <t>F</t>
        </is>
      </c>
      <c r="C264" s="211" t="n">
        <v>1015</v>
      </c>
      <c r="D264" s="211">
        <f>+MAXA(_xlfn.CEILING.MATH(C264/60)+2,1)</f>
        <v/>
      </c>
      <c r="E264" s="915" t="n">
        <v>148</v>
      </c>
      <c r="F264" s="915" t="n">
        <v>0</v>
      </c>
      <c r="G264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64" s="294" t="inlineStr">
        <is>
          <t>SAINT-GEORGES-DE-RENEINS (F)</t>
        </is>
      </c>
      <c r="I264" s="210" t="inlineStr">
        <is>
          <t>F</t>
        </is>
      </c>
      <c r="J264" s="211" t="n">
        <v>510</v>
      </c>
      <c r="K264" s="211">
        <f>+MAXA(_xlfn.CEILING.MATH(J264/60)+2,1)</f>
        <v/>
      </c>
      <c r="L264" s="917" t="n">
        <v>123</v>
      </c>
      <c r="M264" s="917" t="n">
        <v>0</v>
      </c>
      <c r="N264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64" s="294" t="inlineStr">
        <is>
          <t>SAINT-GEORGES-DE-RENEINS (F)</t>
        </is>
      </c>
      <c r="P264" s="210" t="inlineStr">
        <is>
          <t>G</t>
        </is>
      </c>
      <c r="Q264" s="211" t="n">
        <v>1025</v>
      </c>
      <c r="R264" s="211">
        <f>+MAXA(_xlfn.CEILING.MATH(Q264/60)+2,1)</f>
        <v/>
      </c>
      <c r="S264" s="917" t="n">
        <v>156</v>
      </c>
      <c r="T264" s="917" t="n">
        <v>0</v>
      </c>
      <c r="U264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65">
      <c r="A265" s="217" t="inlineStr">
        <is>
          <t>SAN CESAREO (RM)</t>
        </is>
      </c>
      <c r="B265" s="210" t="inlineStr">
        <is>
          <t>A</t>
        </is>
      </c>
      <c r="C265" s="211" t="n">
        <v>55</v>
      </c>
      <c r="D265" s="211">
        <f>+MAXA(_xlfn.CEILING.MATH(C265/60)+2,1)</f>
        <v/>
      </c>
      <c r="E265" s="915" t="n">
        <v>2</v>
      </c>
      <c r="F265" s="915" t="n">
        <v>0</v>
      </c>
      <c r="G265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65" s="294" t="inlineStr">
        <is>
          <t>SAN CESAREO (RM)</t>
        </is>
      </c>
      <c r="I265" s="210" t="inlineStr">
        <is>
          <t>A</t>
        </is>
      </c>
      <c r="J265" s="211" t="n">
        <v>620</v>
      </c>
      <c r="K265" s="211">
        <f>+MAXA(_xlfn.CEILING.MATH(J265/60)+2,1)</f>
        <v/>
      </c>
      <c r="L265" s="916" t="n">
        <v>55</v>
      </c>
      <c r="M265" s="917" t="n">
        <v>0</v>
      </c>
      <c r="N265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65" s="294" t="inlineStr">
        <is>
          <t>SAN CESAREO (RM)</t>
        </is>
      </c>
      <c r="P265" s="210" t="inlineStr">
        <is>
          <t>F</t>
        </is>
      </c>
      <c r="Q265" s="211" t="n">
        <v>205</v>
      </c>
      <c r="R265" s="211">
        <f>+MAXA(_xlfn.CEILING.MATH(Q265/60)+2,1)</f>
        <v/>
      </c>
      <c r="S265" s="916" t="n">
        <v>16</v>
      </c>
      <c r="T265" s="916" t="n">
        <v>0</v>
      </c>
      <c r="U265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66">
      <c r="A266" s="217" t="inlineStr">
        <is>
          <t>SAN FELICE SUL PANARO (MO)</t>
        </is>
      </c>
      <c r="B266" s="210" t="inlineStr">
        <is>
          <t>B</t>
        </is>
      </c>
      <c r="C266" s="211" t="n">
        <v>455</v>
      </c>
      <c r="D266" s="211">
        <f>+MAXA(_xlfn.CEILING.MATH(C266/60)+2,1)</f>
        <v/>
      </c>
      <c r="E266" s="915" t="n">
        <v>30</v>
      </c>
      <c r="F266" s="915" t="n"/>
      <c r="G266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66" s="294" t="inlineStr">
        <is>
          <t>SAN FELICE SUL PANARO (MO)</t>
        </is>
      </c>
      <c r="I266" s="210" t="inlineStr">
        <is>
          <t>B</t>
        </is>
      </c>
      <c r="J266" s="211" t="n">
        <v>215</v>
      </c>
      <c r="K266" s="211">
        <f>+MAXA(_xlfn.CEILING.MATH(J266/60)+2,1)</f>
        <v/>
      </c>
      <c r="L266" s="917" t="n">
        <v>12</v>
      </c>
      <c r="M266" s="917" t="n"/>
      <c r="N266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66" s="294" t="inlineStr">
        <is>
          <t>SAN FELICE SUL PANARO (MO)</t>
        </is>
      </c>
      <c r="P266" s="210" t="inlineStr">
        <is>
          <t>F</t>
        </is>
      </c>
      <c r="Q266" s="211" t="n">
        <v>410</v>
      </c>
      <c r="R266" s="211">
        <f>+MAXA(_xlfn.CEILING.MATH(Q266/60)+2,1)</f>
        <v/>
      </c>
      <c r="S266" s="917" t="n">
        <v>29</v>
      </c>
      <c r="T266" s="917" t="n">
        <v>0</v>
      </c>
      <c r="U266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67">
      <c r="A267" s="217" t="inlineStr">
        <is>
          <t>SANDOUVILLE (F)</t>
        </is>
      </c>
      <c r="B267" s="210" t="inlineStr">
        <is>
          <t>F</t>
        </is>
      </c>
      <c r="C267" s="211" t="n">
        <v>1630</v>
      </c>
      <c r="D267" s="211">
        <f>+MAXA(_xlfn.CEILING.MATH(C267/60)+2,1)</f>
        <v/>
      </c>
      <c r="E267" s="915" t="n">
        <v>210</v>
      </c>
      <c r="F267" s="915" t="n">
        <v>0</v>
      </c>
      <c r="G267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67" s="294" t="inlineStr">
        <is>
          <t>SANDOUVILLE (F)</t>
        </is>
      </c>
      <c r="I267" s="210" t="inlineStr">
        <is>
          <t>F</t>
        </is>
      </c>
      <c r="J267" s="211" t="n">
        <v>1060</v>
      </c>
      <c r="K267" s="211">
        <f>+MAXA(_xlfn.CEILING.MATH(J267/60)+2,1)</f>
        <v/>
      </c>
      <c r="L267" s="917" t="n">
        <v>60</v>
      </c>
      <c r="M267" s="917" t="n">
        <v>0</v>
      </c>
      <c r="N267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67" s="294" t="inlineStr">
        <is>
          <t>SANDOUVILLE (F)</t>
        </is>
      </c>
      <c r="P267" s="210" t="inlineStr">
        <is>
          <t>G</t>
        </is>
      </c>
      <c r="Q267" s="211" t="n">
        <v>1590</v>
      </c>
      <c r="R267" s="211">
        <f>+MAXA(_xlfn.CEILING.MATH(Q267/60)+2,1)</f>
        <v/>
      </c>
      <c r="S267" s="917" t="n">
        <v>230</v>
      </c>
      <c r="T267" s="917" t="n">
        <v>0</v>
      </c>
      <c r="U267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68">
      <c r="A268" s="217" t="inlineStr">
        <is>
          <t>SANDRIGO (VI)</t>
        </is>
      </c>
      <c r="B268" s="210" t="inlineStr">
        <is>
          <t>B</t>
        </is>
      </c>
      <c r="C268" s="211" t="n">
        <v>575</v>
      </c>
      <c r="D268" s="211">
        <f>+MAXA(_xlfn.CEILING.MATH(C268/60)+2,1)</f>
        <v/>
      </c>
      <c r="E268" s="915" t="n">
        <v>40</v>
      </c>
      <c r="F268" s="915" t="n">
        <v>0</v>
      </c>
      <c r="G268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68" s="294" t="inlineStr">
        <is>
          <t>SANDRIGO (VI)</t>
        </is>
      </c>
      <c r="I268" s="210" t="inlineStr">
        <is>
          <t>B</t>
        </is>
      </c>
      <c r="J268" s="211" t="n">
        <v>212</v>
      </c>
      <c r="K268" s="211">
        <f>+MAXA(_xlfn.CEILING.MATH(J268/60)+2,1)</f>
        <v/>
      </c>
      <c r="L268" s="917" t="n">
        <v>15</v>
      </c>
      <c r="M268" s="917" t="n">
        <v>0</v>
      </c>
      <c r="N268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68" s="294" t="inlineStr">
        <is>
          <t>SANDRIGO (VI)</t>
        </is>
      </c>
      <c r="P268" s="210" t="inlineStr">
        <is>
          <t>F</t>
        </is>
      </c>
      <c r="Q268" s="211" t="n">
        <v>510</v>
      </c>
      <c r="R268" s="211">
        <f>+MAXA(_xlfn.CEILING.MATH(Q268/60)+2,1)</f>
        <v/>
      </c>
      <c r="S268" s="917" t="n">
        <v>37</v>
      </c>
      <c r="T268" s="917" t="n">
        <v>0</v>
      </c>
      <c r="U268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69">
      <c r="A269" s="217" t="inlineStr">
        <is>
          <t>SANREMO (IM)</t>
        </is>
      </c>
      <c r="B269" s="210" t="inlineStr">
        <is>
          <t>F</t>
        </is>
      </c>
      <c r="C269" s="211" t="n">
        <v>650</v>
      </c>
      <c r="D269" s="211">
        <f>+MAXA(_xlfn.CEILING.MATH(C269/60)+2,1)</f>
        <v/>
      </c>
      <c r="E269" s="915" t="n">
        <v>50</v>
      </c>
      <c r="F269" s="915" t="n">
        <v>0</v>
      </c>
      <c r="G269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69" s="294" t="inlineStr">
        <is>
          <t>SANREMO (IM)</t>
        </is>
      </c>
      <c r="I269" s="210" t="inlineStr">
        <is>
          <t>F</t>
        </is>
      </c>
      <c r="J269" s="211" t="n">
        <v>310</v>
      </c>
      <c r="K269" s="211">
        <f>+MAXA(_xlfn.CEILING.MATH(J269/60)+2,1)</f>
        <v/>
      </c>
      <c r="L269" s="917" t="n">
        <v>30</v>
      </c>
      <c r="M269" s="917" t="n">
        <v>0</v>
      </c>
      <c r="N269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69" s="294" t="inlineStr">
        <is>
          <t>SANREMO (IM)</t>
        </is>
      </c>
      <c r="P269" s="210" t="inlineStr">
        <is>
          <t>G</t>
        </is>
      </c>
      <c r="Q269" s="211" t="n">
        <v>777</v>
      </c>
      <c r="R269" s="211">
        <f>+MAXA(_xlfn.CEILING.MATH(Q269/60)+2,1)</f>
        <v/>
      </c>
      <c r="S269" s="917" t="n">
        <v>66</v>
      </c>
      <c r="T269" s="917" t="n">
        <v>0</v>
      </c>
      <c r="U269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70">
      <c r="A270" s="217" t="inlineStr">
        <is>
          <t>SANT FELIU LLOBREGAT (E)</t>
        </is>
      </c>
      <c r="B270" s="210" t="inlineStr">
        <is>
          <t>C</t>
        </is>
      </c>
      <c r="C270" s="211" t="n">
        <v>1375</v>
      </c>
      <c r="D270" s="211">
        <f>+MAXA(_xlfn.CEILING.MATH(C270/60)+2,1)</f>
        <v/>
      </c>
      <c r="E270" s="915" t="n">
        <v>210</v>
      </c>
      <c r="F270" s="915" t="n">
        <v>0</v>
      </c>
      <c r="G270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70" s="294" t="inlineStr">
        <is>
          <t>SANT FELIU LLOBREGAT (E)</t>
        </is>
      </c>
      <c r="I270" s="210" t="inlineStr">
        <is>
          <t>C</t>
        </is>
      </c>
      <c r="J270" s="211" t="n">
        <v>1040</v>
      </c>
      <c r="K270" s="211">
        <f>+MAXA(_xlfn.CEILING.MATH(J270/60)+2,1)</f>
        <v/>
      </c>
      <c r="L270" s="917" t="n">
        <v>165</v>
      </c>
      <c r="M270" s="917" t="n">
        <v>0</v>
      </c>
      <c r="N270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70" s="294" t="inlineStr">
        <is>
          <t>SANT FELIU LLOBREGAT (E)</t>
        </is>
      </c>
      <c r="P270" s="210" t="inlineStr">
        <is>
          <t>F</t>
        </is>
      </c>
      <c r="Q270" s="211" t="n">
        <v>1500</v>
      </c>
      <c r="R270" s="211">
        <f>+MAXA(_xlfn.CEILING.MATH(Q270/60)+2,1)</f>
        <v/>
      </c>
      <c r="S270" s="917" t="n">
        <v>132</v>
      </c>
      <c r="T270" s="917" t="n">
        <v>0</v>
      </c>
      <c r="U270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71">
      <c r="A271" s="217" t="inlineStr">
        <is>
          <t>SANTA CROCE CAMERINA (RG)</t>
        </is>
      </c>
      <c r="B271" s="210" t="inlineStr">
        <is>
          <t>E</t>
        </is>
      </c>
      <c r="C271" s="211" t="n">
        <v>925</v>
      </c>
      <c r="D271" s="211">
        <f>+MAXA(_xlfn.CEILING.MATH(C271/60)+2,1)</f>
        <v/>
      </c>
      <c r="E271" s="915" t="n">
        <v>22</v>
      </c>
      <c r="F271" s="915" t="n">
        <v>170</v>
      </c>
      <c r="G271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71" s="294" t="inlineStr">
        <is>
          <t>SANTA CROCE CAMERINA (RG)</t>
        </is>
      </c>
      <c r="I271" s="210" t="inlineStr">
        <is>
          <t>E</t>
        </is>
      </c>
      <c r="J271" s="211" t="n">
        <v>1480</v>
      </c>
      <c r="K271" s="211">
        <f>+MAXA(_xlfn.CEILING.MATH(J271/60)+2,1)</f>
        <v/>
      </c>
      <c r="L271" s="917" t="n">
        <v>72.09999999999999</v>
      </c>
      <c r="M271" s="917" t="n">
        <v>170</v>
      </c>
      <c r="N271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71" s="294" t="inlineStr">
        <is>
          <t>SANTA CROCE CAMERINA (RG)</t>
        </is>
      </c>
      <c r="P271" s="210" t="inlineStr">
        <is>
          <t>G</t>
        </is>
      </c>
      <c r="Q271" s="211" t="n">
        <v>915</v>
      </c>
      <c r="R271" s="211">
        <f>+MAXA(_xlfn.CEILING.MATH(Q271/60)+2,1)</f>
        <v/>
      </c>
      <c r="S271" s="917" t="n">
        <v>18</v>
      </c>
      <c r="T271" s="917" t="n">
        <v>170</v>
      </c>
      <c r="U271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72">
      <c r="A272" s="217" t="inlineStr">
        <is>
          <t>SANT'ANATOLIA DI NARCO (PG)</t>
        </is>
      </c>
      <c r="B272" s="210" t="inlineStr">
        <is>
          <t>C</t>
        </is>
      </c>
      <c r="C272" s="211" t="n">
        <v>180</v>
      </c>
      <c r="D272" s="211">
        <f>+MAXA(_xlfn.CEILING.MATH(C272/60)+2,1)</f>
        <v/>
      </c>
      <c r="E272" s="915" t="n">
        <v>5</v>
      </c>
      <c r="F272" s="915" t="n">
        <v>0</v>
      </c>
      <c r="G272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72" s="294" t="inlineStr">
        <is>
          <t>SANT'ANATOLIA DI NARCO (PG)</t>
        </is>
      </c>
      <c r="I272" s="210" t="inlineStr">
        <is>
          <t>C</t>
        </is>
      </c>
      <c r="J272" s="211" t="n">
        <v>540</v>
      </c>
      <c r="K272" s="211">
        <f>+MAXA(_xlfn.CEILING.MATH(J272/60)+2,1)</f>
        <v/>
      </c>
      <c r="L272" s="917" t="n">
        <v>38</v>
      </c>
      <c r="M272" s="917" t="n">
        <v>0</v>
      </c>
      <c r="N272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72" s="294" t="inlineStr">
        <is>
          <t>SANT'ANATOLIA DI NARCO (PG)</t>
        </is>
      </c>
      <c r="P272" s="210" t="inlineStr">
        <is>
          <t>F</t>
        </is>
      </c>
      <c r="Q272" s="211" t="n">
        <v>170</v>
      </c>
      <c r="R272" s="211">
        <f>+MAXA(_xlfn.CEILING.MATH(Q272/60)+2,1)</f>
        <v/>
      </c>
      <c r="S272" s="917" t="n">
        <v>5</v>
      </c>
      <c r="T272" s="916" t="n">
        <v>0</v>
      </c>
      <c r="U272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73">
      <c r="A273" s="217" t="inlineStr">
        <is>
          <t>SCHIO (VI)</t>
        </is>
      </c>
      <c r="B273" s="210" t="inlineStr">
        <is>
          <t>B</t>
        </is>
      </c>
      <c r="C273" s="211" t="n">
        <v>590</v>
      </c>
      <c r="D273" s="211" t="n">
        <v>40</v>
      </c>
      <c r="E273" s="915" t="n">
        <v>0</v>
      </c>
      <c r="F273" s="915" t="n">
        <v>0</v>
      </c>
      <c r="G273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73" s="294" t="inlineStr">
        <is>
          <t>SCHIO (VI)</t>
        </is>
      </c>
      <c r="I273" s="210" t="inlineStr">
        <is>
          <t>B</t>
        </is>
      </c>
      <c r="J273" s="211" t="n">
        <v>210</v>
      </c>
      <c r="K273" s="211">
        <f>+MAXA(_xlfn.CEILING.MATH(J273/60)+2,1)</f>
        <v/>
      </c>
      <c r="L273" s="917" t="n">
        <v>15</v>
      </c>
      <c r="M273" s="917" t="n">
        <v>0</v>
      </c>
      <c r="N273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73" s="294" t="inlineStr">
        <is>
          <t>SCHIO (VI)</t>
        </is>
      </c>
      <c r="P273" s="210" t="inlineStr">
        <is>
          <t>F</t>
        </is>
      </c>
      <c r="Q273" s="211" t="n">
        <v>525</v>
      </c>
      <c r="R273" s="211">
        <f>+MAXA(_xlfn.CEILING.MATH(Q273/60)+2,1)</f>
        <v/>
      </c>
      <c r="S273" s="917" t="n">
        <v>38</v>
      </c>
      <c r="T273" s="917" t="n">
        <v>0</v>
      </c>
      <c r="U273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74">
      <c r="A274" s="217" t="inlineStr">
        <is>
          <t>SCHÖNBERG (D)</t>
        </is>
      </c>
      <c r="B274" s="210" t="inlineStr">
        <is>
          <t>F</t>
        </is>
      </c>
      <c r="C274" s="211" t="n">
        <v>1100</v>
      </c>
      <c r="D274" s="211">
        <f>+MAXA(_xlfn.CEILING.MATH(C274/60)+2,1)</f>
        <v/>
      </c>
      <c r="E274" s="915" t="n">
        <v>70</v>
      </c>
      <c r="F274" s="915" t="n">
        <v>0</v>
      </c>
      <c r="G274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74" s="294" t="inlineStr">
        <is>
          <t>SCHÖNBERG (D)</t>
        </is>
      </c>
      <c r="I274" s="210" t="inlineStr">
        <is>
          <t>F</t>
        </is>
      </c>
      <c r="J274" s="211" t="n">
        <v>635</v>
      </c>
      <c r="K274" s="211">
        <f>+MAXA(_xlfn.CEILING.MATH(J274/60)+2,1)</f>
        <v/>
      </c>
      <c r="L274" s="917" t="n">
        <v>20</v>
      </c>
      <c r="M274" s="917" t="n">
        <v>0</v>
      </c>
      <c r="N274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74" s="294" t="inlineStr">
        <is>
          <t>SCHÖNBERG (D)</t>
        </is>
      </c>
      <c r="P274" s="210" t="inlineStr">
        <is>
          <t>G</t>
        </is>
      </c>
      <c r="Q274" s="211" t="n">
        <v>1055</v>
      </c>
      <c r="R274" s="211">
        <f>+MAXA(_xlfn.CEILING.MATH(Q274/60)+2,1)</f>
        <v/>
      </c>
      <c r="S274" s="917" t="n">
        <v>69</v>
      </c>
      <c r="T274" s="917" t="n">
        <v>0</v>
      </c>
      <c r="U274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75">
      <c r="A275" s="217" t="inlineStr">
        <is>
          <t>SCICLI (RG)</t>
        </is>
      </c>
      <c r="B275" s="210" t="inlineStr">
        <is>
          <t>E</t>
        </is>
      </c>
      <c r="C275" s="211" t="n">
        <v>950</v>
      </c>
      <c r="D275" s="211">
        <f>+MAXA(_xlfn.CEILING.MATH(C275/60)+2,1)</f>
        <v/>
      </c>
      <c r="E275" s="915" t="n">
        <v>22</v>
      </c>
      <c r="F275" s="915" t="n">
        <v>170</v>
      </c>
      <c r="G275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75" s="294" t="inlineStr">
        <is>
          <t>SCICLI (RG)</t>
        </is>
      </c>
      <c r="I275" s="210" t="inlineStr">
        <is>
          <t>E</t>
        </is>
      </c>
      <c r="J275" s="211" t="n">
        <v>1505</v>
      </c>
      <c r="K275" s="211">
        <f>+MAXA(_xlfn.CEILING.MATH(J275/60)+2,1)</f>
        <v/>
      </c>
      <c r="L275" s="917" t="n">
        <v>73</v>
      </c>
      <c r="M275" s="917" t="n">
        <v>170</v>
      </c>
      <c r="N275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75" s="294" t="inlineStr">
        <is>
          <t>SCICLI (RG)</t>
        </is>
      </c>
      <c r="P275" s="210" t="inlineStr">
        <is>
          <t>G</t>
        </is>
      </c>
      <c r="Q275" s="211" t="n">
        <v>940</v>
      </c>
      <c r="R275" s="211">
        <f>+MAXA(_xlfn.CEILING.MATH(Q275/60)+2,1)</f>
        <v/>
      </c>
      <c r="S275" s="917" t="n">
        <v>18</v>
      </c>
      <c r="T275" s="917" t="n">
        <v>170</v>
      </c>
      <c r="U275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76">
      <c r="A276" s="217" t="inlineStr">
        <is>
          <t>SCORZÈ (VE)</t>
        </is>
      </c>
      <c r="B276" s="210" t="inlineStr">
        <is>
          <t>B</t>
        </is>
      </c>
      <c r="C276" s="211" t="n">
        <v>564</v>
      </c>
      <c r="D276" s="211">
        <f>+MAXA(_xlfn.CEILING.MATH(C276/60)+2,1)</f>
        <v/>
      </c>
      <c r="E276" s="915" t="n">
        <v>42</v>
      </c>
      <c r="F276" s="915" t="n">
        <v>0</v>
      </c>
      <c r="G276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76" s="294" t="inlineStr">
        <is>
          <t>SCORZÈ (VE)</t>
        </is>
      </c>
      <c r="I276" s="210" t="inlineStr">
        <is>
          <t>B</t>
        </is>
      </c>
      <c r="J276" s="211" t="n">
        <v>250</v>
      </c>
      <c r="K276" s="211">
        <f>+MAXA(_xlfn.CEILING.MATH(J276/60)+2,1)</f>
        <v/>
      </c>
      <c r="L276" s="917" t="n">
        <v>18</v>
      </c>
      <c r="M276" s="917" t="n">
        <v>0</v>
      </c>
      <c r="N276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76" s="294" t="inlineStr">
        <is>
          <t>SCORZÈ (VE)</t>
        </is>
      </c>
      <c r="P276" s="210" t="inlineStr">
        <is>
          <t>F</t>
        </is>
      </c>
      <c r="Q276" s="211" t="n">
        <v>500</v>
      </c>
      <c r="R276" s="211">
        <f>+MAXA(_xlfn.CEILING.MATH(Q276/60)+2,1)</f>
        <v/>
      </c>
      <c r="S276" s="917" t="n">
        <v>39</v>
      </c>
      <c r="T276" s="916" t="n">
        <v>0</v>
      </c>
      <c r="U276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77">
      <c r="A277" s="217" t="inlineStr">
        <is>
          <t>SECUGNANO (LO)</t>
        </is>
      </c>
      <c r="B277" s="210" t="inlineStr">
        <is>
          <t>A</t>
        </is>
      </c>
      <c r="C277" s="211" t="n">
        <v>570</v>
      </c>
      <c r="D277" s="211">
        <f>+MAXA(_xlfn.CEILING.MATH(C277/60)+2,1)</f>
        <v/>
      </c>
      <c r="E277" s="915" t="n">
        <v>40</v>
      </c>
      <c r="F277" s="915" t="n">
        <v>0</v>
      </c>
      <c r="G277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77" s="294" t="inlineStr">
        <is>
          <t>SECUGNANO (LO)</t>
        </is>
      </c>
      <c r="I277" s="210" t="inlineStr">
        <is>
          <t>A</t>
        </is>
      </c>
      <c r="J277" s="211" t="n">
        <v>65</v>
      </c>
      <c r="K277" s="211">
        <f>+MAXA(_xlfn.CEILING.MATH(J277/60)+2,1)</f>
        <v/>
      </c>
      <c r="L277" s="917" t="n">
        <v>5</v>
      </c>
      <c r="M277" s="917" t="n">
        <v>0</v>
      </c>
      <c r="N277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77" s="294" t="inlineStr">
        <is>
          <t>SECUGNANO (LO)</t>
        </is>
      </c>
      <c r="P277" s="210" t="inlineStr">
        <is>
          <t>F</t>
        </is>
      </c>
      <c r="Q277" s="211" t="n">
        <v>525</v>
      </c>
      <c r="R277" s="211">
        <f>+MAXA(_xlfn.CEILING.MATH(Q277/60)+2,1)</f>
        <v/>
      </c>
      <c r="S277" s="917" t="n">
        <v>39</v>
      </c>
      <c r="T277" s="917" t="n">
        <v>0</v>
      </c>
      <c r="U277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78">
      <c r="A278" s="217" t="inlineStr">
        <is>
          <t>SENIGALLIA (AN)</t>
        </is>
      </c>
      <c r="B278" s="210" t="inlineStr">
        <is>
          <t>D</t>
        </is>
      </c>
      <c r="C278" s="211" t="n">
        <v>320</v>
      </c>
      <c r="D278" s="211">
        <f>+MAXA(_xlfn.CEILING.MATH(C278/60)+2,1)</f>
        <v/>
      </c>
      <c r="E278" s="915" t="n">
        <v>5</v>
      </c>
      <c r="F278" s="915" t="n">
        <v>0</v>
      </c>
      <c r="G278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78" s="294" t="inlineStr">
        <is>
          <t>SENIGALLIA (AN)</t>
        </is>
      </c>
      <c r="I278" s="210" t="inlineStr">
        <is>
          <t>C</t>
        </is>
      </c>
      <c r="J278" s="211" t="n">
        <v>420</v>
      </c>
      <c r="K278" s="211">
        <f>+MAXA(_xlfn.CEILING.MATH(J278/60)+2,1)</f>
        <v/>
      </c>
      <c r="L278" s="917" t="n">
        <v>37</v>
      </c>
      <c r="M278" s="917" t="n">
        <v>0</v>
      </c>
      <c r="N278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78" s="294" t="inlineStr">
        <is>
          <t>SENIGALLIA (AN)</t>
        </is>
      </c>
      <c r="P278" s="210" t="inlineStr">
        <is>
          <t>C</t>
        </is>
      </c>
      <c r="Q278" s="211" t="n">
        <v>175</v>
      </c>
      <c r="R278" s="211">
        <f>+MAXA(_xlfn.CEILING.MATH(Q278/60)+2,1)</f>
        <v/>
      </c>
      <c r="S278" s="917" t="n">
        <v>14</v>
      </c>
      <c r="T278" s="917" t="n">
        <v>0</v>
      </c>
      <c r="U278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79">
      <c r="A279" s="217" t="inlineStr">
        <is>
          <t>SENNINGERBERG (LB)</t>
        </is>
      </c>
      <c r="B279" s="210" t="inlineStr">
        <is>
          <t>F</t>
        </is>
      </c>
      <c r="C279" s="211" t="n">
        <v>1290</v>
      </c>
      <c r="D279" s="211">
        <f>+MAXA(_xlfn.CEILING.MATH(C279/60)+2,1)</f>
        <v/>
      </c>
      <c r="E279" s="915" t="n">
        <v>60</v>
      </c>
      <c r="F279" s="915" t="n">
        <v>0</v>
      </c>
      <c r="G279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79" s="294" t="inlineStr">
        <is>
          <t>SENNINGERBERG (LB)</t>
        </is>
      </c>
      <c r="I279" s="210" t="inlineStr">
        <is>
          <t>F</t>
        </is>
      </c>
      <c r="J279" s="211" t="n">
        <v>710</v>
      </c>
      <c r="K279" s="211">
        <f>+MAXA(_xlfn.CEILING.MATH(J279/60)+2,1)</f>
        <v/>
      </c>
      <c r="L279" s="917" t="n">
        <v>20</v>
      </c>
      <c r="M279" s="917" t="n">
        <v>0</v>
      </c>
      <c r="N279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79" s="294" t="inlineStr">
        <is>
          <t>SENNINGERBERG (LB)</t>
        </is>
      </c>
      <c r="P279" s="210" t="inlineStr">
        <is>
          <t>F</t>
        </is>
      </c>
      <c r="Q279" s="211" t="n">
        <v>1290</v>
      </c>
      <c r="R279" s="211">
        <f>+MAXA(_xlfn.CEILING.MATH(Q279/60)+2,1)</f>
        <v/>
      </c>
      <c r="S279" s="917" t="n">
        <v>60</v>
      </c>
      <c r="T279" s="917" t="n">
        <v>0</v>
      </c>
      <c r="U279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80">
      <c r="A280" s="217" t="inlineStr">
        <is>
          <t>SEREGNO (MB)</t>
        </is>
      </c>
      <c r="B280" s="210" t="inlineStr">
        <is>
          <t>A</t>
        </is>
      </c>
      <c r="C280" s="211" t="n">
        <v>635</v>
      </c>
      <c r="D280" s="211">
        <f>+MAXA(_xlfn.CEILING.MATH(C280/60)+2,1)</f>
        <v/>
      </c>
      <c r="E280" s="915" t="n">
        <v>47</v>
      </c>
      <c r="F280" s="915" t="n"/>
      <c r="G280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80" s="294" t="inlineStr">
        <is>
          <t>SEREGNO (MB)</t>
        </is>
      </c>
      <c r="I280" s="210" t="inlineStr">
        <is>
          <t>A</t>
        </is>
      </c>
      <c r="J280" s="211" t="n">
        <v>28</v>
      </c>
      <c r="K280" s="211">
        <f>+MAXA(_xlfn.CEILING.MATH(J280/60)+2,1)</f>
        <v/>
      </c>
      <c r="L280" s="917" t="n">
        <v>0</v>
      </c>
      <c r="M280" s="917" t="n"/>
      <c r="N280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80" s="294" t="inlineStr">
        <is>
          <t>SEREGNO (MB)</t>
        </is>
      </c>
      <c r="P280" s="210" t="inlineStr">
        <is>
          <t>F</t>
        </is>
      </c>
      <c r="Q280" s="211" t="n">
        <v>590</v>
      </c>
      <c r="R280" s="211">
        <f>+MAXA(_xlfn.CEILING.MATH(Q280/60)+2,1)</f>
        <v/>
      </c>
      <c r="S280" s="917" t="n">
        <v>46</v>
      </c>
      <c r="T280" s="917" t="n">
        <v>0</v>
      </c>
      <c r="U280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81">
      <c r="A281" s="217" t="inlineStr">
        <is>
          <t>SETTALA (MI)</t>
        </is>
      </c>
      <c r="B281" s="210" t="inlineStr">
        <is>
          <t>A</t>
        </is>
      </c>
      <c r="C281" s="211" t="n">
        <v>610</v>
      </c>
      <c r="D281" s="211">
        <f>+MAXA(_xlfn.CEILING.MATH(C281/60)+2,1)</f>
        <v/>
      </c>
      <c r="E281" s="915" t="n">
        <v>45</v>
      </c>
      <c r="F281" s="915" t="n">
        <v>0</v>
      </c>
      <c r="G281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81" s="294" t="inlineStr">
        <is>
          <t>SETTALA (MI)</t>
        </is>
      </c>
      <c r="I281" s="210" t="inlineStr">
        <is>
          <t>A</t>
        </is>
      </c>
      <c r="J281" s="211" t="n">
        <v>32</v>
      </c>
      <c r="K281" s="211">
        <f>+MAXA(_xlfn.CEILING.MATH(J281/60)+2,1)</f>
        <v/>
      </c>
      <c r="L281" s="917" t="n">
        <v>5</v>
      </c>
      <c r="M281" s="917" t="n">
        <v>0</v>
      </c>
      <c r="N281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81" s="294" t="inlineStr">
        <is>
          <t>SETTALA (MI)</t>
        </is>
      </c>
      <c r="P281" s="210" t="inlineStr">
        <is>
          <t>D</t>
        </is>
      </c>
      <c r="Q281" s="211" t="n">
        <v>565</v>
      </c>
      <c r="R281" s="211">
        <f>+MAXA(_xlfn.CEILING.MATH(Q281/60)+2,1)</f>
        <v/>
      </c>
      <c r="S281" s="917" t="n">
        <v>44</v>
      </c>
      <c r="T281" s="917" t="n">
        <v>0</v>
      </c>
      <c r="U281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82">
      <c r="A282" s="217" t="inlineStr">
        <is>
          <t>SETTIMO MILANESE (MI)</t>
        </is>
      </c>
      <c r="B282" s="210" t="inlineStr">
        <is>
          <t>A</t>
        </is>
      </c>
      <c r="C282" s="211" t="n">
        <v>625</v>
      </c>
      <c r="D282" s="211">
        <f>+MAXA(_xlfn.CEILING.MATH(C282/60)+2,1)</f>
        <v/>
      </c>
      <c r="E282" s="915" t="n">
        <v>45</v>
      </c>
      <c r="F282" s="915" t="n">
        <v>0</v>
      </c>
      <c r="G282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82" s="294" t="inlineStr">
        <is>
          <t>SETTIMO MILANESE (MI)</t>
        </is>
      </c>
      <c r="I282" s="210" t="inlineStr">
        <is>
          <t>A</t>
        </is>
      </c>
      <c r="J282" s="211" t="n">
        <v>45</v>
      </c>
      <c r="K282" s="211">
        <f>+MAXA(_xlfn.CEILING.MATH(J282/60)+2,1)</f>
        <v/>
      </c>
      <c r="L282" s="917" t="n">
        <v>2</v>
      </c>
      <c r="M282" s="917" t="n"/>
      <c r="N282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82" s="294" t="inlineStr">
        <is>
          <t>SETTIMO MILANESE (MI)</t>
        </is>
      </c>
      <c r="P282" s="210" t="inlineStr">
        <is>
          <t>D</t>
        </is>
      </c>
      <c r="Q282" s="211" t="n">
        <v>580</v>
      </c>
      <c r="R282" s="211">
        <f>+MAXA(_xlfn.CEILING.MATH(Q282/60)+2,1)</f>
        <v/>
      </c>
      <c r="S282" s="917" t="n">
        <v>44</v>
      </c>
      <c r="T282" s="917" t="n">
        <v>0</v>
      </c>
      <c r="U282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83">
      <c r="A283" s="217" t="inlineStr">
        <is>
          <t>SEZZE SCALO (LT)</t>
        </is>
      </c>
      <c r="B283" s="210" t="inlineStr">
        <is>
          <t>A</t>
        </is>
      </c>
      <c r="C283" s="211" t="n">
        <v>60</v>
      </c>
      <c r="D283" s="211">
        <f>+MAXA(_xlfn.CEILING.MATH(C283/60)+2,1)</f>
        <v/>
      </c>
      <c r="E283" s="915" t="n">
        <v>0</v>
      </c>
      <c r="F283" s="915" t="n">
        <v>0</v>
      </c>
      <c r="G283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83" s="294" t="inlineStr">
        <is>
          <t>SEZZE SCALO (LT)</t>
        </is>
      </c>
      <c r="I283" s="210" t="inlineStr">
        <is>
          <t>A</t>
        </is>
      </c>
      <c r="J283" s="211" t="n">
        <v>695</v>
      </c>
      <c r="K283" s="211">
        <f>+MAXA(_xlfn.CEILING.MATH(J283/60)+2,1)</f>
        <v/>
      </c>
      <c r="L283" s="917" t="n">
        <v>56</v>
      </c>
      <c r="M283" s="917" t="n">
        <v>0</v>
      </c>
      <c r="N283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83" s="294" t="inlineStr">
        <is>
          <t>SEZZE SCALO (LT)</t>
        </is>
      </c>
      <c r="P283" s="210" t="inlineStr">
        <is>
          <t>F</t>
        </is>
      </c>
      <c r="Q283" s="211" t="n">
        <v>235</v>
      </c>
      <c r="R283" s="211">
        <f>+MAXA(_xlfn.CEILING.MATH(Q283/60)+2,1)</f>
        <v/>
      </c>
      <c r="S283" s="917" t="n">
        <v>12</v>
      </c>
      <c r="T283" s="917" t="n">
        <v>0</v>
      </c>
      <c r="U283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84">
      <c r="A284" s="217" t="inlineStr">
        <is>
          <t>SGURGOLA (FR)</t>
        </is>
      </c>
      <c r="B284" s="210" t="inlineStr">
        <is>
          <t>C</t>
        </is>
      </c>
      <c r="C284" s="211" t="n">
        <v>91</v>
      </c>
      <c r="D284" s="211">
        <f>+MAXA(_xlfn.CEILING.MATH(C284/60)+2,1)</f>
        <v/>
      </c>
      <c r="E284" s="915" t="n">
        <v>4</v>
      </c>
      <c r="F284" s="915" t="n">
        <v>0</v>
      </c>
      <c r="G284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84" s="294" t="inlineStr">
        <is>
          <t>SGURGOLA (FR)</t>
        </is>
      </c>
      <c r="I284" s="210" t="inlineStr">
        <is>
          <t>B</t>
        </is>
      </c>
      <c r="J284" s="211" t="n">
        <v>650</v>
      </c>
      <c r="K284" s="211">
        <f>+MAXA(_xlfn.CEILING.MATH(J284/60)+2,1)</f>
        <v/>
      </c>
      <c r="L284" s="917" t="n">
        <v>55</v>
      </c>
      <c r="M284" s="917" t="n">
        <v>0</v>
      </c>
      <c r="N284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84" s="294" t="inlineStr">
        <is>
          <t>SGURGOLA (FR)</t>
        </is>
      </c>
      <c r="P284" s="210" t="inlineStr">
        <is>
          <t>D</t>
        </is>
      </c>
      <c r="Q284" s="211" t="n">
        <v>215</v>
      </c>
      <c r="R284" s="211">
        <f>+MAXA(_xlfn.CEILING.MATH(Q284/60)+2,1)</f>
        <v/>
      </c>
      <c r="S284" s="917" t="n">
        <v>12</v>
      </c>
      <c r="T284" s="917" t="n">
        <v>0</v>
      </c>
      <c r="U284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85">
      <c r="A285" s="217" t="inlineStr">
        <is>
          <t>SILVANO PIETRA (PV)</t>
        </is>
      </c>
      <c r="B285" s="210" t="inlineStr">
        <is>
          <t>B</t>
        </is>
      </c>
      <c r="C285" s="211" t="n">
        <v>620</v>
      </c>
      <c r="D285" s="211">
        <f>+MAXA(_xlfn.CEILING.MATH(C285/60)+2,1)</f>
        <v/>
      </c>
      <c r="E285" s="915" t="n">
        <v>46</v>
      </c>
      <c r="F285" s="915" t="n">
        <v>0</v>
      </c>
      <c r="G285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85" s="294" t="inlineStr">
        <is>
          <t>SILVANO PIETRA (PV)</t>
        </is>
      </c>
      <c r="I285" s="210" t="inlineStr">
        <is>
          <t>B</t>
        </is>
      </c>
      <c r="J285" s="211" t="n">
        <v>105</v>
      </c>
      <c r="K285" s="211">
        <f>+MAXA(_xlfn.CEILING.MATH(J285/60)+2,1)</f>
        <v/>
      </c>
      <c r="L285" s="917" t="n">
        <v>11.5</v>
      </c>
      <c r="M285" s="917" t="n">
        <v>0</v>
      </c>
      <c r="N285" s="917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85" s="294" t="inlineStr">
        <is>
          <t>SILVANO PIETRA (PV)</t>
        </is>
      </c>
      <c r="P285" s="210" t="inlineStr">
        <is>
          <t>F</t>
        </is>
      </c>
      <c r="Q285" s="211" t="n">
        <v>575</v>
      </c>
      <c r="R285" s="211">
        <f>+MAXA(_xlfn.CEILING.MATH(Q285/60)+2,1)</f>
        <v/>
      </c>
      <c r="S285" s="917" t="n">
        <v>45</v>
      </c>
      <c r="T285" s="917" t="n">
        <v>0</v>
      </c>
      <c r="U285" s="917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86">
      <c r="A286" s="217" t="inlineStr">
        <is>
          <t>SINT-NIKLAAS (B)</t>
        </is>
      </c>
      <c r="B286" s="210" t="inlineStr">
        <is>
          <t>F</t>
        </is>
      </c>
      <c r="C286" s="211" t="n">
        <v>1540</v>
      </c>
      <c r="D286" s="211">
        <f>+MAXA(_xlfn.CEILING.MATH(C286/60)+2,1)</f>
        <v/>
      </c>
      <c r="E286" s="915" t="n">
        <v>60</v>
      </c>
      <c r="F286" s="915" t="n">
        <v>0</v>
      </c>
      <c r="G286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86" s="294" t="inlineStr">
        <is>
          <t>SINT-NIKLAAS (B)</t>
        </is>
      </c>
      <c r="I286" s="210" t="inlineStr">
        <is>
          <t>F</t>
        </is>
      </c>
      <c r="J286" s="211" t="n">
        <v>950</v>
      </c>
      <c r="K286" s="211">
        <f>+MAXA(_xlfn.CEILING.MATH(J286/60)+2,1)</f>
        <v/>
      </c>
      <c r="L286" s="916" t="n">
        <v>17</v>
      </c>
      <c r="M286" s="917" t="n">
        <v>0</v>
      </c>
      <c r="N286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86" s="294" t="inlineStr">
        <is>
          <t>SINT-NIKLAAS (B)</t>
        </is>
      </c>
      <c r="P286" s="210" t="inlineStr">
        <is>
          <t>G</t>
        </is>
      </c>
      <c r="Q286" s="211" t="n">
        <v>1495</v>
      </c>
      <c r="R286" s="211">
        <f>+MAXA(_xlfn.CEILING.MATH(Q286/60)+2,1)</f>
        <v/>
      </c>
      <c r="S286" s="916" t="n">
        <v>60</v>
      </c>
      <c r="T286" s="916" t="n">
        <v>0</v>
      </c>
      <c r="U286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87">
      <c r="A287" s="217" t="inlineStr">
        <is>
          <t>SIRACUSA (SR)</t>
        </is>
      </c>
      <c r="B287" s="210" t="inlineStr">
        <is>
          <t>E</t>
        </is>
      </c>
      <c r="C287" s="211" t="n">
        <v>900</v>
      </c>
      <c r="D287" s="211">
        <f>+MAXA(_xlfn.CEILING.MATH(C287/60)+2,1)</f>
        <v/>
      </c>
      <c r="E287" s="915" t="n">
        <v>25</v>
      </c>
      <c r="F287" s="915" t="n">
        <v>170</v>
      </c>
      <c r="G287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87" s="217" t="inlineStr">
        <is>
          <t>SIRACUSA (SR)</t>
        </is>
      </c>
      <c r="I287" s="210" t="inlineStr">
        <is>
          <t>E</t>
        </is>
      </c>
      <c r="J287" s="211" t="n">
        <v>1440</v>
      </c>
      <c r="K287" s="211">
        <f>+MAXA(_xlfn.CEILING.MATH(J287/60)+2,1)</f>
        <v/>
      </c>
      <c r="L287" s="916" t="n">
        <v>75</v>
      </c>
      <c r="M287" s="917" t="n">
        <v>170</v>
      </c>
      <c r="N287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87" s="217" t="inlineStr">
        <is>
          <t>SIRACUSA (SR)</t>
        </is>
      </c>
      <c r="P287" s="210" t="inlineStr">
        <is>
          <t>F</t>
        </is>
      </c>
      <c r="Q287" s="211" t="n">
        <v>870</v>
      </c>
      <c r="R287" s="211">
        <f>+MAXA(_xlfn.CEILING.MATH(Q287/60)+2,1)</f>
        <v/>
      </c>
      <c r="S287" s="916" t="n">
        <v>18</v>
      </c>
      <c r="T287" s="916" t="n">
        <v>170</v>
      </c>
      <c r="U287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88">
      <c r="A288" s="217" t="inlineStr">
        <is>
          <t>SORA (FR)</t>
        </is>
      </c>
      <c r="B288" s="210" t="inlineStr">
        <is>
          <t>C</t>
        </is>
      </c>
      <c r="C288" s="211" t="n">
        <v>135</v>
      </c>
      <c r="D288" s="211">
        <f>+MAXA(_xlfn.CEILING.MATH(C288/60)+2,1)</f>
        <v/>
      </c>
      <c r="E288" s="915" t="n">
        <v>5</v>
      </c>
      <c r="F288" s="915" t="n">
        <v>0</v>
      </c>
      <c r="G288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88" s="294" t="inlineStr">
        <is>
          <t>SORA (FR)</t>
        </is>
      </c>
      <c r="I288" s="210" t="inlineStr">
        <is>
          <t>B</t>
        </is>
      </c>
      <c r="J288" s="211" t="n">
        <v>690</v>
      </c>
      <c r="K288" s="211">
        <f>+MAXA(_xlfn.CEILING.MATH(J288/60)+2,1)</f>
        <v/>
      </c>
      <c r="L288" s="916" t="n">
        <v>56</v>
      </c>
      <c r="M288" s="917" t="n">
        <v>0</v>
      </c>
      <c r="N288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88" s="294" t="inlineStr">
        <is>
          <t>SORA (FR)</t>
        </is>
      </c>
      <c r="P288" s="210" t="inlineStr">
        <is>
          <t>D</t>
        </is>
      </c>
      <c r="Q288" s="211" t="n">
        <v>165</v>
      </c>
      <c r="R288" s="211">
        <f>+MAXA(_xlfn.CEILING.MATH(Q288/60)+2,1)</f>
        <v/>
      </c>
      <c r="S288" s="916" t="n">
        <v>12</v>
      </c>
      <c r="T288" s="916" t="n">
        <v>0</v>
      </c>
      <c r="U288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89">
      <c r="A289" s="217" t="inlineStr">
        <is>
          <t>SPITTAL AN DER DRAU (A)</t>
        </is>
      </c>
      <c r="B289" s="210" t="inlineStr">
        <is>
          <t>F</t>
        </is>
      </c>
      <c r="C289" s="211" t="n">
        <v>850</v>
      </c>
      <c r="D289" s="211">
        <f>+MAXA(_xlfn.CEILING.MATH(C289/60)+2,1)</f>
        <v/>
      </c>
      <c r="E289" s="915" t="n">
        <v>60</v>
      </c>
      <c r="F289" s="915" t="n">
        <v>0</v>
      </c>
      <c r="G289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89" s="294" t="inlineStr">
        <is>
          <t>SPITTAL AN DER DRAU (A)</t>
        </is>
      </c>
      <c r="I289" s="210" t="inlineStr">
        <is>
          <t>F</t>
        </is>
      </c>
      <c r="J289" s="211" t="n">
        <v>520</v>
      </c>
      <c r="K289" s="211">
        <f>+MAXA(_xlfn.CEILING.MATH(J289/60)+2,1)</f>
        <v/>
      </c>
      <c r="L289" s="917" t="n">
        <v>40</v>
      </c>
      <c r="M289" s="917" t="n">
        <v>0</v>
      </c>
      <c r="N289" s="917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89" s="294" t="inlineStr">
        <is>
          <t>SPITTAL AN DER DRAU (A)</t>
        </is>
      </c>
      <c r="P289" s="210" t="inlineStr">
        <is>
          <t>F</t>
        </is>
      </c>
      <c r="Q289" s="211" t="n">
        <v>770</v>
      </c>
      <c r="R289" s="211">
        <f>+MAXA(_xlfn.CEILING.MATH(Q289/60)+2,1)</f>
        <v/>
      </c>
      <c r="S289" s="917" t="n">
        <v>58</v>
      </c>
      <c r="T289" s="916" t="n">
        <v>0</v>
      </c>
      <c r="U289" s="917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90">
      <c r="A290" s="217" t="inlineStr">
        <is>
          <t>SPITTALPLANT (A)</t>
        </is>
      </c>
      <c r="B290" s="210" t="inlineStr">
        <is>
          <t>F</t>
        </is>
      </c>
      <c r="C290" s="211" t="n">
        <v>850</v>
      </c>
      <c r="D290" s="211">
        <f>+MAXA(_xlfn.CEILING.MATH(C290/60)+2,1)</f>
        <v/>
      </c>
      <c r="E290" s="915" t="n">
        <v>60</v>
      </c>
      <c r="F290" s="915" t="n">
        <v>0</v>
      </c>
      <c r="G290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90" s="294" t="inlineStr">
        <is>
          <t>SPITTALPLANT (A)</t>
        </is>
      </c>
      <c r="I290" s="210" t="inlineStr">
        <is>
          <t>F</t>
        </is>
      </c>
      <c r="J290" s="211" t="n">
        <v>520</v>
      </c>
      <c r="K290" s="211">
        <f>+MAXA(_xlfn.CEILING.MATH(J290/60)+2,1)</f>
        <v/>
      </c>
      <c r="L290" s="917" t="n">
        <v>40</v>
      </c>
      <c r="M290" s="917" t="n">
        <v>0</v>
      </c>
      <c r="N290" s="917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90" s="294" t="inlineStr">
        <is>
          <t>SPITTALPLANT (A)</t>
        </is>
      </c>
      <c r="P290" s="210" t="inlineStr">
        <is>
          <t>F</t>
        </is>
      </c>
      <c r="Q290" s="211" t="n">
        <v>770</v>
      </c>
      <c r="R290" s="211">
        <f>+MAXA(_xlfn.CEILING.MATH(Q290/60)+2,1)</f>
        <v/>
      </c>
      <c r="S290" s="917" t="n">
        <v>58</v>
      </c>
      <c r="T290" s="916" t="n">
        <v>0</v>
      </c>
      <c r="U290" s="917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91">
      <c r="A291" s="217" t="inlineStr">
        <is>
          <t>SPOLETO (PG)</t>
        </is>
      </c>
      <c r="B291" s="210" t="inlineStr">
        <is>
          <t>C</t>
        </is>
      </c>
      <c r="C291" s="211" t="n">
        <v>170</v>
      </c>
      <c r="D291" s="211">
        <f>+MAXA(_xlfn.CEILING.MATH(C291/60)+2,1)</f>
        <v/>
      </c>
      <c r="E291" s="915" t="n">
        <v>5</v>
      </c>
      <c r="F291" s="915" t="n">
        <v>0</v>
      </c>
      <c r="G291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91" s="294" t="inlineStr">
        <is>
          <t>SPOLETO (PG)</t>
        </is>
      </c>
      <c r="I291" s="210" t="inlineStr">
        <is>
          <t>C</t>
        </is>
      </c>
      <c r="J291" s="211" t="n">
        <v>534</v>
      </c>
      <c r="K291" s="211">
        <f>+MAXA(_xlfn.CEILING.MATH(J291/60)+2,1)</f>
        <v/>
      </c>
      <c r="L291" s="917" t="n">
        <v>38</v>
      </c>
      <c r="M291" s="917" t="n">
        <v>0</v>
      </c>
      <c r="N291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91" s="294" t="inlineStr">
        <is>
          <t>SPOLETO (PG)</t>
        </is>
      </c>
      <c r="P291" s="210" t="inlineStr">
        <is>
          <t>F</t>
        </is>
      </c>
      <c r="Q291" s="211" t="n">
        <v>180</v>
      </c>
      <c r="R291" s="211">
        <f>+MAXA(_xlfn.CEILING.MATH(Q291/60)+2,1)</f>
        <v/>
      </c>
      <c r="S291" s="917" t="n">
        <v>5</v>
      </c>
      <c r="T291" s="917" t="n">
        <v>0</v>
      </c>
      <c r="U291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92">
      <c r="A292" s="217" t="inlineStr">
        <is>
          <t>STADTALLENDORF (D)</t>
        </is>
      </c>
      <c r="B292" s="210" t="inlineStr">
        <is>
          <t>F</t>
        </is>
      </c>
      <c r="C292" s="211" t="n">
        <v>1372</v>
      </c>
      <c r="D292" s="211">
        <f>+MAXA(_xlfn.CEILING.MATH(C292/60)+2,1)</f>
        <v/>
      </c>
      <c r="E292" s="915" t="n">
        <v>51</v>
      </c>
      <c r="F292" s="915" t="n">
        <v>0</v>
      </c>
      <c r="G292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92" s="294" t="inlineStr">
        <is>
          <t>STADTALLENDORF (D)</t>
        </is>
      </c>
      <c r="I292" s="210" t="inlineStr">
        <is>
          <t>F</t>
        </is>
      </c>
      <c r="J292" s="211" t="n">
        <v>785</v>
      </c>
      <c r="K292" s="211">
        <f>+MAXA(_xlfn.CEILING.MATH(J292/60)+2,1)</f>
        <v/>
      </c>
      <c r="L292" s="917" t="n">
        <v>10</v>
      </c>
      <c r="M292" s="917" t="n">
        <v>0</v>
      </c>
      <c r="N292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92" s="294" t="inlineStr">
        <is>
          <t>STADTALLENDORF (D)</t>
        </is>
      </c>
      <c r="P292" s="210" t="inlineStr">
        <is>
          <t>G</t>
        </is>
      </c>
      <c r="Q292" s="211" t="n">
        <v>1327</v>
      </c>
      <c r="R292" s="211">
        <f>+MAXA(_xlfn.CEILING.MATH(Q292/60)+2,1)</f>
        <v/>
      </c>
      <c r="S292" s="917" t="n">
        <v>50</v>
      </c>
      <c r="T292" s="917" t="n">
        <v>0</v>
      </c>
      <c r="U292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93">
      <c r="A293" s="217" t="inlineStr">
        <is>
          <t>STOCCOLMA (S)</t>
        </is>
      </c>
      <c r="B293" s="210" t="inlineStr">
        <is>
          <t>E</t>
        </is>
      </c>
      <c r="C293" s="211" t="n">
        <v>2750</v>
      </c>
      <c r="D293" s="211">
        <f>+MAXA(_xlfn.CEILING.MATH(C293/60)+2,1)</f>
        <v/>
      </c>
      <c r="E293" s="915" t="n">
        <v>50</v>
      </c>
      <c r="F293" s="915" t="n">
        <v>350</v>
      </c>
      <c r="G293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93" s="294" t="inlineStr">
        <is>
          <t>STOCCOLMA (S)</t>
        </is>
      </c>
      <c r="I293" s="210" t="inlineStr">
        <is>
          <t>E</t>
        </is>
      </c>
      <c r="J293" s="211" t="n">
        <v>2300</v>
      </c>
      <c r="K293" s="211">
        <f>+MAXA(_xlfn.CEILING.MATH(J293/60)+2,1)</f>
        <v/>
      </c>
      <c r="L293" s="917" t="n">
        <v>40</v>
      </c>
      <c r="M293" s="917" t="n">
        <v>350</v>
      </c>
      <c r="N293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93" s="294" t="inlineStr">
        <is>
          <t>STOCCOLMA (S)</t>
        </is>
      </c>
      <c r="P293" s="210" t="inlineStr">
        <is>
          <t>F</t>
        </is>
      </c>
      <c r="Q293" s="211" t="n">
        <v>2501</v>
      </c>
      <c r="R293" s="211">
        <f>+MAXA(_xlfn.CEILING.MATH(Q293/60)+2,1)</f>
        <v/>
      </c>
      <c r="S293" s="917" t="n">
        <v>130</v>
      </c>
      <c r="T293" s="917" t="n">
        <v>350</v>
      </c>
      <c r="U293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94">
      <c r="A294" s="217" t="inlineStr">
        <is>
          <t>STRADELLA (PV)</t>
        </is>
      </c>
      <c r="B294" s="210" t="inlineStr">
        <is>
          <t>B</t>
        </is>
      </c>
      <c r="C294" s="211" t="n">
        <v>590</v>
      </c>
      <c r="D294" s="211">
        <f>+MAXA(_xlfn.CEILING.MATH(C294/60)+2,1)</f>
        <v/>
      </c>
      <c r="E294" s="915" t="n">
        <v>45</v>
      </c>
      <c r="F294" s="915" t="n">
        <v>0</v>
      </c>
      <c r="G294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94" s="294" t="inlineStr">
        <is>
          <t>STRADELLA (PV)</t>
        </is>
      </c>
      <c r="I294" s="210" t="inlineStr">
        <is>
          <t>B</t>
        </is>
      </c>
      <c r="J294" s="211" t="n">
        <v>90</v>
      </c>
      <c r="K294" s="211">
        <f>+MAXA(_xlfn.CEILING.MATH(J294/60)+2,1)</f>
        <v/>
      </c>
      <c r="L294" s="917" t="n">
        <v>7.5</v>
      </c>
      <c r="M294" s="917" t="n">
        <v>0</v>
      </c>
      <c r="N294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94" s="294" t="inlineStr">
        <is>
          <t>STRADELLA (PV)</t>
        </is>
      </c>
      <c r="P294" s="210" t="inlineStr">
        <is>
          <t>F</t>
        </is>
      </c>
      <c r="Q294" s="211" t="n">
        <v>545</v>
      </c>
      <c r="R294" s="211">
        <f>+MAXA(_xlfn.CEILING.MATH(Q294/60)+2,1)</f>
        <v/>
      </c>
      <c r="S294" s="917" t="n">
        <v>42</v>
      </c>
      <c r="T294" s="917" t="n">
        <v>0</v>
      </c>
      <c r="U294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95">
      <c r="A295" s="217" t="inlineStr">
        <is>
          <t>STREDOKLUKY - COMP.ALFA - PGIO (CZ)</t>
        </is>
      </c>
      <c r="B295" s="210" t="inlineStr">
        <is>
          <t>E</t>
        </is>
      </c>
      <c r="C295" s="211" t="n">
        <v>1340</v>
      </c>
      <c r="D295" s="211">
        <f>+MAXA(_xlfn.CEILING.MATH(C295/60)+2,1)</f>
        <v/>
      </c>
      <c r="E295" s="915" t="n">
        <v>70</v>
      </c>
      <c r="F295" s="915" t="n">
        <v>0</v>
      </c>
      <c r="G295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95" s="294" t="inlineStr">
        <is>
          <t>STREDOKLUKY - COMP.ALFA - PGIO (CZ)</t>
        </is>
      </c>
      <c r="I295" s="210" t="inlineStr">
        <is>
          <t>E</t>
        </is>
      </c>
      <c r="J295" s="211" t="n">
        <v>892</v>
      </c>
      <c r="K295" s="211">
        <f>+MAXA(_xlfn.CEILING.MATH(J295/60)+2,1)</f>
        <v/>
      </c>
      <c r="L295" s="917" t="n">
        <v>6</v>
      </c>
      <c r="M295" s="917" t="n">
        <v>0</v>
      </c>
      <c r="N295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95" s="294" t="inlineStr">
        <is>
          <t>STREDOKLUKY - COMP.ALFA - PGIO (CZ)</t>
        </is>
      </c>
      <c r="P295" s="210" t="inlineStr">
        <is>
          <t>F</t>
        </is>
      </c>
      <c r="Q295" s="211" t="n">
        <v>1295</v>
      </c>
      <c r="R295" s="211">
        <f>+MAXA(_xlfn.CEILING.MATH(Q295/60)+2,1)</f>
        <v/>
      </c>
      <c r="S295" s="917" t="n">
        <v>70</v>
      </c>
      <c r="T295" s="917" t="n">
        <v>0</v>
      </c>
      <c r="U295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96">
      <c r="A296" s="217" t="inlineStr">
        <is>
          <t>SURESNES (F)</t>
        </is>
      </c>
      <c r="B296" s="210" t="inlineStr">
        <is>
          <t>F</t>
        </is>
      </c>
      <c r="C296" s="211" t="n">
        <v>1421</v>
      </c>
      <c r="D296" s="211">
        <f>+MAXA(_xlfn.CEILING.MATH(C296/60)+2,1)</f>
        <v/>
      </c>
      <c r="E296" s="915" t="n">
        <v>188</v>
      </c>
      <c r="F296" s="915" t="n">
        <v>0</v>
      </c>
      <c r="G296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96" s="294" t="inlineStr">
        <is>
          <t>SURESNES (F)</t>
        </is>
      </c>
      <c r="I296" s="210" t="inlineStr">
        <is>
          <t>F</t>
        </is>
      </c>
      <c r="J296" s="211" t="n">
        <v>881</v>
      </c>
      <c r="K296" s="211">
        <f>+MAXA(_xlfn.CEILING.MATH(J296/60)+2,1)</f>
        <v/>
      </c>
      <c r="L296" s="917" t="n">
        <v>157</v>
      </c>
      <c r="M296" s="917" t="n">
        <v>0</v>
      </c>
      <c r="N296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96" s="294" t="inlineStr">
        <is>
          <t>SURESNES (F)</t>
        </is>
      </c>
      <c r="P296" s="210" t="inlineStr">
        <is>
          <t>G</t>
        </is>
      </c>
      <c r="Q296" s="211" t="n">
        <v>1421</v>
      </c>
      <c r="R296" s="211">
        <f>+MAXA(_xlfn.CEILING.MATH(Q296/60)+2,1)</f>
        <v/>
      </c>
      <c r="S296" s="917" t="n">
        <v>199</v>
      </c>
      <c r="T296" s="917" t="n">
        <v>0</v>
      </c>
      <c r="U296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97">
      <c r="A297" s="217" t="inlineStr">
        <is>
          <t>SUVERETO (LI)</t>
        </is>
      </c>
      <c r="B297" s="210" t="inlineStr">
        <is>
          <t>C</t>
        </is>
      </c>
      <c r="C297" s="211" t="n">
        <v>260</v>
      </c>
      <c r="D297" s="211">
        <f>+MAXA(_xlfn.CEILING.MATH(C297/60)+2,1)</f>
        <v/>
      </c>
      <c r="E297" s="915" t="n">
        <v>6</v>
      </c>
      <c r="F297" s="915" t="n">
        <v>0</v>
      </c>
      <c r="G297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97" s="294" t="inlineStr">
        <is>
          <t>SUVERETO (LI)</t>
        </is>
      </c>
      <c r="I297" s="210" t="inlineStr">
        <is>
          <t>C</t>
        </is>
      </c>
      <c r="J297" s="211" t="n">
        <v>400</v>
      </c>
      <c r="K297" s="211">
        <f>+MAXA(_xlfn.CEILING.MATH(J297/60)+2,1)</f>
        <v/>
      </c>
      <c r="L297" s="917" t="n">
        <v>45</v>
      </c>
      <c r="M297" s="917" t="n">
        <v>0</v>
      </c>
      <c r="N297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97" s="294" t="inlineStr">
        <is>
          <t>SUVERETO (LI)</t>
        </is>
      </c>
      <c r="P297" s="210" t="inlineStr">
        <is>
          <t>F</t>
        </is>
      </c>
      <c r="Q297" s="211" t="n">
        <v>430</v>
      </c>
      <c r="R297" s="211">
        <f>+MAXA(_xlfn.CEILING.MATH(Q297/60)+2,1)</f>
        <v/>
      </c>
      <c r="S297" s="917" t="n">
        <v>8</v>
      </c>
      <c r="T297" s="916" t="n">
        <v>0</v>
      </c>
      <c r="U297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98">
      <c r="A298" s="217" t="inlineStr">
        <is>
          <t>TARANTO (TA)</t>
        </is>
      </c>
      <c r="B298" s="210" t="inlineStr">
        <is>
          <t>B</t>
        </is>
      </c>
      <c r="C298" s="211" t="n">
        <v>550</v>
      </c>
      <c r="D298" s="211">
        <f>+MAXA(_xlfn.CEILING.MATH(C298/60)+2,1)</f>
        <v/>
      </c>
      <c r="E298" s="915" t="n">
        <v>35</v>
      </c>
      <c r="F298" s="915" t="n">
        <v>0</v>
      </c>
      <c r="G298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98" s="217" t="inlineStr">
        <is>
          <t>TARANTO (TA)</t>
        </is>
      </c>
      <c r="I298" s="210" t="inlineStr">
        <is>
          <t>C</t>
        </is>
      </c>
      <c r="J298" s="211" t="n">
        <v>990</v>
      </c>
      <c r="K298" s="211">
        <f>+MAXA(_xlfn.CEILING.MATH(J298/60)+2,1)</f>
        <v/>
      </c>
      <c r="L298" s="916" t="n">
        <v>80</v>
      </c>
      <c r="M298" s="917" t="n">
        <v>0</v>
      </c>
      <c r="N298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98" s="217" t="inlineStr">
        <is>
          <t>TARANTO (TA)</t>
        </is>
      </c>
      <c r="P298" s="210" t="inlineStr">
        <is>
          <t>F</t>
        </is>
      </c>
      <c r="Q298" s="211" t="n">
        <v>395</v>
      </c>
      <c r="R298" s="211">
        <f>+MAXA(_xlfn.CEILING.MATH(Q298/60)+2,1)</f>
        <v/>
      </c>
      <c r="S298" s="917" t="n">
        <v>27</v>
      </c>
      <c r="T298" s="916" t="n">
        <v>0</v>
      </c>
      <c r="U298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299">
      <c r="A299" s="217" t="inlineStr">
        <is>
          <t>TERAMO (TE)</t>
        </is>
      </c>
      <c r="B299" s="210" t="inlineStr">
        <is>
          <t>C</t>
        </is>
      </c>
      <c r="C299" s="211" t="n">
        <v>210</v>
      </c>
      <c r="D299" s="211">
        <f>+MAXA(_xlfn.CEILING.MATH(C299/60)+2,1)</f>
        <v/>
      </c>
      <c r="E299" s="915" t="n">
        <v>20</v>
      </c>
      <c r="F299" s="915" t="n">
        <v>0</v>
      </c>
      <c r="G299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299" s="217" t="inlineStr">
        <is>
          <t>TERAMO (TE)</t>
        </is>
      </c>
      <c r="I299" s="210" t="inlineStr">
        <is>
          <t>C</t>
        </is>
      </c>
      <c r="J299" s="211" t="n">
        <v>850</v>
      </c>
      <c r="K299" s="211">
        <f>+MAXA(_xlfn.CEILING.MATH(J299/60)+2,1)</f>
        <v/>
      </c>
      <c r="L299" s="917" t="n">
        <v>50</v>
      </c>
      <c r="M299" s="917" t="n">
        <v>0</v>
      </c>
      <c r="N299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299" s="217" t="inlineStr">
        <is>
          <t>TERAMO (TE)</t>
        </is>
      </c>
      <c r="P299" s="210" t="inlineStr">
        <is>
          <t>F</t>
        </is>
      </c>
      <c r="Q299" s="211" t="n">
        <v>56</v>
      </c>
      <c r="R299" s="211">
        <f>+MAXA(_xlfn.CEILING.MATH(Q299/60)+2,1)</f>
        <v/>
      </c>
      <c r="S299" s="917" t="n">
        <v>2.5</v>
      </c>
      <c r="T299" s="917" t="n">
        <v>0</v>
      </c>
      <c r="U299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00">
      <c r="A300" s="217" t="inlineStr">
        <is>
          <t>TESSENDERLO - LIVLINA (B)</t>
        </is>
      </c>
      <c r="B300" s="210" t="inlineStr">
        <is>
          <t>F</t>
        </is>
      </c>
      <c r="C300" s="211" t="n">
        <v>1500</v>
      </c>
      <c r="D300" s="211">
        <f>+MAXA(_xlfn.CEILING.MATH(C300/60)+2,1)</f>
        <v/>
      </c>
      <c r="E300" s="915" t="n">
        <v>55</v>
      </c>
      <c r="F300" s="915" t="n">
        <v>0</v>
      </c>
      <c r="G300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00" s="294" t="inlineStr">
        <is>
          <t>TESSENDERLO - LIVLINA (B)</t>
        </is>
      </c>
      <c r="I300" s="210" t="inlineStr">
        <is>
          <t>F</t>
        </is>
      </c>
      <c r="J300" s="211" t="n">
        <v>910</v>
      </c>
      <c r="K300" s="211">
        <f>+MAXA(_xlfn.CEILING.MATH(J300/60)+2,1)</f>
        <v/>
      </c>
      <c r="L300" s="917" t="n">
        <v>10</v>
      </c>
      <c r="M300" s="917" t="n">
        <v>0</v>
      </c>
      <c r="N300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00" s="294" t="inlineStr">
        <is>
          <t>TESSENDERLO - LIVLINA (B)</t>
        </is>
      </c>
      <c r="P300" s="210" t="inlineStr">
        <is>
          <t>G</t>
        </is>
      </c>
      <c r="Q300" s="211" t="n">
        <v>1450</v>
      </c>
      <c r="R300" s="211">
        <f>+MAXA(_xlfn.CEILING.MATH(Q300/60)+2,1)</f>
        <v/>
      </c>
      <c r="S300" s="917" t="n">
        <v>53</v>
      </c>
      <c r="T300" s="917" t="n">
        <v>0</v>
      </c>
      <c r="U300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01">
      <c r="A301" s="217" t="inlineStr">
        <is>
          <t>TIRANA (AL)</t>
        </is>
      </c>
      <c r="B301" s="210" t="inlineStr">
        <is>
          <t>F</t>
        </is>
      </c>
      <c r="C301" s="211" t="n">
        <v>746</v>
      </c>
      <c r="D301" s="211">
        <f>+MAXA(_xlfn.CEILING.MATH(C301/60)+2,1)</f>
        <v/>
      </c>
      <c r="E301" s="915" t="n">
        <v>26</v>
      </c>
      <c r="F301" s="915" t="n">
        <v>580</v>
      </c>
      <c r="G301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01" s="294" t="inlineStr">
        <is>
          <t>TIRANA (AL)</t>
        </is>
      </c>
      <c r="I301" s="210" t="inlineStr">
        <is>
          <t>F</t>
        </is>
      </c>
      <c r="J301" s="211" t="n">
        <v>1208</v>
      </c>
      <c r="K301" s="211">
        <f>+MAXA(_xlfn.CEILING.MATH(J301/60)+2,1)</f>
        <v/>
      </c>
      <c r="L301" s="917" t="n">
        <v>75</v>
      </c>
      <c r="M301" s="917" t="n">
        <v>580</v>
      </c>
      <c r="N301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01" s="294" t="inlineStr">
        <is>
          <t>TIRANA (AL)</t>
        </is>
      </c>
      <c r="P301" s="210" t="inlineStr">
        <is>
          <t>F</t>
        </is>
      </c>
      <c r="Q301" s="211" t="n">
        <v>615</v>
      </c>
      <c r="R301" s="211">
        <f>+MAXA(_xlfn.CEILING.MATH(Q301/60)+2,1)</f>
        <v/>
      </c>
      <c r="S301" s="917" t="n">
        <v>25</v>
      </c>
      <c r="T301" s="917" t="n">
        <v>580</v>
      </c>
      <c r="U301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02">
      <c r="A302" s="217" t="inlineStr">
        <is>
          <t>TITO (PZ)</t>
        </is>
      </c>
      <c r="B302" s="210" t="inlineStr">
        <is>
          <t>C</t>
        </is>
      </c>
      <c r="C302" s="211" t="n">
        <v>370</v>
      </c>
      <c r="D302" s="211" t="n">
        <v>19</v>
      </c>
      <c r="E302" s="915" t="n">
        <v>19</v>
      </c>
      <c r="F302" s="915" t="n"/>
      <c r="G302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02" s="294" t="inlineStr">
        <is>
          <t>TITO (PZ)</t>
        </is>
      </c>
      <c r="I302" s="210" t="inlineStr">
        <is>
          <t>C</t>
        </is>
      </c>
      <c r="J302" s="211" t="n">
        <v>926</v>
      </c>
      <c r="K302" s="211">
        <f>+MAXA(_xlfn.CEILING.MATH(J302/60)+2,1)</f>
        <v/>
      </c>
      <c r="L302" s="917" t="n">
        <v>70</v>
      </c>
      <c r="M302" s="917" t="n"/>
      <c r="N302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02" s="294" t="inlineStr">
        <is>
          <t>TITO (PZ)</t>
        </is>
      </c>
      <c r="P302" s="210" t="inlineStr">
        <is>
          <t>F</t>
        </is>
      </c>
      <c r="Q302" s="211" t="n">
        <v>318</v>
      </c>
      <c r="R302" s="211">
        <f>+MAXA(_xlfn.CEILING.MATH(Q302/60)+2,1)</f>
        <v/>
      </c>
      <c r="S302" s="917" t="n">
        <v>14</v>
      </c>
      <c r="T302" s="917" t="n"/>
      <c r="U302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03">
      <c r="A303" s="217" t="inlineStr">
        <is>
          <t>TORINO (TO)</t>
        </is>
      </c>
      <c r="B303" s="210" t="inlineStr">
        <is>
          <t>B</t>
        </is>
      </c>
      <c r="C303" s="211" t="n">
        <v>680</v>
      </c>
      <c r="D303" s="211">
        <f>+MAXA(_xlfn.CEILING.MATH(C303/60)+2,1)</f>
        <v/>
      </c>
      <c r="E303" s="915" t="n">
        <v>50</v>
      </c>
      <c r="F303" s="915" t="n">
        <v>0</v>
      </c>
      <c r="G303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03" s="217" t="inlineStr">
        <is>
          <t>TORINO (TO)</t>
        </is>
      </c>
      <c r="I303" s="210" t="inlineStr">
        <is>
          <t>B</t>
        </is>
      </c>
      <c r="J303" s="211" t="n">
        <v>170</v>
      </c>
      <c r="K303" s="211">
        <f>+MAXA(_xlfn.CEILING.MATH(J303/60)+2,1)</f>
        <v/>
      </c>
      <c r="L303" s="916" t="n">
        <v>25</v>
      </c>
      <c r="M303" s="917" t="n">
        <v>0</v>
      </c>
      <c r="N303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03" s="217" t="inlineStr">
        <is>
          <t>TORINO (TO)</t>
        </is>
      </c>
      <c r="P303" s="210" t="inlineStr">
        <is>
          <t>F</t>
        </is>
      </c>
      <c r="Q303" s="211" t="n">
        <v>685</v>
      </c>
      <c r="R303" s="211">
        <f>+MAXA(_xlfn.CEILING.MATH(Q303/60)+2,1)</f>
        <v/>
      </c>
      <c r="S303" s="916" t="n">
        <v>56</v>
      </c>
      <c r="T303" s="916" t="n">
        <v>0</v>
      </c>
      <c r="U303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04">
      <c r="A304" s="217" t="inlineStr">
        <is>
          <t>TORTONA (AL)</t>
        </is>
      </c>
      <c r="B304" s="210" t="inlineStr">
        <is>
          <t>F</t>
        </is>
      </c>
      <c r="C304" s="211" t="n">
        <v>575</v>
      </c>
      <c r="D304" s="211">
        <f>+MAXA(_xlfn.CEILING.MATH(C304/60)+2,1)</f>
        <v/>
      </c>
      <c r="E304" s="915" t="n">
        <v>40</v>
      </c>
      <c r="F304" s="915" t="n">
        <v>0</v>
      </c>
      <c r="G304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04" s="294" t="inlineStr">
        <is>
          <t>TORTONA (AL)</t>
        </is>
      </c>
      <c r="I304" s="210" t="inlineStr">
        <is>
          <t>F</t>
        </is>
      </c>
      <c r="J304" s="211" t="n">
        <v>115</v>
      </c>
      <c r="K304" s="211">
        <f>+MAXA(_xlfn.CEILING.MATH(J304/60)+2,1)</f>
        <v/>
      </c>
      <c r="L304" s="917" t="n">
        <v>8</v>
      </c>
      <c r="M304" s="917" t="n">
        <v>0</v>
      </c>
      <c r="N304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04" s="294" t="inlineStr">
        <is>
          <t>TORTONA (AL)</t>
        </is>
      </c>
      <c r="P304" s="210" t="inlineStr">
        <is>
          <t>F</t>
        </is>
      </c>
      <c r="Q304" s="211" t="n">
        <v>580</v>
      </c>
      <c r="R304" s="211">
        <f>+MAXA(_xlfn.CEILING.MATH(Q304/60)+2,1)</f>
        <v/>
      </c>
      <c r="S304" s="917" t="n">
        <v>44</v>
      </c>
      <c r="T304" s="916" t="n">
        <v>0</v>
      </c>
      <c r="U304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05">
      <c r="A305" s="217" t="inlineStr">
        <is>
          <t>TOURNAI (B)</t>
        </is>
      </c>
      <c r="B305" s="210" t="inlineStr">
        <is>
          <t>F</t>
        </is>
      </c>
      <c r="C305" s="211" t="n">
        <v>1564</v>
      </c>
      <c r="D305" s="211">
        <f>+MAXA(_xlfn.CEILING.MATH(C305/60)+2,1)</f>
        <v/>
      </c>
      <c r="E305" s="915" t="n">
        <v>295</v>
      </c>
      <c r="F305" s="915" t="n">
        <v>0</v>
      </c>
      <c r="G305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05" s="217" t="inlineStr">
        <is>
          <t>TOURNAI (B)</t>
        </is>
      </c>
      <c r="I305" s="210" t="inlineStr">
        <is>
          <t>F</t>
        </is>
      </c>
      <c r="J305" s="211" t="n">
        <v>976</v>
      </c>
      <c r="K305" s="211">
        <f>+MAXA(_xlfn.CEILING.MATH(J305/60)+2,1)</f>
        <v/>
      </c>
      <c r="L305" s="917" t="n">
        <v>180</v>
      </c>
      <c r="M305" s="917" t="n">
        <v>0</v>
      </c>
      <c r="N305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05" s="217" t="inlineStr">
        <is>
          <t>TOURNAI (B)</t>
        </is>
      </c>
      <c r="P305" s="210" t="inlineStr">
        <is>
          <t>G</t>
        </is>
      </c>
      <c r="Q305" s="211" t="n">
        <v>1518</v>
      </c>
      <c r="R305" s="211">
        <f>+MAXA(_xlfn.CEILING.MATH(Q305/60)+2,1)</f>
        <v/>
      </c>
      <c r="S305" s="917" t="n">
        <v>290</v>
      </c>
      <c r="T305" s="917" t="n">
        <v>0</v>
      </c>
      <c r="U305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06">
      <c r="A306" s="217" t="inlineStr">
        <is>
          <t>TRAPANI (TP)</t>
        </is>
      </c>
      <c r="B306" s="210" t="inlineStr">
        <is>
          <t>E</t>
        </is>
      </c>
      <c r="C306" s="211" t="n">
        <v>1046</v>
      </c>
      <c r="D306" s="211">
        <f>+MAXA(_xlfn.CEILING.MATH(C306/60)+2,1)</f>
        <v/>
      </c>
      <c r="E306" s="915" t="n">
        <v>30</v>
      </c>
      <c r="F306" s="915" t="n">
        <v>170</v>
      </c>
      <c r="G306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06" s="294" t="inlineStr">
        <is>
          <t>TRAPANI (TP)</t>
        </is>
      </c>
      <c r="I306" s="210" t="inlineStr">
        <is>
          <t>E</t>
        </is>
      </c>
      <c r="J306" s="211" t="n">
        <v>1602</v>
      </c>
      <c r="K306" s="211">
        <f>+MAXA(_xlfn.CEILING.MATH(J306/60)+2,1)</f>
        <v/>
      </c>
      <c r="L306" s="917" t="n">
        <v>81.5</v>
      </c>
      <c r="M306" s="917" t="n">
        <v>170</v>
      </c>
      <c r="N306" s="917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06" s="294" t="inlineStr">
        <is>
          <t>TRAPANI (TP)</t>
        </is>
      </c>
      <c r="P306" s="210" t="inlineStr">
        <is>
          <t>F</t>
        </is>
      </c>
      <c r="Q306" s="211" t="n">
        <v>1038</v>
      </c>
      <c r="R306" s="211">
        <f>+MAXA(_xlfn.CEILING.MATH(Q306/60)+2,1)</f>
        <v/>
      </c>
      <c r="S306" s="917" t="n">
        <v>25</v>
      </c>
      <c r="T306" s="917" t="n">
        <v>170</v>
      </c>
      <c r="U306" s="917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07">
      <c r="A307" s="217" t="inlineStr">
        <is>
          <t>TRENTO (TN)</t>
        </is>
      </c>
      <c r="B307" s="210" t="inlineStr">
        <is>
          <t>C</t>
        </is>
      </c>
      <c r="C307" s="211" t="n">
        <v>630</v>
      </c>
      <c r="D307" s="211">
        <f>+MAXA(_xlfn.CEILING.MATH(C307/60)+2,1)</f>
        <v/>
      </c>
      <c r="E307" s="915" t="n">
        <v>45</v>
      </c>
      <c r="F307" s="915" t="n">
        <v>0</v>
      </c>
      <c r="G307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07" s="217" t="inlineStr">
        <is>
          <t>TRENTO (TN)</t>
        </is>
      </c>
      <c r="I307" s="210" t="inlineStr">
        <is>
          <t>C</t>
        </is>
      </c>
      <c r="J307" s="211" t="n">
        <v>225</v>
      </c>
      <c r="K307" s="211">
        <f>+MAXA(_xlfn.CEILING.MATH(J307/60)+2,1)</f>
        <v/>
      </c>
      <c r="L307" s="916" t="n">
        <v>15</v>
      </c>
      <c r="M307" s="917" t="n">
        <v>0</v>
      </c>
      <c r="N307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07" s="217" t="inlineStr">
        <is>
          <t>TRENTO (TN)</t>
        </is>
      </c>
      <c r="P307" s="210" t="inlineStr">
        <is>
          <t>F</t>
        </is>
      </c>
      <c r="Q307" s="211" t="n">
        <v>580</v>
      </c>
      <c r="R307" s="211">
        <f>+MAXA(_xlfn.CEILING.MATH(Q307/60)+2,1)</f>
        <v/>
      </c>
      <c r="S307" s="916" t="n">
        <v>43</v>
      </c>
      <c r="T307" s="916" t="n">
        <v>0</v>
      </c>
      <c r="U307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08">
      <c r="A308" s="217" t="inlineStr">
        <is>
          <t>TREVI (PG)</t>
        </is>
      </c>
      <c r="B308" s="210" t="inlineStr">
        <is>
          <t>C</t>
        </is>
      </c>
      <c r="C308" s="211" t="n">
        <v>188</v>
      </c>
      <c r="D308" s="211">
        <f>+MAXA(_xlfn.CEILING.MATH(C308/60)+2,1)</f>
        <v/>
      </c>
      <c r="E308" s="915" t="n">
        <v>5</v>
      </c>
      <c r="F308" s="915" t="n">
        <v>0</v>
      </c>
      <c r="G308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08" s="294" t="inlineStr">
        <is>
          <t>TREVI (PG)</t>
        </is>
      </c>
      <c r="I308" s="210" t="inlineStr">
        <is>
          <t>C</t>
        </is>
      </c>
      <c r="J308" s="211" t="n">
        <v>520</v>
      </c>
      <c r="K308" s="211">
        <f>+MAXA(_xlfn.CEILING.MATH(J308/60)+2,1)</f>
        <v/>
      </c>
      <c r="L308" s="917" t="n">
        <v>38</v>
      </c>
      <c r="M308" s="917" t="n">
        <v>0</v>
      </c>
      <c r="N308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08" s="294" t="inlineStr">
        <is>
          <t>TREVI (PG)</t>
        </is>
      </c>
      <c r="P308" s="210" t="inlineStr">
        <is>
          <t>F</t>
        </is>
      </c>
      <c r="Q308" s="211" t="n">
        <v>215</v>
      </c>
      <c r="R308" s="211">
        <f>+MAXA(_xlfn.CEILING.MATH(Q308/60)+2,1)</f>
        <v/>
      </c>
      <c r="S308" s="917" t="n">
        <v>8</v>
      </c>
      <c r="T308" s="917" t="n">
        <v>0</v>
      </c>
      <c r="U308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09">
      <c r="A309" s="217" t="inlineStr">
        <is>
          <t>TREVISO (TV)</t>
        </is>
      </c>
      <c r="B309" s="210" t="inlineStr">
        <is>
          <t>C</t>
        </is>
      </c>
      <c r="C309" s="211" t="n">
        <v>585</v>
      </c>
      <c r="D309" s="211">
        <f>+MAXA(_xlfn.CEILING.MATH(C309/60)+2,1)</f>
        <v/>
      </c>
      <c r="E309" s="915" t="n">
        <v>42</v>
      </c>
      <c r="F309" s="915" t="n">
        <v>0</v>
      </c>
      <c r="G309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09" s="217" t="inlineStr">
        <is>
          <t>TREVISO (TV)</t>
        </is>
      </c>
      <c r="I309" s="210" t="inlineStr">
        <is>
          <t>C</t>
        </is>
      </c>
      <c r="J309" s="211" t="n">
        <v>265</v>
      </c>
      <c r="K309" s="211">
        <f>+MAXA(_xlfn.CEILING.MATH(J309/60)+2,1)</f>
        <v/>
      </c>
      <c r="L309" s="917" t="n">
        <v>19</v>
      </c>
      <c r="M309" s="917" t="n">
        <v>0</v>
      </c>
      <c r="N309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09" s="217" t="inlineStr">
        <is>
          <t>TREVISO (TV)</t>
        </is>
      </c>
      <c r="P309" s="210" t="inlineStr">
        <is>
          <t>F</t>
        </is>
      </c>
      <c r="Q309" s="211" t="n">
        <v>520</v>
      </c>
      <c r="R309" s="211">
        <f>+MAXA(_xlfn.CEILING.MATH(Q309/60)+2,1)</f>
        <v/>
      </c>
      <c r="S309" s="917" t="n">
        <v>40</v>
      </c>
      <c r="T309" s="917" t="n">
        <v>0</v>
      </c>
      <c r="U309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10">
      <c r="A310" s="217" t="inlineStr">
        <is>
          <t>TREZZO SULL'ADDA (MB)</t>
        </is>
      </c>
      <c r="B310" s="210" t="inlineStr">
        <is>
          <t>A</t>
        </is>
      </c>
      <c r="C310" s="211" t="n">
        <v>640</v>
      </c>
      <c r="D310" s="211">
        <f>+MAXA(_xlfn.CEILING.MATH(C310/60)+2,1)</f>
        <v/>
      </c>
      <c r="E310" s="915" t="n">
        <v>51</v>
      </c>
      <c r="F310" s="915" t="n">
        <v>0</v>
      </c>
      <c r="G310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10" s="217" t="inlineStr">
        <is>
          <t>TREZZO SULL'ADDA (MB)</t>
        </is>
      </c>
      <c r="I310" s="210" t="inlineStr">
        <is>
          <t>A</t>
        </is>
      </c>
      <c r="J310" s="211" t="n">
        <v>9</v>
      </c>
      <c r="K310" s="211">
        <f>+MAXA(_xlfn.CEILING.MATH(J310/60)+2,1)</f>
        <v/>
      </c>
      <c r="L310" s="917" t="n">
        <v>0</v>
      </c>
      <c r="M310" s="917" t="n">
        <v>0</v>
      </c>
      <c r="N310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10" s="217" t="inlineStr">
        <is>
          <t>TREZZO SULL'ADDA (MB)</t>
        </is>
      </c>
      <c r="P310" s="210" t="inlineStr">
        <is>
          <t>F</t>
        </is>
      </c>
      <c r="Q310" s="211" t="n">
        <v>590</v>
      </c>
      <c r="R310" s="211">
        <f>+MAXA(_xlfn.CEILING.MATH(Q310/60)+2,1)</f>
        <v/>
      </c>
      <c r="S310" s="917" t="n">
        <v>50</v>
      </c>
      <c r="T310" s="917" t="n">
        <v>0</v>
      </c>
      <c r="U310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11">
      <c r="A311" s="217" t="inlineStr">
        <is>
          <t>TUNISI (TN)</t>
        </is>
      </c>
      <c r="B311" s="210" t="inlineStr">
        <is>
          <t>E</t>
        </is>
      </c>
      <c r="C311" s="211" t="n">
        <v>740</v>
      </c>
      <c r="D311" s="211">
        <f>+MAXA(_xlfn.CEILING.MATH(C311/60)+2,1)</f>
        <v/>
      </c>
      <c r="E311" s="915" t="n">
        <v>0</v>
      </c>
      <c r="F311" s="915" t="n">
        <v>1000</v>
      </c>
      <c r="G311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11" s="294" t="inlineStr">
        <is>
          <t>TUNISI (TN)</t>
        </is>
      </c>
      <c r="I311" s="210" t="inlineStr">
        <is>
          <t>E</t>
        </is>
      </c>
      <c r="J311" s="211" t="n">
        <v>1120</v>
      </c>
      <c r="K311" s="211">
        <f>+MAXA(_xlfn.CEILING.MATH(J311/60)+2,1)</f>
        <v/>
      </c>
      <c r="L311" s="916" t="n">
        <v>20</v>
      </c>
      <c r="M311" s="917" t="n">
        <v>1000</v>
      </c>
      <c r="N311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11" s="294" t="inlineStr">
        <is>
          <t>TUNISI (TN)</t>
        </is>
      </c>
      <c r="P311" s="210" t="inlineStr">
        <is>
          <t>F</t>
        </is>
      </c>
      <c r="Q311" s="211" t="n">
        <v>952</v>
      </c>
      <c r="R311" s="211">
        <f>+MAXA(_xlfn.CEILING.MATH(Q311/60)+2,1)</f>
        <v/>
      </c>
      <c r="S311" s="916" t="n">
        <v>0</v>
      </c>
      <c r="T311" s="916" t="n">
        <v>1000</v>
      </c>
      <c r="U311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12">
      <c r="A312" s="217" t="inlineStr">
        <is>
          <t>VALDISOTTO (SO)</t>
        </is>
      </c>
      <c r="B312" s="210" t="inlineStr">
        <is>
          <t>F</t>
        </is>
      </c>
      <c r="C312" s="211" t="n">
        <v>749</v>
      </c>
      <c r="D312" s="211">
        <f>+MAXA(_xlfn.CEILING.MATH(C312/60)+2,1)</f>
        <v/>
      </c>
      <c r="E312" s="915" t="n">
        <v>42</v>
      </c>
      <c r="F312" s="915" t="n">
        <v>0</v>
      </c>
      <c r="G312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12" s="294" t="inlineStr">
        <is>
          <t>VALDISOTTO (SO)</t>
        </is>
      </c>
      <c r="I312" s="210" t="inlineStr">
        <is>
          <t>F</t>
        </is>
      </c>
      <c r="J312" s="210" t="n">
        <v>168</v>
      </c>
      <c r="K312" s="211">
        <f>+MAXA(_xlfn.CEILING.MATH(J312/60)+2,1)</f>
        <v/>
      </c>
      <c r="L312" s="917" t="n">
        <v>21</v>
      </c>
      <c r="M312" s="917" t="n">
        <v>0</v>
      </c>
      <c r="N312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12" s="294" t="inlineStr">
        <is>
          <t>VALDISOTTO (SO)</t>
        </is>
      </c>
      <c r="P312" s="210" t="inlineStr">
        <is>
          <t>G</t>
        </is>
      </c>
      <c r="Q312" s="210" t="n">
        <v>710</v>
      </c>
      <c r="R312" s="211">
        <f>+MAXA(_xlfn.CEILING.MATH(Q312/60)+2,1)</f>
        <v/>
      </c>
      <c r="S312" s="917" t="n">
        <v>41</v>
      </c>
      <c r="T312" s="917" t="n">
        <v>0</v>
      </c>
      <c r="U312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13">
      <c r="A313" s="217" t="inlineStr">
        <is>
          <t>VALDOBBIADENE (TV)</t>
        </is>
      </c>
      <c r="B313" s="210" t="inlineStr">
        <is>
          <t>C</t>
        </is>
      </c>
      <c r="C313" s="211" t="n">
        <v>593</v>
      </c>
      <c r="D313" s="211">
        <f>+MAXA(_xlfn.CEILING.MATH(C313/60)+2,1)</f>
        <v/>
      </c>
      <c r="E313" s="915" t="n">
        <v>38</v>
      </c>
      <c r="F313" s="915" t="n">
        <v>0</v>
      </c>
      <c r="G313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13" s="294" t="inlineStr">
        <is>
          <t>VALDOBBIADENE (TV)</t>
        </is>
      </c>
      <c r="I313" s="210" t="inlineStr">
        <is>
          <t>C</t>
        </is>
      </c>
      <c r="J313" s="211" t="n">
        <v>265</v>
      </c>
      <c r="K313" s="211">
        <f>+MAXA(_xlfn.CEILING.MATH(J313/60)+2,1)</f>
        <v/>
      </c>
      <c r="L313" s="917" t="n">
        <v>12</v>
      </c>
      <c r="M313" s="917" t="n">
        <v>0</v>
      </c>
      <c r="N313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13" s="294" t="inlineStr">
        <is>
          <t>VALDOBBIADENE (TV)</t>
        </is>
      </c>
      <c r="P313" s="210" t="inlineStr">
        <is>
          <t>F</t>
        </is>
      </c>
      <c r="Q313" s="211" t="n">
        <v>530</v>
      </c>
      <c r="R313" s="211">
        <f>+MAXA(_xlfn.CEILING.MATH(Q313/60)+2,1)</f>
        <v/>
      </c>
      <c r="S313" s="917" t="n">
        <v>65</v>
      </c>
      <c r="T313" s="917" t="n">
        <v>36</v>
      </c>
      <c r="U313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14">
      <c r="A314" s="217" t="inlineStr">
        <is>
          <t>VALMONTONE (RM)</t>
        </is>
      </c>
      <c r="B314" s="210" t="inlineStr">
        <is>
          <t>B</t>
        </is>
      </c>
      <c r="C314" s="211" t="n">
        <v>65</v>
      </c>
      <c r="D314" s="211">
        <f>+MAXA(_xlfn.CEILING.MATH(C314/60)+2,1)</f>
        <v/>
      </c>
      <c r="E314" s="915" t="n">
        <v>2</v>
      </c>
      <c r="F314" s="915" t="n">
        <v>0</v>
      </c>
      <c r="G314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14" s="294" t="inlineStr">
        <is>
          <t>VALMONTONE (RM)</t>
        </is>
      </c>
      <c r="I314" s="210" t="inlineStr">
        <is>
          <t>B</t>
        </is>
      </c>
      <c r="J314" s="211" t="n">
        <v>630</v>
      </c>
      <c r="K314" s="211">
        <f>+MAXA(_xlfn.CEILING.MATH(J314/60)+2,1)</f>
        <v/>
      </c>
      <c r="L314" s="916" t="n">
        <v>55</v>
      </c>
      <c r="M314" s="917" t="n">
        <v>0</v>
      </c>
      <c r="N314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14" s="294" t="inlineStr">
        <is>
          <t>VALMONTONE (RM)</t>
        </is>
      </c>
      <c r="P314" s="210" t="inlineStr">
        <is>
          <t>F</t>
        </is>
      </c>
      <c r="Q314" s="211" t="n">
        <v>225</v>
      </c>
      <c r="R314" s="211">
        <f>+MAXA(_xlfn.CEILING.MATH(Q314/60)+2,1)</f>
        <v/>
      </c>
      <c r="S314" s="916" t="n">
        <v>20</v>
      </c>
      <c r="T314" s="916" t="n">
        <v>0</v>
      </c>
      <c r="U314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15">
      <c r="A315" s="217" t="inlineStr">
        <is>
          <t>VARSAVIA (PL)</t>
        </is>
      </c>
      <c r="B315" s="210" t="inlineStr">
        <is>
          <t>E</t>
        </is>
      </c>
      <c r="C315" s="211" t="n">
        <v>2000</v>
      </c>
      <c r="D315" s="211">
        <f>+MAXA(_xlfn.CEILING.MATH(C315/60)+2,1)</f>
        <v/>
      </c>
      <c r="E315" s="915" t="n">
        <v>40</v>
      </c>
      <c r="F315" s="915" t="n">
        <v>0</v>
      </c>
      <c r="G315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15" s="294" t="inlineStr">
        <is>
          <t>VARSAVIA (PL)</t>
        </is>
      </c>
      <c r="I315" s="210" t="inlineStr">
        <is>
          <t>E</t>
        </is>
      </c>
      <c r="J315" s="211" t="n">
        <v>1600</v>
      </c>
      <c r="K315" s="211">
        <f>+MAXA(_xlfn.CEILING.MATH(J315/60)+2,1)</f>
        <v/>
      </c>
      <c r="L315" s="917" t="n">
        <v>35</v>
      </c>
      <c r="M315" s="917" t="n">
        <v>0</v>
      </c>
      <c r="N315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15" s="294" t="inlineStr">
        <is>
          <t>VARSAVIA (PL)</t>
        </is>
      </c>
      <c r="P315" s="210" t="inlineStr">
        <is>
          <t>F</t>
        </is>
      </c>
      <c r="Q315" s="211" t="n">
        <v>1730</v>
      </c>
      <c r="R315" s="211">
        <f>+MAXA(_xlfn.CEILING.MATH(Q315/60)+2,1)</f>
        <v/>
      </c>
      <c r="S315" s="917" t="n">
        <v>58</v>
      </c>
      <c r="T315" s="917" t="n">
        <v>0</v>
      </c>
      <c r="U315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16">
      <c r="A316" s="217" t="inlineStr">
        <is>
          <t>VELLETRI (RM)</t>
        </is>
      </c>
      <c r="B316" s="210" t="inlineStr">
        <is>
          <t>A</t>
        </is>
      </c>
      <c r="C316" s="211" t="n">
        <v>35</v>
      </c>
      <c r="D316" s="211">
        <f>+MAXA(_xlfn.CEILING.MATH(C316/60)+2,1)</f>
        <v/>
      </c>
      <c r="E316" s="915" t="n">
        <v>0</v>
      </c>
      <c r="F316" s="915" t="n">
        <v>0</v>
      </c>
      <c r="G316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16" s="294" t="inlineStr">
        <is>
          <t>VELLETRI (RM)</t>
        </is>
      </c>
      <c r="I316" s="210" t="inlineStr">
        <is>
          <t>A</t>
        </is>
      </c>
      <c r="J316" s="211" t="n">
        <v>640</v>
      </c>
      <c r="K316" s="211">
        <f>+MAXA(_xlfn.CEILING.MATH(J316/60)+2,1)</f>
        <v/>
      </c>
      <c r="L316" s="916" t="n">
        <v>50</v>
      </c>
      <c r="M316" s="917" t="n">
        <v>0</v>
      </c>
      <c r="N316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16" s="294" t="inlineStr">
        <is>
          <t>VELLETRI (RM)</t>
        </is>
      </c>
      <c r="P316" s="210" t="inlineStr">
        <is>
          <t>F</t>
        </is>
      </c>
      <c r="Q316" s="211" t="n">
        <v>240</v>
      </c>
      <c r="R316" s="211">
        <f>+MAXA(_xlfn.CEILING.MATH(Q316/60)+2,1)</f>
        <v/>
      </c>
      <c r="S316" s="916" t="n">
        <v>19</v>
      </c>
      <c r="T316" s="916" t="n">
        <v>0</v>
      </c>
      <c r="U316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17">
      <c r="A317" s="217" t="inlineStr">
        <is>
          <t>VENLO (NL)</t>
        </is>
      </c>
      <c r="B317" s="210" t="inlineStr">
        <is>
          <t>E</t>
        </is>
      </c>
      <c r="C317" s="211" t="n">
        <v>1580</v>
      </c>
      <c r="D317" s="211">
        <f>+MAXA(_xlfn.CEILING.MATH(C317/60)+2,1)</f>
        <v/>
      </c>
      <c r="E317" s="915" t="n">
        <v>51</v>
      </c>
      <c r="F317" s="915" t="n">
        <v>0</v>
      </c>
      <c r="G317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17" s="294" t="inlineStr">
        <is>
          <t>VENLO (NL)</t>
        </is>
      </c>
      <c r="I317" s="210" t="inlineStr">
        <is>
          <t>E</t>
        </is>
      </c>
      <c r="J317" s="211" t="n">
        <v>950</v>
      </c>
      <c r="K317" s="211">
        <f>+MAXA(_xlfn.CEILING.MATH(J317/60)+2,1)</f>
        <v/>
      </c>
      <c r="L317" s="917" t="n">
        <v>30</v>
      </c>
      <c r="M317" s="917" t="n">
        <v>0</v>
      </c>
      <c r="N317" s="917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17" s="294" t="inlineStr">
        <is>
          <t>VENLO (NL)</t>
        </is>
      </c>
      <c r="P317" s="210" t="inlineStr">
        <is>
          <t>F</t>
        </is>
      </c>
      <c r="Q317" s="211" t="n">
        <v>1480</v>
      </c>
      <c r="R317" s="211">
        <f>+MAXA(_xlfn.CEILING.MATH(Q317/60)+2,1)</f>
        <v/>
      </c>
      <c r="S317" s="917" t="n">
        <v>55</v>
      </c>
      <c r="T317" s="917" t="n">
        <v>0</v>
      </c>
      <c r="U317" s="917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18">
      <c r="A318" s="217" t="inlineStr">
        <is>
          <t>VERONA (VR)</t>
        </is>
      </c>
      <c r="B318" s="210" t="inlineStr">
        <is>
          <t>A</t>
        </is>
      </c>
      <c r="C318" s="211" t="n">
        <v>550</v>
      </c>
      <c r="D318" s="211">
        <f>+MAXA(_xlfn.CEILING.MATH(C318/60)+2,1)</f>
        <v/>
      </c>
      <c r="E318" s="915" t="n">
        <v>40</v>
      </c>
      <c r="F318" s="915" t="n">
        <v>0</v>
      </c>
      <c r="G318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18" s="217" t="inlineStr">
        <is>
          <t>VERONA (VR)</t>
        </is>
      </c>
      <c r="I318" s="210" t="inlineStr">
        <is>
          <t>B</t>
        </is>
      </c>
      <c r="J318" s="211" t="n">
        <v>140</v>
      </c>
      <c r="K318" s="211">
        <f>+MAXA(_xlfn.CEILING.MATH(J318/60)+2,1)</f>
        <v/>
      </c>
      <c r="L318" s="916" t="n">
        <v>10</v>
      </c>
      <c r="M318" s="917" t="n">
        <v>0</v>
      </c>
      <c r="N318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18" s="217" t="inlineStr">
        <is>
          <t>VERONA (VR)</t>
        </is>
      </c>
      <c r="P318" s="210" t="inlineStr">
        <is>
          <t>E</t>
        </is>
      </c>
      <c r="Q318" s="211" t="n">
        <v>495</v>
      </c>
      <c r="R318" s="211">
        <f>+MAXA(_xlfn.CEILING.MATH(Q318/60)+2,1)</f>
        <v/>
      </c>
      <c r="S318" s="916" t="n">
        <v>37</v>
      </c>
      <c r="T318" s="916" t="n">
        <v>0</v>
      </c>
      <c r="U318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19">
      <c r="A319" s="217" t="inlineStr">
        <is>
          <t>VICENZA (VI)</t>
        </is>
      </c>
      <c r="B319" s="210" t="inlineStr">
        <is>
          <t>B</t>
        </is>
      </c>
      <c r="C319" s="211" t="n">
        <v>565</v>
      </c>
      <c r="D319" s="211">
        <f>+MAXA(_xlfn.CEILING.MATH(C319/60)+2,1)</f>
        <v/>
      </c>
      <c r="E319" s="915" t="n">
        <v>40</v>
      </c>
      <c r="F319" s="915" t="n">
        <v>0</v>
      </c>
      <c r="G319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19" s="217" t="inlineStr">
        <is>
          <t>VICENZA (VI)</t>
        </is>
      </c>
      <c r="I319" s="210" t="inlineStr">
        <is>
          <t>B</t>
        </is>
      </c>
      <c r="J319" s="211" t="n">
        <v>190</v>
      </c>
      <c r="K319" s="211">
        <f>+MAXA(_xlfn.CEILING.MATH(J319/60)+2,1)</f>
        <v/>
      </c>
      <c r="L319" s="916" t="n">
        <v>15</v>
      </c>
      <c r="M319" s="917" t="n">
        <v>0</v>
      </c>
      <c r="N319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19" s="217" t="inlineStr">
        <is>
          <t>VICENZA (VI)</t>
        </is>
      </c>
      <c r="P319" s="210" t="inlineStr">
        <is>
          <t>F</t>
        </is>
      </c>
      <c r="Q319" s="211" t="n">
        <v>497</v>
      </c>
      <c r="R319" s="211">
        <f>+MAXA(_xlfn.CEILING.MATH(Q319/60)+2,1)</f>
        <v/>
      </c>
      <c r="S319" s="916" t="n">
        <v>36</v>
      </c>
      <c r="T319" s="916" t="n">
        <v>0</v>
      </c>
      <c r="U319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20">
      <c r="A320" s="217" t="inlineStr">
        <is>
          <t>VIENNA - KARA LOGISTIKZENTRUM (A)</t>
        </is>
      </c>
      <c r="B320" s="210" t="inlineStr">
        <is>
          <t>F</t>
        </is>
      </c>
      <c r="C320" s="211" t="n">
        <v>1150</v>
      </c>
      <c r="D320" s="211">
        <f>+MAXA(_xlfn.CEILING.MATH(C320/60)+2,1)</f>
        <v/>
      </c>
      <c r="E320" s="915" t="n">
        <v>60</v>
      </c>
      <c r="F320" s="915" t="n">
        <v>0</v>
      </c>
      <c r="G320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20" s="294" t="inlineStr">
        <is>
          <t>VIENNA - KARA LOGISTIKZENTRUM (A)</t>
        </is>
      </c>
      <c r="I320" s="210" t="inlineStr">
        <is>
          <t>F</t>
        </is>
      </c>
      <c r="J320" s="211" t="n">
        <v>815</v>
      </c>
      <c r="K320" s="211">
        <f>+MAXA(_xlfn.CEILING.MATH(J320/60)+2,1)</f>
        <v/>
      </c>
      <c r="L320" s="917" t="n">
        <v>40</v>
      </c>
      <c r="M320" s="917" t="n">
        <v>0</v>
      </c>
      <c r="N320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20" s="294" t="inlineStr">
        <is>
          <t>VIENNA - KARA LOGISTIKZENTRUM (A)</t>
        </is>
      </c>
      <c r="P320" s="210" t="inlineStr">
        <is>
          <t>F</t>
        </is>
      </c>
      <c r="Q320" s="211" t="n">
        <v>1063</v>
      </c>
      <c r="R320" s="211">
        <f>+MAXA(_xlfn.CEILING.MATH(Q320/60)+2,1)</f>
        <v/>
      </c>
      <c r="S320" s="917" t="n">
        <v>58</v>
      </c>
      <c r="T320" s="917" t="n">
        <v>0</v>
      </c>
      <c r="U320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21">
      <c r="A321" s="217" t="inlineStr">
        <is>
          <t>VIENNA - SCHACHINGER - PGIO (A)</t>
        </is>
      </c>
      <c r="B321" s="210" t="inlineStr">
        <is>
          <t>F</t>
        </is>
      </c>
      <c r="C321" s="211" t="n">
        <v>1150</v>
      </c>
      <c r="D321" s="211">
        <f>+MAXA(_xlfn.CEILING.MATH(C321/60)+2,1)</f>
        <v/>
      </c>
      <c r="E321" s="915" t="n">
        <v>60</v>
      </c>
      <c r="F321" s="915" t="n">
        <v>0</v>
      </c>
      <c r="G321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21" s="294" t="inlineStr">
        <is>
          <t>VIENNA - SCHACHINGER - PGIO (A)</t>
        </is>
      </c>
      <c r="I321" s="210" t="inlineStr">
        <is>
          <t>F</t>
        </is>
      </c>
      <c r="J321" s="211" t="n">
        <v>815</v>
      </c>
      <c r="K321" s="211">
        <f>+MAXA(_xlfn.CEILING.MATH(J321/60)+2,1)</f>
        <v/>
      </c>
      <c r="L321" s="917" t="n">
        <v>40</v>
      </c>
      <c r="M321" s="917" t="n">
        <v>0</v>
      </c>
      <c r="N321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21" s="294" t="inlineStr">
        <is>
          <t>VIENNA - SCHACHINGER - PGIO (A)</t>
        </is>
      </c>
      <c r="P321" s="210" t="inlineStr">
        <is>
          <t>F</t>
        </is>
      </c>
      <c r="Q321" s="211" t="n">
        <v>1063</v>
      </c>
      <c r="R321" s="211">
        <f>+MAXA(_xlfn.CEILING.MATH(Q321/60)+2,1)</f>
        <v/>
      </c>
      <c r="S321" s="917" t="n">
        <v>58</v>
      </c>
      <c r="T321" s="917" t="n">
        <v>0</v>
      </c>
      <c r="U321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22">
      <c r="A322" s="217" t="inlineStr">
        <is>
          <t>VIENNA (A)</t>
        </is>
      </c>
      <c r="B322" s="210" t="inlineStr">
        <is>
          <t>F</t>
        </is>
      </c>
      <c r="C322" s="211" t="n">
        <v>1130</v>
      </c>
      <c r="D322" s="211">
        <f>+MAXA(_xlfn.CEILING.MATH(C322/60)+2,1)</f>
        <v/>
      </c>
      <c r="E322" s="915" t="n">
        <v>60</v>
      </c>
      <c r="F322" s="915" t="n">
        <v>0</v>
      </c>
      <c r="G322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22" s="294" t="inlineStr">
        <is>
          <t>VIENNA (A)</t>
        </is>
      </c>
      <c r="I322" s="210" t="inlineStr">
        <is>
          <t>F</t>
        </is>
      </c>
      <c r="J322" s="211" t="n">
        <v>820</v>
      </c>
      <c r="K322" s="211">
        <f>+MAXA(_xlfn.CEILING.MATH(J322/60)+2,1)</f>
        <v/>
      </c>
      <c r="L322" s="916" t="n">
        <v>40</v>
      </c>
      <c r="M322" s="917" t="n">
        <v>0</v>
      </c>
      <c r="N322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22" s="294" t="inlineStr">
        <is>
          <t>VIENNA (A)</t>
        </is>
      </c>
      <c r="P322" s="210" t="inlineStr">
        <is>
          <t>F</t>
        </is>
      </c>
      <c r="Q322" s="211" t="n">
        <v>1063</v>
      </c>
      <c r="R322" s="211">
        <f>+MAXA(_xlfn.CEILING.MATH(Q322/60)+2,1)</f>
        <v/>
      </c>
      <c r="S322" s="916" t="n">
        <v>58</v>
      </c>
      <c r="T322" s="916" t="n">
        <v>0</v>
      </c>
      <c r="U322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23">
      <c r="A323" s="217" t="inlineStr">
        <is>
          <t>VIGNALE MONFERRATO (AL)</t>
        </is>
      </c>
      <c r="B323" s="210" t="inlineStr">
        <is>
          <t>F</t>
        </is>
      </c>
      <c r="C323" s="211" t="n">
        <v>620</v>
      </c>
      <c r="D323" s="211">
        <f>+MAXA(_xlfn.CEILING.MATH(C323/60)+2,1)</f>
        <v/>
      </c>
      <c r="E323" s="915" t="n">
        <v>40</v>
      </c>
      <c r="F323" s="915" t="n">
        <v>0</v>
      </c>
      <c r="G323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23" s="294" t="inlineStr">
        <is>
          <t>VIGNALE MONFERRATO (AL)</t>
        </is>
      </c>
      <c r="I323" s="210" t="inlineStr">
        <is>
          <t>F</t>
        </is>
      </c>
      <c r="J323" s="211" t="n">
        <v>150</v>
      </c>
      <c r="K323" s="211">
        <f>+MAXA(_xlfn.CEILING.MATH(J323/60)+2,1)</f>
        <v/>
      </c>
      <c r="L323" s="917" t="n">
        <v>15</v>
      </c>
      <c r="M323" s="917" t="n">
        <v>0</v>
      </c>
      <c r="N323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23" s="294" t="inlineStr">
        <is>
          <t>VIGNALE MONFERRATO (AL)</t>
        </is>
      </c>
      <c r="P323" s="210" t="inlineStr">
        <is>
          <t>F</t>
        </is>
      </c>
      <c r="Q323" s="211" t="n">
        <v>625</v>
      </c>
      <c r="R323" s="211">
        <f>+MAXA(_xlfn.CEILING.MATH(Q323/60)+2,1)</f>
        <v/>
      </c>
      <c r="S323" s="917" t="n">
        <v>47</v>
      </c>
      <c r="T323" s="917" t="n">
        <v>0</v>
      </c>
      <c r="U323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24">
      <c r="A324" s="217" t="inlineStr">
        <is>
          <t>VILLASANTA (MB)</t>
        </is>
      </c>
      <c r="B324" s="210" t="inlineStr">
        <is>
          <t>A</t>
        </is>
      </c>
      <c r="C324" s="211" t="n">
        <v>630</v>
      </c>
      <c r="D324" s="211">
        <f>+MAXA(_xlfn.CEILING.MATH(C324/60)+2,1)</f>
        <v/>
      </c>
      <c r="E324" s="915" t="n">
        <v>50</v>
      </c>
      <c r="F324" s="915" t="n">
        <v>0</v>
      </c>
      <c r="G324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24" s="294" t="inlineStr">
        <is>
          <t>VILLASANTA (MB)</t>
        </is>
      </c>
      <c r="I324" s="210" t="inlineStr">
        <is>
          <t>A</t>
        </is>
      </c>
      <c r="J324" s="211" t="n">
        <v>20</v>
      </c>
      <c r="K324" s="211">
        <f>+MAXA(_xlfn.CEILING.MATH(J324/60)+2,1)</f>
        <v/>
      </c>
      <c r="L324" s="916" t="n">
        <v>0</v>
      </c>
      <c r="M324" s="917" t="n">
        <v>0</v>
      </c>
      <c r="N324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24" s="294" t="inlineStr">
        <is>
          <t>VILLASANTA (MB)</t>
        </is>
      </c>
      <c r="P324" s="210" t="inlineStr">
        <is>
          <t>F</t>
        </is>
      </c>
      <c r="Q324" s="211" t="n">
        <v>585</v>
      </c>
      <c r="R324" s="211">
        <f>+MAXA(_xlfn.CEILING.MATH(Q324/60)+2,1)</f>
        <v/>
      </c>
      <c r="S324" s="916" t="n">
        <v>46</v>
      </c>
      <c r="T324" s="916" t="n">
        <v>0</v>
      </c>
      <c r="U324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25">
      <c r="A325" s="217" t="inlineStr">
        <is>
          <t>VITERBO (VT)</t>
        </is>
      </c>
      <c r="B325" s="210" t="inlineStr">
        <is>
          <t>B</t>
        </is>
      </c>
      <c r="C325" s="211" t="n">
        <v>120</v>
      </c>
      <c r="D325" s="211">
        <f>+MAXA(_xlfn.CEILING.MATH(C325/60)+2,1)</f>
        <v/>
      </c>
      <c r="E325" s="915" t="n">
        <v>0</v>
      </c>
      <c r="F325" s="915" t="n">
        <v>0</v>
      </c>
      <c r="G325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25" s="217" t="inlineStr">
        <is>
          <t>VITERBO (VT)</t>
        </is>
      </c>
      <c r="I325" s="210" t="inlineStr">
        <is>
          <t>B</t>
        </is>
      </c>
      <c r="J325" s="211" t="n">
        <v>540</v>
      </c>
      <c r="K325" s="211">
        <f>+MAXA(_xlfn.CEILING.MATH(J325/60)+2,1)</f>
        <v/>
      </c>
      <c r="L325" s="916" t="n">
        <v>45</v>
      </c>
      <c r="M325" s="917" t="n">
        <v>0</v>
      </c>
      <c r="N325" s="915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25" s="217" t="inlineStr">
        <is>
          <t>VITERBO (VT)</t>
        </is>
      </c>
      <c r="P325" s="210" t="inlineStr">
        <is>
          <t>F</t>
        </is>
      </c>
      <c r="Q325" s="211" t="n">
        <v>240</v>
      </c>
      <c r="R325" s="211">
        <f>+MAXA(_xlfn.CEILING.MATH(Q325/60)+2,1)</f>
        <v/>
      </c>
      <c r="S325" s="916" t="n">
        <v>8</v>
      </c>
      <c r="T325" s="916" t="n">
        <v>0</v>
      </c>
      <c r="U325" s="915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  <row r="326">
      <c r="A326" s="217" t="inlineStr">
        <is>
          <t>KERPEN (D)</t>
        </is>
      </c>
      <c r="B326" s="210" t="inlineStr">
        <is>
          <t>F</t>
        </is>
      </c>
      <c r="C326" s="211" t="n">
        <v>1430</v>
      </c>
      <c r="D326" s="211">
        <f>+MAXA(_xlfn.CEILING.MATH(C326/60)+2,1)</f>
        <v/>
      </c>
      <c r="E326" s="915" t="n">
        <v>96</v>
      </c>
      <c r="F326" s="915" t="n">
        <v>0</v>
      </c>
      <c r="G326" s="915">
        <f>+MAXA(_xlfn.CEILING.MATH(((PARTENZE_DA_POMEZIA[[#This Row],[DISTANZA]]*VLOOKUP(PARTENZE_DA_POMEZIA[[#This Row],[TARIFFA]],COSTI_GENERALI[],2,FALSE))+(PARTENZE_DA_POMEZIA[[#This Row],[TEMPO]]*$Y$13)+PARTENZE_DA_POMEZIA[[#This Row],[PEDAGGI]]+PARTENZE_DA_POMEZIA[[#This Row],[ALTRI COSTI]]),30),270+PARTENZE_DA_POMEZIA[[#This Row],[PEDAGGI]]+PARTENZE_DA_POMEZIA[[#This Row],[ALTRI COSTI]])</f>
        <v/>
      </c>
      <c r="H326" s="294" t="inlineStr">
        <is>
          <t>KERPEN (D)</t>
        </is>
      </c>
      <c r="I326" s="210" t="inlineStr">
        <is>
          <t>F</t>
        </is>
      </c>
      <c r="J326" s="211" t="n">
        <v>840</v>
      </c>
      <c r="K326" s="211">
        <f>+MAXA(_xlfn.CEILING.MATH(J326/60)+2,1)</f>
        <v/>
      </c>
      <c r="L326" s="917" t="n">
        <v>92</v>
      </c>
      <c r="M326" s="917" t="n">
        <v>0</v>
      </c>
      <c r="N326" s="917">
        <f>+MAXA(_xlfn.CEILING.MATH(((PARTENZE_DA_MEZZAGO[[#This Row],[DISTANZA]]*VLOOKUP(PARTENZE_DA_MEZZAGO[[#This Row],[TARIFFA]],COSTI_GENERALI[],2,FALSE))+(PARTENZE_DA_MEZZAGO[[#This Row],[TEMPO]]*$Y$13)+PARTENZE_DA_MEZZAGO[[#This Row],[PEDAGGI]]+PARTENZE_DA_MEZZAGO[[#This Row],[ALTRI COSTI]]),30),270+PARTENZE_DA_MEZZAGO[[#This Row],[PEDAGGI]]+PARTENZE_DA_MEZZAGO[[#This Row],[ALTRI COSTI]])</f>
        <v/>
      </c>
      <c r="O326" s="294" t="inlineStr">
        <is>
          <t>KERPEN (D)</t>
        </is>
      </c>
      <c r="P326" s="210" t="inlineStr">
        <is>
          <t>G</t>
        </is>
      </c>
      <c r="Q326" s="211" t="n">
        <v>1385</v>
      </c>
      <c r="R326" s="211">
        <f>+MAXA(_xlfn.CEILING.MATH(Q326/60)+2,1)</f>
        <v/>
      </c>
      <c r="S326" s="917" t="n">
        <v>95</v>
      </c>
      <c r="T326" s="917" t="n">
        <v>0</v>
      </c>
      <c r="U326" s="917">
        <f>+MAXA(_xlfn.CEILING.MATH(((PARTENZE_DA_GRAFCOLOR[[#This Row],[DISTANZA]]*VLOOKUP(PARTENZE_DA_GRAFCOLOR[[#This Row],[TARIFFA]],COSTI_GENERALI[],2,FALSE))+(PARTENZE_DA_GRAFCOLOR[[#This Row],[TEMPO]]*$Y$13)+PARTENZE_DA_GRAFCOLOR[[#This Row],[PEDAGGI]]+PARTENZE_DA_GRAFCOLOR[[#This Row],[ALTRI COSTI]]),30),270+PARTENZE_DA_GRAFCOLOR[[#This Row],[PEDAGGI]]+PARTENZE_DA_GRAFCOLOR[[#This Row],[ALTRI COSTI]])</f>
        <v/>
      </c>
    </row>
  </sheetData>
  <dataValidations disablePrompts="1" count="1">
    <dataValidation sqref="C3:C6 C9:C13 C15:C18" showDropDown="0" showInputMessage="1" showErrorMessage="1" allowBlank="1" type="list">
      <formula1>$A$25:$A$1048576</formula1>
    </dataValidation>
  </dataValidations>
  <pageMargins left="0.75" right="0.75" top="1" bottom="1" header="0.5" footer="0.5"/>
  <pageSetup orientation="portrait" paperSize="9"/>
  <legacyDrawing xmlns:r="http://schemas.openxmlformats.org/officeDocument/2006/relationships" r:id="anysvml"/>
  <tableParts count="10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  <tablePart xmlns:r="http://schemas.openxmlformats.org/officeDocument/2006/relationships" r:id="rId4"/>
    <tablePart xmlns:r="http://schemas.openxmlformats.org/officeDocument/2006/relationships" r:id="rId5"/>
    <tablePart xmlns:r="http://schemas.openxmlformats.org/officeDocument/2006/relationships" r:id="rId6"/>
    <tablePart xmlns:r="http://schemas.openxmlformats.org/officeDocument/2006/relationships" r:id="rId7"/>
    <tablePart xmlns:r="http://schemas.openxmlformats.org/officeDocument/2006/relationships" r:id="rId8"/>
    <tablePart xmlns:r="http://schemas.openxmlformats.org/officeDocument/2006/relationships" r:id="rId9"/>
    <tablePart xmlns:r="http://schemas.openxmlformats.org/officeDocument/2006/relationships" r:id="rId10"/>
  </tableParts>
</worksheet>
</file>

<file path=xl/worksheets/sheet9.xml><?xml version="1.0" encoding="utf-8"?>
<worksheet xmlns="http://schemas.openxmlformats.org/spreadsheetml/2006/main">
  <sheetPr codeName="Sheet8">
    <tabColor theme="0"/>
    <outlinePr summaryBelow="1" summaryRight="1"/>
    <pageSetUpPr/>
  </sheetPr>
  <dimension ref="A1:S102"/>
  <sheetViews>
    <sheetView showGridLines="0" zoomScaleNormal="100" workbookViewId="0">
      <selection activeCell="A1" sqref="A1"/>
    </sheetView>
  </sheetViews>
  <sheetFormatPr baseColWidth="8" defaultColWidth="9.140625" defaultRowHeight="15"/>
  <cols>
    <col width="9.140625" customWidth="1" style="154" min="1" max="1"/>
    <col width="12.42578125" customWidth="1" style="154" min="2" max="2"/>
    <col width="24.28515625" customWidth="1" style="154" min="3" max="3"/>
    <col width="17.5703125" customWidth="1" style="154" min="4" max="4"/>
    <col width="13.5703125" customWidth="1" style="154" min="5" max="5"/>
    <col width="9.140625" customWidth="1" style="154" min="6" max="8"/>
    <col width="45.7109375" bestFit="1" customWidth="1" style="154" min="9" max="9"/>
    <col width="14.5703125" customWidth="1" style="154" min="10" max="10"/>
    <col width="15.42578125" customWidth="1" style="154" min="11" max="11"/>
    <col width="15.28515625" customWidth="1" style="154" min="12" max="12"/>
    <col width="21.7109375" customWidth="1" style="154" min="13" max="13"/>
    <col width="9.140625" customWidth="1" style="154" min="14" max="15"/>
    <col width="47.7109375" bestFit="1" customWidth="1" style="154" min="16" max="16"/>
    <col width="10.7109375" bestFit="1" customWidth="1" style="154" min="17" max="17"/>
    <col width="12.28515625" customWidth="1" style="154" min="18" max="18"/>
    <col width="9.28515625" customWidth="1" style="154" min="19" max="19"/>
    <col width="9.140625" customWidth="1" style="154" min="20" max="16384"/>
  </cols>
  <sheetData>
    <row r="1"/>
    <row r="2"/>
    <row r="3"/>
    <row r="4"/>
    <row r="5"/>
    <row r="6"/>
    <row r="7"/>
    <row r="8" ht="15" customHeight="1"/>
    <row r="9">
      <c r="B9" s="715" t="inlineStr">
        <is>
          <t>LISTINO STAMPA OFFSET</t>
        </is>
      </c>
    </row>
    <row r="10" ht="15.75" customHeight="1" thickBot="1">
      <c r="B10" s="412" t="inlineStr">
        <is>
          <t>PMZ</t>
        </is>
      </c>
    </row>
    <row r="11">
      <c r="B11" s="178" t="n"/>
      <c r="C11" s="177" t="n"/>
      <c r="D11" s="176" t="inlineStr">
        <is>
          <t>MINIMALE</t>
        </is>
      </c>
      <c r="E11" s="175" t="inlineStr">
        <is>
          <t>COPIE</t>
        </is>
      </c>
    </row>
    <row r="12">
      <c r="B12" s="171" t="inlineStr">
        <is>
          <t>FORMATO</t>
        </is>
      </c>
      <c r="C12" s="167" t="inlineStr">
        <is>
          <t>col.</t>
        </is>
      </c>
      <c r="D12" s="174" t="inlineStr">
        <is>
          <t xml:space="preserve">fino a </t>
        </is>
      </c>
      <c r="E12" s="173" t="inlineStr">
        <is>
          <t>SUCCESSIVE</t>
        </is>
      </c>
    </row>
    <row r="13" ht="14.25" customHeight="1">
      <c r="B13" s="171" t="n"/>
      <c r="D13" s="174" t="inlineStr">
        <is>
          <t>2000 copie</t>
        </is>
      </c>
      <c r="E13" s="173" t="n"/>
    </row>
    <row r="14" ht="17.1" customHeight="1">
      <c r="B14" s="180" t="inlineStr">
        <is>
          <t>700x1000</t>
        </is>
      </c>
      <c r="C14" s="170" t="inlineStr">
        <is>
          <t>da 1 a 4 col.</t>
        </is>
      </c>
      <c r="D14" s="166">
        <f>280*1.1</f>
        <v/>
      </c>
      <c r="E14" s="165" t="n">
        <v>0.033</v>
      </c>
    </row>
    <row r="15" ht="17.1" customHeight="1">
      <c r="B15" s="168" t="n"/>
      <c r="C15" s="170" t="inlineStr">
        <is>
          <t>4 col.+ vern. (o 5 col.)</t>
        </is>
      </c>
      <c r="D15" s="166">
        <f>380*1.1</f>
        <v/>
      </c>
      <c r="E15" s="165" t="n">
        <v>0.044</v>
      </c>
    </row>
    <row r="16" ht="17.1" customHeight="1">
      <c r="B16" s="171" t="n"/>
      <c r="C16" s="167" t="inlineStr">
        <is>
          <t>5 col.+ vern. (o 6 col.)</t>
        </is>
      </c>
      <c r="D16" s="169">
        <f>450*1.1</f>
        <v/>
      </c>
      <c r="E16" s="179" t="n">
        <v>0.055</v>
      </c>
    </row>
    <row r="17" ht="17.1" customHeight="1" thickBot="1">
      <c r="B17" s="722" t="inlineStr">
        <is>
          <t>Lavaggio Inchiostri + Pantone</t>
        </is>
      </c>
      <c r="C17" s="918" t="n"/>
      <c r="D17" s="918" t="n"/>
      <c r="E17" s="919" t="n">
        <v>45</v>
      </c>
    </row>
    <row r="18"/>
    <row r="19"/>
    <row r="20" ht="15.75" customHeight="1" thickBot="1"/>
    <row r="21">
      <c r="B21" s="178" t="n"/>
      <c r="C21" s="177" t="n"/>
      <c r="D21" s="176" t="inlineStr">
        <is>
          <t>MINIMALE</t>
        </is>
      </c>
      <c r="E21" s="175" t="inlineStr">
        <is>
          <t>COPIE</t>
        </is>
      </c>
    </row>
    <row r="22">
      <c r="B22" s="171" t="inlineStr">
        <is>
          <t>FORMATO</t>
        </is>
      </c>
      <c r="C22" s="167" t="inlineStr">
        <is>
          <t>col.</t>
        </is>
      </c>
      <c r="D22" s="174" t="inlineStr">
        <is>
          <t xml:space="preserve">fino a </t>
        </is>
      </c>
      <c r="E22" s="173" t="inlineStr">
        <is>
          <t>SUCCESSIVE</t>
        </is>
      </c>
    </row>
    <row r="23">
      <c r="B23" s="171" t="n"/>
      <c r="D23" s="174" t="inlineStr">
        <is>
          <t>3000 copie</t>
        </is>
      </c>
      <c r="E23" s="173" t="n"/>
    </row>
    <row r="24" ht="17.1" customHeight="1">
      <c r="B24" s="172" t="inlineStr">
        <is>
          <t>1000x1400</t>
        </is>
      </c>
      <c r="C24" s="170" t="inlineStr">
        <is>
          <t>da 1 a 4 col.</t>
        </is>
      </c>
      <c r="D24" s="166" t="n">
        <v>450</v>
      </c>
      <c r="E24" s="165" t="n">
        <v>0.04</v>
      </c>
      <c r="I24" s="154">
        <f>CONCATENATE($B$24," ",C24, " ", $B$10)</f>
        <v/>
      </c>
      <c r="J24" s="154" t="n">
        <v>3000</v>
      </c>
      <c r="K24" s="197">
        <f>+D24</f>
        <v/>
      </c>
      <c r="L24" s="196">
        <f>+E24</f>
        <v/>
      </c>
    </row>
    <row r="25" ht="17.1" customHeight="1">
      <c r="B25" s="171" t="n"/>
      <c r="C25" s="414" t="inlineStr">
        <is>
          <t>4 col.+ vern. (o 5 col.)</t>
        </is>
      </c>
      <c r="D25" s="169" t="n">
        <v>520</v>
      </c>
      <c r="E25" s="165" t="n">
        <v>0.06</v>
      </c>
      <c r="I25" s="154">
        <f>CONCATENATE($B$24," ",C25, " ", $B$10)</f>
        <v/>
      </c>
      <c r="J25" s="154" t="n">
        <v>3000</v>
      </c>
      <c r="K25" s="197">
        <f>+D25</f>
        <v/>
      </c>
      <c r="L25" s="196">
        <f>+E25</f>
        <v/>
      </c>
    </row>
    <row r="26" ht="17.1" customHeight="1">
      <c r="B26" s="168" t="n"/>
      <c r="C26" s="504" t="inlineStr">
        <is>
          <t>5 col.+ vern. (o 6 col.)</t>
        </is>
      </c>
      <c r="D26" s="505">
        <f>510*1.1</f>
        <v/>
      </c>
      <c r="E26" s="506">
        <f>0.17*1.1</f>
        <v/>
      </c>
      <c r="F26" s="507" t="inlineStr">
        <is>
          <t>Prezzo non presente su nuovo listino</t>
        </is>
      </c>
      <c r="I26" s="154">
        <f>CONCATENATE($B$24," ",C26, " ", $B$10)</f>
        <v/>
      </c>
      <c r="J26" s="154" t="n">
        <v>3000</v>
      </c>
      <c r="K26" s="197">
        <f>+D26</f>
        <v/>
      </c>
      <c r="L26" s="196">
        <f>+E26</f>
        <v/>
      </c>
    </row>
    <row r="27" ht="17.1" customHeight="1" thickBot="1">
      <c r="B27" s="722" t="inlineStr">
        <is>
          <t>Lavaggio Inchiostri + Pantone</t>
        </is>
      </c>
      <c r="C27" s="918" t="n"/>
      <c r="D27" s="918" t="n"/>
      <c r="E27" s="919">
        <f>55*1.1</f>
        <v/>
      </c>
      <c r="P27" s="302" t="inlineStr">
        <is>
          <t>LISTINO VIDOPLAST</t>
        </is>
      </c>
      <c r="Q27" s="302" t="inlineStr">
        <is>
          <t>€/MQ</t>
        </is>
      </c>
      <c r="R27" s="302" t="inlineStr">
        <is>
          <t>MINIMALE</t>
        </is>
      </c>
      <c r="S27" s="302" t="inlineStr">
        <is>
          <t>TELAIO</t>
        </is>
      </c>
    </row>
    <row r="28">
      <c r="P28" s="302" t="inlineStr">
        <is>
          <t>accoppiamento acetato lucido compostabile</t>
        </is>
      </c>
      <c r="Q28" s="920" t="n">
        <v>0.475</v>
      </c>
      <c r="R28" s="921" t="n">
        <v>250</v>
      </c>
      <c r="S28" s="921" t="n"/>
    </row>
    <row r="29">
      <c r="P29" s="302" t="inlineStr">
        <is>
          <t>accoppiamento acetato opaco compostabile</t>
        </is>
      </c>
      <c r="Q29" s="920" t="n">
        <v>0.615</v>
      </c>
      <c r="R29" s="921" t="n">
        <v>250</v>
      </c>
      <c r="S29" s="921" t="n"/>
    </row>
    <row r="30" ht="15.75" customHeight="1" thickBot="1">
      <c r="P30" s="302" t="inlineStr">
        <is>
          <t>accoppiamento pla lucido compostabile</t>
        </is>
      </c>
      <c r="Q30" s="920" t="n">
        <v>0.475</v>
      </c>
      <c r="R30" s="921" t="n">
        <v>200</v>
      </c>
      <c r="S30" s="921" t="n"/>
    </row>
    <row r="31">
      <c r="B31" s="178" t="n"/>
      <c r="C31" s="177" t="n"/>
      <c r="D31" s="176" t="inlineStr">
        <is>
          <t>MINIMALE</t>
        </is>
      </c>
      <c r="E31" s="175" t="inlineStr">
        <is>
          <t>COPIE</t>
        </is>
      </c>
      <c r="P31" s="302" t="inlineStr">
        <is>
          <t>accoppiamento antigraffio wet bopp</t>
        </is>
      </c>
      <c r="Q31" s="920" t="n">
        <v>0.515</v>
      </c>
      <c r="R31" s="921" t="n">
        <v>150</v>
      </c>
      <c r="S31" s="921" t="n"/>
    </row>
    <row r="32">
      <c r="B32" s="171" t="inlineStr">
        <is>
          <t>FORMATO</t>
        </is>
      </c>
      <c r="C32" s="167" t="inlineStr">
        <is>
          <t>col.</t>
        </is>
      </c>
      <c r="D32" s="174" t="inlineStr">
        <is>
          <t xml:space="preserve">fino a </t>
        </is>
      </c>
      <c r="E32" s="173" t="inlineStr">
        <is>
          <t>SUCCESSIVE</t>
        </is>
      </c>
      <c r="P32" s="302" t="inlineStr">
        <is>
          <t>accoppiamento argento pet</t>
        </is>
      </c>
      <c r="Q32" s="920" t="n">
        <v>0.345</v>
      </c>
      <c r="R32" s="921" t="n">
        <v>200</v>
      </c>
      <c r="S32" s="921" t="n"/>
    </row>
    <row r="33">
      <c r="B33" s="171" t="n"/>
      <c r="D33" s="174" t="inlineStr">
        <is>
          <t>3000 copie</t>
        </is>
      </c>
      <c r="E33" s="173" t="n"/>
      <c r="P33" s="302" t="inlineStr">
        <is>
          <t>plastificação brilhante</t>
        </is>
      </c>
      <c r="Q33" s="920" t="n">
        <v>0.155</v>
      </c>
      <c r="R33" s="921" t="n">
        <v>100</v>
      </c>
      <c r="S33" s="921" t="n"/>
    </row>
    <row r="34" ht="17.1" customHeight="1">
      <c r="B34" s="172" t="inlineStr">
        <is>
          <t>1200x1600</t>
        </is>
      </c>
      <c r="C34" s="170" t="inlineStr">
        <is>
          <t>da 1 a 4 col.</t>
        </is>
      </c>
      <c r="D34" s="166" t="n">
        <v>590</v>
      </c>
      <c r="E34" s="165" t="n">
        <v>0.06</v>
      </c>
      <c r="I34" s="154">
        <f>CONCATENATE($B$34," ",C34, " ", $B$10)</f>
        <v/>
      </c>
      <c r="J34" s="154" t="n">
        <v>3000</v>
      </c>
      <c r="K34" s="197">
        <f>+D34</f>
        <v/>
      </c>
      <c r="L34" s="196">
        <f>+E34</f>
        <v/>
      </c>
      <c r="P34" s="302" t="inlineStr">
        <is>
          <t>plastificação brilhante in volta</t>
        </is>
      </c>
      <c r="Q34" s="920" t="n">
        <v>0.165</v>
      </c>
      <c r="R34" s="921" t="n">
        <v>100</v>
      </c>
      <c r="S34" s="921" t="n"/>
    </row>
    <row r="35" ht="17.1" customHeight="1">
      <c r="B35" s="171" t="n"/>
      <c r="C35" s="170" t="inlineStr">
        <is>
          <t>4 col.+ vern. (o 5 col.)</t>
        </is>
      </c>
      <c r="D35" s="169" t="n">
        <v>690</v>
      </c>
      <c r="E35" s="165" t="n">
        <v>0.08</v>
      </c>
      <c r="I35" s="154">
        <f>CONCATENATE($B$34," ",C35, " ", $B$10)</f>
        <v/>
      </c>
      <c r="J35" s="154" t="n">
        <v>3000</v>
      </c>
      <c r="K35" s="197">
        <f>+D35</f>
        <v/>
      </c>
      <c r="L35" s="196">
        <f>+E35</f>
        <v/>
      </c>
      <c r="P35" s="302" t="inlineStr">
        <is>
          <t>plastificação brilhante bopp dry digitale</t>
        </is>
      </c>
      <c r="Q35" s="920" t="n">
        <v>0.365</v>
      </c>
      <c r="R35" s="921" t="n">
        <v>250</v>
      </c>
      <c r="S35" s="921" t="n"/>
    </row>
    <row r="36" ht="17.1" customHeight="1">
      <c r="B36" s="168" t="n"/>
      <c r="C36" s="504" t="inlineStr">
        <is>
          <t>5 col.+ vern. (o 6 col.)</t>
        </is>
      </c>
      <c r="D36" s="505" t="n">
        <v>897</v>
      </c>
      <c r="E36" s="506">
        <f>0.191*1.1</f>
        <v/>
      </c>
      <c r="F36" s="507" t="inlineStr">
        <is>
          <t>Prezzo non presente su nuovo listino</t>
        </is>
      </c>
      <c r="I36" s="154">
        <f>CONCATENATE($B$34," ",C36, " ", $B$10)</f>
        <v/>
      </c>
      <c r="J36" s="154" t="n">
        <v>3000</v>
      </c>
      <c r="K36" s="197">
        <f>+D36</f>
        <v/>
      </c>
      <c r="L36" s="196">
        <f>+E36</f>
        <v/>
      </c>
      <c r="P36" s="302" t="inlineStr">
        <is>
          <t>plastificazione opaca</t>
        </is>
      </c>
      <c r="Q36" s="920" t="n">
        <v>0.265</v>
      </c>
      <c r="R36" s="921" t="n">
        <v>155</v>
      </c>
      <c r="S36" s="921" t="n"/>
    </row>
    <row r="37" ht="15.75" customHeight="1" thickBot="1">
      <c r="B37" s="722" t="inlineStr">
        <is>
          <t>Lavaggio Inchiostri + Pantone</t>
        </is>
      </c>
      <c r="C37" s="918" t="n"/>
      <c r="D37" s="918" t="n"/>
      <c r="E37" s="919">
        <f>75*1.1</f>
        <v/>
      </c>
      <c r="P37" s="302" t="inlineStr">
        <is>
          <t>plastificazione opaca  dry digitale</t>
        </is>
      </c>
      <c r="Q37" s="920" t="n">
        <v>0.465</v>
      </c>
      <c r="R37" s="921" t="n">
        <v>250</v>
      </c>
      <c r="S37" s="921" t="n"/>
    </row>
    <row r="38">
      <c r="P38" s="302" t="inlineStr">
        <is>
          <t>accoppiamento oro pet</t>
        </is>
      </c>
      <c r="Q38" s="920" t="n">
        <v>0.435</v>
      </c>
      <c r="R38" s="921" t="n">
        <v>250</v>
      </c>
      <c r="S38" s="921" t="n"/>
    </row>
    <row r="39">
      <c r="P39" s="302" t="inlineStr">
        <is>
          <t xml:space="preserve">plastificazione soft touch wet </t>
        </is>
      </c>
      <c r="Q39" s="920" t="n">
        <v>0.5649999999999999</v>
      </c>
      <c r="R39" s="921" t="n">
        <v>250</v>
      </c>
      <c r="S39" s="921" t="n"/>
    </row>
    <row r="40">
      <c r="P40" s="302" t="inlineStr">
        <is>
          <t>verniciatura u.v. lucida offset</t>
        </is>
      </c>
      <c r="Q40" s="920" t="n">
        <v>0.08500000000000001</v>
      </c>
      <c r="R40" s="921" t="n">
        <v>75</v>
      </c>
      <c r="S40" s="921" t="n">
        <v>50</v>
      </c>
    </row>
    <row r="41" ht="15.75" customHeight="1" thickBot="1">
      <c r="B41" s="163" t="inlineStr">
        <is>
          <t xml:space="preserve">Data </t>
        </is>
      </c>
      <c r="C41" s="159" t="n"/>
      <c r="D41" s="162" t="inlineStr">
        <is>
          <t>Firma</t>
        </is>
      </c>
      <c r="E41" s="158" t="n"/>
      <c r="I41" s="309" t="inlineStr">
        <is>
          <t>FORMATO E col.</t>
        </is>
      </c>
      <c r="J41" s="310" t="inlineStr">
        <is>
          <t>MINIMALI FG</t>
        </is>
      </c>
      <c r="K41" s="310" t="inlineStr">
        <is>
          <t>AVVIAMENTO</t>
        </is>
      </c>
      <c r="L41" s="311" t="inlineStr">
        <is>
          <t>€/PASSAGGIO</t>
        </is>
      </c>
      <c r="M41" s="316" t="inlineStr">
        <is>
          <t>FOGLI AVVIAMENTO</t>
        </is>
      </c>
      <c r="P41" s="302" t="inlineStr">
        <is>
          <t>plastificação brilhante su micronda</t>
        </is>
      </c>
      <c r="Q41" s="922" t="n">
        <v>0.35</v>
      </c>
      <c r="R41" s="923" t="n">
        <v>200</v>
      </c>
      <c r="S41" s="923" t="n"/>
    </row>
    <row r="42" ht="30.75" customHeight="1" thickBot="1">
      <c r="B42" s="161" t="n">
        <v>44511</v>
      </c>
      <c r="C42" s="156" t="n"/>
      <c r="D42" s="156" t="n"/>
      <c r="E42" s="155" t="n"/>
      <c r="I42" s="307">
        <f>CONCATENATE($B$14," ",C14, " ", $B$10)</f>
        <v/>
      </c>
      <c r="J42" s="198" t="n">
        <v>2000</v>
      </c>
      <c r="K42" s="924">
        <f>+D14</f>
        <v/>
      </c>
      <c r="L42" s="925">
        <f>+E14</f>
        <v/>
      </c>
      <c r="M42" s="154" t="n">
        <v>200</v>
      </c>
    </row>
    <row r="43" ht="15.75" customHeight="1" thickBot="1">
      <c r="B43" s="160" t="inlineStr">
        <is>
          <t>Note:</t>
        </is>
      </c>
      <c r="C43" s="159" t="n"/>
      <c r="D43" s="159" t="n"/>
      <c r="E43" s="158" t="n"/>
      <c r="I43" s="307">
        <f>CONCATENATE($B$14," ",C15, " ", $B$10)</f>
        <v/>
      </c>
      <c r="J43" s="199" t="n">
        <v>2000</v>
      </c>
      <c r="K43" s="926">
        <f>+D15</f>
        <v/>
      </c>
      <c r="L43" s="927">
        <f>+E15</f>
        <v/>
      </c>
      <c r="M43" s="154" t="n">
        <v>200</v>
      </c>
    </row>
    <row r="44">
      <c r="B44" s="157" t="inlineStr">
        <is>
          <t>LASTRE E AVVIAMENTI INCLUSI</t>
        </is>
      </c>
      <c r="C44" s="156" t="n"/>
      <c r="D44" s="156" t="n"/>
      <c r="E44" s="155" t="n"/>
      <c r="I44" s="307">
        <f>CONCATENATE($B$14," ",C16, " ", $B$10)</f>
        <v/>
      </c>
      <c r="J44" s="199" t="n">
        <v>2000</v>
      </c>
      <c r="K44" s="926">
        <f>+D16</f>
        <v/>
      </c>
      <c r="L44" s="927">
        <f>+E16</f>
        <v/>
      </c>
      <c r="M44" s="154" t="n">
        <v>200</v>
      </c>
    </row>
    <row r="45">
      <c r="I45" s="308">
        <f>+I24</f>
        <v/>
      </c>
      <c r="J45" s="199">
        <f>+J24</f>
        <v/>
      </c>
      <c r="K45" s="926">
        <f>+K24</f>
        <v/>
      </c>
      <c r="L45" s="927">
        <f>+L24</f>
        <v/>
      </c>
      <c r="M45" s="154" t="n">
        <v>200</v>
      </c>
    </row>
    <row r="46">
      <c r="I46" s="308">
        <f>+I25</f>
        <v/>
      </c>
      <c r="J46" s="199">
        <f>+J25</f>
        <v/>
      </c>
      <c r="K46" s="926">
        <f>+K25</f>
        <v/>
      </c>
      <c r="L46" s="927">
        <f>+L25</f>
        <v/>
      </c>
      <c r="M46" s="154" t="n">
        <v>200</v>
      </c>
    </row>
    <row r="47">
      <c r="I47" s="308">
        <f>+I26</f>
        <v/>
      </c>
      <c r="J47" s="199">
        <f>+J26</f>
        <v/>
      </c>
      <c r="K47" s="926">
        <f>+K26</f>
        <v/>
      </c>
      <c r="L47" s="927">
        <f>+L26</f>
        <v/>
      </c>
      <c r="M47" s="154" t="n">
        <v>200</v>
      </c>
    </row>
    <row r="48" ht="15.75" customHeight="1" thickBot="1">
      <c r="B48" s="417" t="inlineStr">
        <is>
          <t>ERRESTAMPA</t>
        </is>
      </c>
      <c r="C48" s="412" t="inlineStr">
        <is>
          <t>MZG</t>
        </is>
      </c>
      <c r="I48" s="308">
        <f>+I34</f>
        <v/>
      </c>
      <c r="J48" s="199">
        <f>+J34</f>
        <v/>
      </c>
      <c r="K48" s="926">
        <f>+K34</f>
        <v/>
      </c>
      <c r="L48" s="927">
        <f>+L34</f>
        <v/>
      </c>
      <c r="M48" s="154" t="n">
        <v>200</v>
      </c>
    </row>
    <row r="49">
      <c r="B49" s="178" t="n"/>
      <c r="C49" s="177" t="n"/>
      <c r="D49" s="176" t="inlineStr">
        <is>
          <t>MINIMALE</t>
        </is>
      </c>
      <c r="E49" s="175" t="inlineStr">
        <is>
          <t>COPIE</t>
        </is>
      </c>
      <c r="I49" s="308">
        <f>+I35</f>
        <v/>
      </c>
      <c r="J49" s="199">
        <f>+J35</f>
        <v/>
      </c>
      <c r="K49" s="926">
        <f>+K35</f>
        <v/>
      </c>
      <c r="L49" s="927">
        <f>+L35</f>
        <v/>
      </c>
      <c r="M49" s="154" t="n">
        <v>200</v>
      </c>
    </row>
    <row r="50">
      <c r="B50" s="171" t="inlineStr">
        <is>
          <t>FORMATO</t>
        </is>
      </c>
      <c r="C50" s="167" t="inlineStr">
        <is>
          <t>col.</t>
        </is>
      </c>
      <c r="D50" s="174" t="inlineStr">
        <is>
          <t xml:space="preserve">fino a </t>
        </is>
      </c>
      <c r="E50" s="173" t="inlineStr">
        <is>
          <t>SUCCESSIVE</t>
        </is>
      </c>
      <c r="I50" s="312">
        <f>+I36</f>
        <v/>
      </c>
      <c r="J50" s="313">
        <f>+J36</f>
        <v/>
      </c>
      <c r="K50" s="928">
        <f>+K36</f>
        <v/>
      </c>
      <c r="L50" s="929">
        <f>+L36</f>
        <v/>
      </c>
      <c r="M50" s="154" t="n">
        <v>200</v>
      </c>
    </row>
    <row r="51">
      <c r="B51" s="171" t="n"/>
      <c r="D51" s="415" t="inlineStr">
        <is>
          <t>2000 copie</t>
        </is>
      </c>
      <c r="E51" s="173" t="n"/>
      <c r="I51" s="315" t="inlineStr">
        <is>
          <t>stampa uv fino a 4c + vern. (acc. Oro/arg)</t>
        </is>
      </c>
      <c r="J51" s="313" t="n">
        <v>1</v>
      </c>
      <c r="K51" s="928" t="n">
        <v>1500</v>
      </c>
      <c r="L51" s="929" t="n">
        <v>0.6</v>
      </c>
      <c r="M51" s="154" t="n">
        <v>500</v>
      </c>
    </row>
    <row r="52">
      <c r="B52" s="413" t="inlineStr">
        <is>
          <t>700x1000</t>
        </is>
      </c>
      <c r="C52" s="414" t="inlineStr">
        <is>
          <t>1 col.</t>
        </is>
      </c>
      <c r="D52" s="166" t="n">
        <v>105</v>
      </c>
      <c r="E52" s="930" t="n">
        <v>0.021</v>
      </c>
      <c r="I52" s="315" t="inlineStr">
        <is>
          <t>stampa uv oltre 4c + vern. (acc. Oro/arg)</t>
        </is>
      </c>
      <c r="J52" s="313" t="n">
        <v>1</v>
      </c>
      <c r="K52" s="928" t="n">
        <v>2000</v>
      </c>
      <c r="L52" s="929" t="n">
        <v>1</v>
      </c>
      <c r="M52" s="154" t="n">
        <v>500</v>
      </c>
    </row>
    <row r="53">
      <c r="B53" s="171" t="n"/>
      <c r="C53" s="414" t="inlineStr">
        <is>
          <t>2 col.</t>
        </is>
      </c>
      <c r="D53" s="169" t="n">
        <v>136.5</v>
      </c>
      <c r="E53" s="930" t="n">
        <v>0.021</v>
      </c>
      <c r="G53" s="197" t="n"/>
      <c r="I53" s="402" t="inlineStr">
        <is>
          <t>700x1000 - FERRERO – ORO 100 % + vern.</t>
        </is>
      </c>
      <c r="J53" s="199" t="n">
        <v>1000</v>
      </c>
      <c r="K53" s="931">
        <f>170+75+55+40</f>
        <v/>
      </c>
      <c r="L53" s="932" t="n">
        <v>0.035</v>
      </c>
      <c r="M53" s="154" t="n">
        <v>400</v>
      </c>
    </row>
    <row r="54">
      <c r="B54" s="168" t="n"/>
      <c r="C54" s="414" t="inlineStr">
        <is>
          <t>3 col.</t>
        </is>
      </c>
      <c r="D54" s="166" t="n">
        <v>180.6</v>
      </c>
      <c r="E54" s="930">
        <f>22.05/1000</f>
        <v/>
      </c>
      <c r="G54" s="197" t="n"/>
      <c r="I54" s="402" t="inlineStr">
        <is>
          <t xml:space="preserve">700x1000 - FERRERO – ORO - 1COL+ORO+V.L. </t>
        </is>
      </c>
      <c r="J54" s="199" t="n"/>
      <c r="K54" s="931" t="n"/>
      <c r="L54" s="932" t="n"/>
      <c r="M54" s="154" t="n">
        <v>400</v>
      </c>
    </row>
    <row r="55">
      <c r="B55" s="168" t="n"/>
      <c r="C55" s="414" t="inlineStr">
        <is>
          <t>4 col.</t>
        </is>
      </c>
      <c r="D55" s="166" t="n">
        <v>224.7</v>
      </c>
      <c r="E55" s="930">
        <f>23.5/1000</f>
        <v/>
      </c>
      <c r="G55" s="197" t="n"/>
      <c r="I55" s="402" t="inlineStr">
        <is>
          <t xml:space="preserve">700x1000 - FERRERO – ORO - 2COL+ORO+V.L. </t>
        </is>
      </c>
      <c r="J55" s="199" t="n"/>
      <c r="K55" s="931" t="n"/>
      <c r="L55" s="932" t="n"/>
      <c r="M55" s="154" t="n">
        <v>400</v>
      </c>
    </row>
    <row r="56">
      <c r="B56" s="168" t="n"/>
      <c r="C56" s="414" t="inlineStr">
        <is>
          <t xml:space="preserve">5 col. </t>
        </is>
      </c>
      <c r="D56" s="166" t="n">
        <v>329.7</v>
      </c>
      <c r="E56" s="930">
        <f>28.35/1000</f>
        <v/>
      </c>
      <c r="G56" s="197" t="n"/>
      <c r="I56" s="402" t="inlineStr">
        <is>
          <t xml:space="preserve">700x1000 - FERRERO – ORO - 3COL+ORO+V.L. </t>
        </is>
      </c>
      <c r="J56" s="199" t="n"/>
      <c r="K56" s="931" t="n"/>
      <c r="L56" s="932" t="n"/>
      <c r="M56" s="154" t="n">
        <v>400</v>
      </c>
    </row>
    <row r="57">
      <c r="B57" s="168" t="n"/>
      <c r="C57" s="414" t="inlineStr">
        <is>
          <t>1 col. + vern.</t>
        </is>
      </c>
      <c r="D57" s="166">
        <f>+D53+52.5</f>
        <v/>
      </c>
      <c r="E57" s="930">
        <f>+E52+(4.2/1000)</f>
        <v/>
      </c>
      <c r="F57" s="412" t="n"/>
      <c r="G57" s="197" t="n"/>
      <c r="I57" s="402" t="inlineStr">
        <is>
          <t xml:space="preserve">700x1000 - FERRERO – ORO - 4COL+ORO+V.L. </t>
        </is>
      </c>
      <c r="J57" s="199" t="n">
        <v>1000</v>
      </c>
      <c r="K57" s="931">
        <f>+ 170+75+55+(40*4)</f>
        <v/>
      </c>
      <c r="L57" s="932" t="n">
        <v>0.045</v>
      </c>
      <c r="M57" s="154" t="n">
        <v>400</v>
      </c>
    </row>
    <row r="58">
      <c r="B58" s="168" t="n"/>
      <c r="C58" s="414" t="inlineStr">
        <is>
          <t>2 col. + vern.</t>
        </is>
      </c>
      <c r="D58" s="166">
        <f>+D54+52.5</f>
        <v/>
      </c>
      <c r="E58" s="930">
        <f>+E53+(4.2/1000)</f>
        <v/>
      </c>
      <c r="G58" s="197" t="n"/>
      <c r="I58" s="402" t="inlineStr">
        <is>
          <t>1000x1400 - FERRERO – ORO 100 %</t>
        </is>
      </c>
      <c r="J58" s="199" t="n">
        <v>1000</v>
      </c>
      <c r="K58" s="931" t="n"/>
      <c r="L58" s="933" t="n"/>
      <c r="M58" s="154" t="n">
        <v>400</v>
      </c>
    </row>
    <row r="59" ht="15.75" customHeight="1" thickBot="1">
      <c r="B59" s="168" t="n"/>
      <c r="C59" s="414" t="inlineStr">
        <is>
          <t>3 col. + vern.</t>
        </is>
      </c>
      <c r="D59" s="166">
        <f>+D55+52.5</f>
        <v/>
      </c>
      <c r="E59" s="930">
        <f>+E54+(4.2/1000)</f>
        <v/>
      </c>
      <c r="G59" s="197" t="n"/>
      <c r="I59" s="391" t="inlineStr">
        <is>
          <t xml:space="preserve">1000x1400 - FERRERO – ORO - 1COL+ORO+V.L. </t>
        </is>
      </c>
      <c r="J59" s="313" t="n">
        <v>1000</v>
      </c>
      <c r="K59" s="934">
        <f>175+90+75+(65)</f>
        <v/>
      </c>
      <c r="L59" s="935" t="n">
        <v>0.04</v>
      </c>
      <c r="M59" s="154" t="n">
        <v>400</v>
      </c>
    </row>
    <row r="60" ht="15.75" customHeight="1" thickBot="1">
      <c r="B60" s="168" t="n"/>
      <c r="C60" s="414" t="inlineStr">
        <is>
          <t>4 col. + vern.</t>
        </is>
      </c>
      <c r="D60" s="166">
        <f>+D56+52.5</f>
        <v/>
      </c>
      <c r="E60" s="930">
        <f>+E55+(4.2/1000)</f>
        <v/>
      </c>
      <c r="G60" s="197" t="n"/>
      <c r="I60" s="391" t="inlineStr">
        <is>
          <t xml:space="preserve">1000x1400 - FERRERO – ORO - 2COL+ORO+V.L. </t>
        </is>
      </c>
      <c r="J60" s="199" t="n"/>
      <c r="K60" s="931" t="n"/>
      <c r="L60" s="932" t="n"/>
    </row>
    <row r="61">
      <c r="B61" s="178" t="n"/>
      <c r="C61" s="177" t="n"/>
      <c r="D61" s="176" t="inlineStr">
        <is>
          <t>MINIMALE</t>
        </is>
      </c>
      <c r="E61" s="175" t="inlineStr">
        <is>
          <t>COPIE</t>
        </is>
      </c>
      <c r="G61" s="197" t="n"/>
      <c r="I61" s="391" t="inlineStr">
        <is>
          <t xml:space="preserve">1000x1400 - FERRERO – ORO - 3COL+ORO+V.L. </t>
        </is>
      </c>
      <c r="J61" s="199" t="n"/>
      <c r="K61" s="931" t="n"/>
      <c r="L61" s="932" t="n"/>
    </row>
    <row r="62" ht="15.75" customHeight="1" thickBot="1">
      <c r="B62" s="171" t="inlineStr">
        <is>
          <t>FORMATO</t>
        </is>
      </c>
      <c r="C62" s="167" t="inlineStr">
        <is>
          <t>col.</t>
        </is>
      </c>
      <c r="D62" s="174" t="inlineStr">
        <is>
          <t xml:space="preserve">fino a </t>
        </is>
      </c>
      <c r="E62" s="173" t="inlineStr">
        <is>
          <t>SUCCESSIVE</t>
        </is>
      </c>
      <c r="G62" s="197" t="n"/>
      <c r="I62" s="391" t="inlineStr">
        <is>
          <t xml:space="preserve">1000x1400 - FERRERO – ORO - 4COL+ORO+V.L. </t>
        </is>
      </c>
      <c r="J62" s="313" t="n">
        <v>1000</v>
      </c>
      <c r="K62" s="934">
        <f>190+90+75+(65*4)</f>
        <v/>
      </c>
      <c r="L62" s="935" t="n">
        <v>0.075</v>
      </c>
      <c r="M62" s="154" t="n">
        <v>400</v>
      </c>
    </row>
    <row r="63">
      <c r="B63" s="171" t="n"/>
      <c r="D63" s="415" t="inlineStr">
        <is>
          <t>1000 copie</t>
        </is>
      </c>
      <c r="E63" s="173" t="n"/>
      <c r="I63" s="391" t="inlineStr">
        <is>
          <t>1200x1600 - FERRERO – ORO 100 %</t>
        </is>
      </c>
      <c r="J63" s="313" t="n">
        <v>1000</v>
      </c>
      <c r="K63" s="934">
        <f>270+110+125</f>
        <v/>
      </c>
      <c r="L63" s="936" t="n">
        <v>0.12</v>
      </c>
      <c r="M63" s="154" t="n">
        <v>400</v>
      </c>
    </row>
    <row r="64" ht="15.75" customHeight="1" thickBot="1">
      <c r="B64" s="413" t="inlineStr">
        <is>
          <t>1000x1400</t>
        </is>
      </c>
      <c r="C64" s="414" t="inlineStr">
        <is>
          <t>1 col.</t>
        </is>
      </c>
      <c r="D64" s="166" t="n">
        <v>152.25</v>
      </c>
      <c r="E64" s="930" t="n">
        <v>0.02835</v>
      </c>
      <c r="I64" s="391" t="inlineStr">
        <is>
          <t xml:space="preserve">1200x1600 - FERRERO – ORO - 1COL+ORO+V.L. </t>
        </is>
      </c>
      <c r="J64" s="313" t="n">
        <v>1000</v>
      </c>
      <c r="K64" s="934">
        <f>210+125+110+(105)</f>
        <v/>
      </c>
      <c r="L64" s="935" t="n">
        <v>0.055</v>
      </c>
      <c r="M64" s="154" t="n">
        <v>400</v>
      </c>
    </row>
    <row r="65" ht="15.75" customHeight="1" thickBot="1">
      <c r="B65" s="171" t="n"/>
      <c r="C65" s="414" t="inlineStr">
        <is>
          <t>2 col.</t>
        </is>
      </c>
      <c r="D65" s="169" t="n">
        <v>216.3</v>
      </c>
      <c r="E65" s="930" t="n">
        <v>0.02835</v>
      </c>
      <c r="I65" s="391" t="inlineStr">
        <is>
          <t xml:space="preserve">1200x1600 - FERRERO – ORO - 2COL+ORO+V.L. </t>
        </is>
      </c>
      <c r="J65" s="313" t="n">
        <v>1000</v>
      </c>
      <c r="K65" s="934">
        <f>210+125+110+(105*4)</f>
        <v/>
      </c>
      <c r="L65" s="935" t="n">
        <v>0.095</v>
      </c>
      <c r="M65" s="154" t="n">
        <v>400</v>
      </c>
    </row>
    <row r="66" ht="15.75" customHeight="1" thickBot="1">
      <c r="B66" s="168" t="n"/>
      <c r="C66" s="414" t="inlineStr">
        <is>
          <t>3 col.</t>
        </is>
      </c>
      <c r="D66" s="166" t="n">
        <v>292.95</v>
      </c>
      <c r="E66" s="930" t="n">
        <v>0.0294</v>
      </c>
      <c r="I66" s="391" t="inlineStr">
        <is>
          <t xml:space="preserve">1200x1600 - FERRERO – ORO - 3COL+ORO+V.L. </t>
        </is>
      </c>
      <c r="J66" s="313" t="n">
        <v>1000</v>
      </c>
      <c r="K66" s="934">
        <f>210+125+110+(105)</f>
        <v/>
      </c>
      <c r="L66" s="935" t="n">
        <v>0.055</v>
      </c>
      <c r="M66" s="154" t="n">
        <v>400</v>
      </c>
    </row>
    <row r="67" ht="15.75" customHeight="1" thickBot="1">
      <c r="B67" s="168" t="n"/>
      <c r="C67" s="414" t="inlineStr">
        <is>
          <t>4 col.</t>
        </is>
      </c>
      <c r="D67" s="166" t="n">
        <v>369.6</v>
      </c>
      <c r="E67" s="930" t="n">
        <v>0.03045</v>
      </c>
      <c r="I67" s="391" t="inlineStr">
        <is>
          <t xml:space="preserve">1200x1600 - FERRERO – ORO - 4COL+ORO+V.L. </t>
        </is>
      </c>
      <c r="J67" s="313" t="n">
        <v>1000</v>
      </c>
      <c r="K67" s="934">
        <f>210+125+110+(105*4)</f>
        <v/>
      </c>
      <c r="L67" s="935" t="n">
        <v>0.095</v>
      </c>
      <c r="M67" s="154" t="n">
        <v>400</v>
      </c>
    </row>
    <row r="68">
      <c r="B68" s="168" t="n"/>
      <c r="C68" s="414" t="inlineStr">
        <is>
          <t xml:space="preserve">5 col. </t>
        </is>
      </c>
      <c r="D68" s="166" t="n">
        <v>534.45</v>
      </c>
      <c r="E68" s="930" t="n">
        <v>0.03885</v>
      </c>
      <c r="I68" s="308">
        <f>+_xlfn.CONCAT($B$52, " ", C52, " ", $C$48)</f>
        <v/>
      </c>
      <c r="J68" s="199" t="n">
        <v>2000</v>
      </c>
      <c r="K68" s="937" t="n">
        <v>105</v>
      </c>
      <c r="L68" s="938" t="n">
        <v>0.021</v>
      </c>
      <c r="M68" s="154" t="n">
        <v>200</v>
      </c>
    </row>
    <row r="69">
      <c r="B69" s="168" t="n"/>
      <c r="C69" s="414" t="inlineStr">
        <is>
          <t>1 col. + vern.</t>
        </is>
      </c>
      <c r="D69" s="166">
        <f>+D65+73.5</f>
        <v/>
      </c>
      <c r="E69" s="930">
        <f>+E64+(8.4/1000)</f>
        <v/>
      </c>
      <c r="I69" s="308">
        <f>+_xlfn.CONCAT($B$52, " ", C53, " ", $C$48)</f>
        <v/>
      </c>
      <c r="J69" s="199" t="n">
        <v>2000</v>
      </c>
      <c r="K69" s="939" t="n">
        <v>136.5</v>
      </c>
      <c r="L69" s="938" t="n">
        <v>0.021</v>
      </c>
      <c r="M69" s="154" t="n">
        <v>200</v>
      </c>
    </row>
    <row r="70">
      <c r="B70" s="168" t="n"/>
      <c r="C70" s="414" t="inlineStr">
        <is>
          <t>2 col. + vern.</t>
        </is>
      </c>
      <c r="D70" s="166">
        <f>+D66+73.5</f>
        <v/>
      </c>
      <c r="E70" s="930">
        <f>+E65+(8.4/1000)</f>
        <v/>
      </c>
      <c r="I70" s="308">
        <f>+_xlfn.CONCAT($B$52, " ", C54, " ", $C$48)</f>
        <v/>
      </c>
      <c r="J70" s="199" t="n">
        <v>2000</v>
      </c>
      <c r="K70" s="937" t="n">
        <v>180.6</v>
      </c>
      <c r="L70" s="938" t="n">
        <v>0.02205</v>
      </c>
      <c r="M70" s="154" t="n">
        <v>200</v>
      </c>
    </row>
    <row r="71">
      <c r="B71" s="168" t="n"/>
      <c r="C71" s="414" t="inlineStr">
        <is>
          <t>3 col. + vern.</t>
        </is>
      </c>
      <c r="D71" s="166">
        <f>+D67+73.5</f>
        <v/>
      </c>
      <c r="E71" s="930">
        <f>+E66+(8.4/1000)</f>
        <v/>
      </c>
      <c r="I71" s="308">
        <f>+_xlfn.CONCAT($B$52, " ", C55, " ", $C$48)</f>
        <v/>
      </c>
      <c r="J71" s="199" t="n">
        <v>2000</v>
      </c>
      <c r="K71" s="937" t="n">
        <v>224.7</v>
      </c>
      <c r="L71" s="938" t="n">
        <v>0.0235</v>
      </c>
      <c r="M71" s="154" t="n">
        <v>200</v>
      </c>
    </row>
    <row r="72" ht="15.75" customHeight="1" thickBot="1">
      <c r="B72" s="168" t="n"/>
      <c r="C72" s="414" t="inlineStr">
        <is>
          <t>4 col. + vern.</t>
        </is>
      </c>
      <c r="D72" s="166">
        <f>+D68+73.5</f>
        <v/>
      </c>
      <c r="E72" s="930">
        <f>+E67+(8.4/1000)</f>
        <v/>
      </c>
      <c r="I72" s="308">
        <f>+_xlfn.CONCAT($B$52, " ", C56, " ", $C$48)</f>
        <v/>
      </c>
      <c r="J72" s="199" t="n">
        <v>2000</v>
      </c>
      <c r="K72" s="937" t="n">
        <v>329.7</v>
      </c>
      <c r="L72" s="938" t="n">
        <v>0.02835</v>
      </c>
      <c r="M72" s="154" t="n">
        <v>200</v>
      </c>
    </row>
    <row r="73">
      <c r="B73" s="178" t="n"/>
      <c r="C73" s="177" t="n"/>
      <c r="D73" s="176" t="inlineStr">
        <is>
          <t>MINIMALE</t>
        </is>
      </c>
      <c r="E73" s="175" t="inlineStr">
        <is>
          <t>COPIE</t>
        </is>
      </c>
      <c r="I73" s="308">
        <f>+_xlfn.CONCAT($B$52, " ", C57, " ", $C$48)</f>
        <v/>
      </c>
      <c r="J73" s="199" t="n">
        <v>2000</v>
      </c>
      <c r="K73" s="937" t="n">
        <v>189</v>
      </c>
      <c r="L73" s="938" t="n">
        <v>0.0252</v>
      </c>
      <c r="M73" s="154" t="n">
        <v>200</v>
      </c>
    </row>
    <row r="74">
      <c r="B74" s="171" t="inlineStr">
        <is>
          <t>FORMATO</t>
        </is>
      </c>
      <c r="C74" s="167" t="inlineStr">
        <is>
          <t>col.</t>
        </is>
      </c>
      <c r="D74" s="174" t="inlineStr">
        <is>
          <t xml:space="preserve">fino a </t>
        </is>
      </c>
      <c r="E74" s="173" t="inlineStr">
        <is>
          <t>SUCCESSIVE</t>
        </is>
      </c>
      <c r="I74" s="308">
        <f>+_xlfn.CONCAT($B$52, " ", C58, " ", $C$48)</f>
        <v/>
      </c>
      <c r="J74" s="199" t="n">
        <v>2000</v>
      </c>
      <c r="K74" s="937" t="n">
        <v>233.1</v>
      </c>
      <c r="L74" s="938" t="n">
        <v>0.0252</v>
      </c>
      <c r="M74" s="154" t="n">
        <v>200</v>
      </c>
    </row>
    <row r="75">
      <c r="B75" s="171" t="n"/>
      <c r="D75" s="415" t="inlineStr">
        <is>
          <t>1000 copie</t>
        </is>
      </c>
      <c r="E75" s="173" t="n"/>
      <c r="I75" s="308">
        <f>+_xlfn.CONCAT($B$52, " ", C59, " ", $C$48)</f>
        <v/>
      </c>
      <c r="J75" s="199" t="n">
        <v>2000</v>
      </c>
      <c r="K75" s="937" t="n">
        <v>277.2</v>
      </c>
      <c r="L75" s="938" t="n">
        <v>0.02625</v>
      </c>
      <c r="M75" s="154" t="n">
        <v>200</v>
      </c>
    </row>
    <row r="76">
      <c r="B76" s="413" t="inlineStr">
        <is>
          <t>1200x1600</t>
        </is>
      </c>
      <c r="C76" s="414" t="inlineStr">
        <is>
          <t>1 col.</t>
        </is>
      </c>
      <c r="D76" s="166" t="n">
        <v>174.3</v>
      </c>
      <c r="E76" s="930" t="n">
        <v>0.03255</v>
      </c>
      <c r="I76" s="308">
        <f>+_xlfn.CONCAT($B$52, " ", C60, " ", $C$48)</f>
        <v/>
      </c>
      <c r="J76" s="199" t="n">
        <v>2000</v>
      </c>
      <c r="K76" s="937" t="n">
        <v>382.2</v>
      </c>
      <c r="L76" s="938" t="n">
        <v>0.0277</v>
      </c>
      <c r="M76" s="154" t="n">
        <v>200</v>
      </c>
    </row>
    <row r="77">
      <c r="B77" s="171" t="n"/>
      <c r="C77" s="414" t="inlineStr">
        <is>
          <t>2 col.</t>
        </is>
      </c>
      <c r="D77" s="169" t="n">
        <v>252</v>
      </c>
      <c r="E77" s="930" t="n">
        <v>0.03255</v>
      </c>
      <c r="I77" s="308">
        <f>++_xlfn.CONCAT($B$64, " ", C64, " ", $C$48)</f>
        <v/>
      </c>
      <c r="J77" s="199" t="n">
        <v>1000</v>
      </c>
      <c r="K77" s="937" t="n">
        <v>152.25</v>
      </c>
      <c r="L77" s="938" t="n">
        <v>0.02835</v>
      </c>
      <c r="M77" s="154" t="n">
        <v>200</v>
      </c>
    </row>
    <row r="78">
      <c r="B78" s="168" t="n"/>
      <c r="C78" s="414" t="inlineStr">
        <is>
          <t>3 col.</t>
        </is>
      </c>
      <c r="D78" s="166" t="n">
        <v>342.3</v>
      </c>
      <c r="E78" s="930" t="n">
        <v>0.0336</v>
      </c>
      <c r="I78" s="308">
        <f>++_xlfn.CONCAT($B$64, " ", C65, " ", $C$48)</f>
        <v/>
      </c>
      <c r="J78" s="199" t="n">
        <v>1000</v>
      </c>
      <c r="K78" s="939" t="n">
        <v>216.3</v>
      </c>
      <c r="L78" s="938" t="n">
        <v>0.02835</v>
      </c>
      <c r="M78" s="154" t="n">
        <v>200</v>
      </c>
    </row>
    <row r="79">
      <c r="B79" s="168" t="n"/>
      <c r="C79" s="414" t="inlineStr">
        <is>
          <t>4 col.</t>
        </is>
      </c>
      <c r="D79" s="166" t="n">
        <v>432.6</v>
      </c>
      <c r="E79" s="930" t="n">
        <v>0.03465</v>
      </c>
      <c r="I79" s="308">
        <f>++_xlfn.CONCAT($B$64, " ", C66, " ", $C$48)</f>
        <v/>
      </c>
      <c r="J79" s="199" t="n">
        <v>1000</v>
      </c>
      <c r="K79" s="937" t="n">
        <v>292.95</v>
      </c>
      <c r="L79" s="938" t="n">
        <v>0.0294</v>
      </c>
      <c r="M79" s="154" t="n">
        <v>200</v>
      </c>
    </row>
    <row r="80">
      <c r="B80" s="168" t="n"/>
      <c r="C80" s="414" t="inlineStr">
        <is>
          <t xml:space="preserve">5 col. </t>
        </is>
      </c>
      <c r="D80" s="166" t="n">
        <v>613.2</v>
      </c>
      <c r="E80" s="930" t="n">
        <v>0.0441</v>
      </c>
      <c r="I80" s="308">
        <f>++_xlfn.CONCAT($B$64, " ", C67, " ", $C$48)</f>
        <v/>
      </c>
      <c r="J80" s="199" t="n">
        <v>1000</v>
      </c>
      <c r="K80" s="937" t="n">
        <v>369.6</v>
      </c>
      <c r="L80" s="938" t="n">
        <v>0.03045</v>
      </c>
      <c r="M80" s="154" t="n">
        <v>200</v>
      </c>
    </row>
    <row r="81">
      <c r="B81" s="168" t="n"/>
      <c r="C81" s="414" t="inlineStr">
        <is>
          <t>1 col. + vern.</t>
        </is>
      </c>
      <c r="D81" s="166">
        <f>+D77+73.5</f>
        <v/>
      </c>
      <c r="E81" s="930">
        <f>+E77+(11.55/1000)</f>
        <v/>
      </c>
      <c r="I81" s="308">
        <f>++_xlfn.CONCAT($B$64, " ", C68, " ", $C$48)</f>
        <v/>
      </c>
      <c r="J81" s="199" t="n">
        <v>1000</v>
      </c>
      <c r="K81" s="937" t="n">
        <v>534.45</v>
      </c>
      <c r="L81" s="938" t="n">
        <v>0.03885</v>
      </c>
      <c r="M81" s="154" t="n">
        <v>200</v>
      </c>
    </row>
    <row r="82">
      <c r="B82" s="168" t="n"/>
      <c r="C82" s="414" t="inlineStr">
        <is>
          <t>2 col. + vern.</t>
        </is>
      </c>
      <c r="D82" s="166">
        <f>+D78+73.5</f>
        <v/>
      </c>
      <c r="E82" s="930">
        <f>+E78+(11.55/1000)</f>
        <v/>
      </c>
      <c r="I82" s="308">
        <f>++_xlfn.CONCAT($B$64, " ", C69, " ", $C$48)</f>
        <v/>
      </c>
      <c r="J82" s="199" t="n">
        <v>1000</v>
      </c>
      <c r="K82" s="937" t="n">
        <v>289.8</v>
      </c>
      <c r="L82" s="938" t="n">
        <v>0.03675</v>
      </c>
      <c r="M82" s="154" t="n">
        <v>200</v>
      </c>
    </row>
    <row r="83">
      <c r="B83" s="168" t="n"/>
      <c r="C83" s="414" t="inlineStr">
        <is>
          <t>3 col. + vern.</t>
        </is>
      </c>
      <c r="D83" s="166">
        <f>+D79+73.5</f>
        <v/>
      </c>
      <c r="E83" s="930">
        <f>+E79+(11.55/1000)</f>
        <v/>
      </c>
      <c r="I83" s="308">
        <f>++_xlfn.CONCAT($B$64, " ", C70, " ", $C$48)</f>
        <v/>
      </c>
      <c r="J83" s="199" t="n">
        <v>1000</v>
      </c>
      <c r="K83" s="937" t="n">
        <v>366.45</v>
      </c>
      <c r="L83" s="938" t="n">
        <v>0.03675</v>
      </c>
      <c r="M83" s="154" t="n">
        <v>200</v>
      </c>
    </row>
    <row r="84">
      <c r="B84" s="168" t="n"/>
      <c r="C84" s="414" t="inlineStr">
        <is>
          <t>4 col. + vern.</t>
        </is>
      </c>
      <c r="D84" s="166">
        <f>+D80+73.5</f>
        <v/>
      </c>
      <c r="E84" s="930">
        <f>+E80+(11.55/1000)</f>
        <v/>
      </c>
      <c r="I84" s="308">
        <f>++_xlfn.CONCAT($B$64, " ", C71, " ", $C$48)</f>
        <v/>
      </c>
      <c r="J84" s="199" t="n">
        <v>1000</v>
      </c>
      <c r="K84" s="937" t="n">
        <v>443.1</v>
      </c>
      <c r="L84" s="938" t="n">
        <v>0.0378</v>
      </c>
      <c r="M84" s="154" t="n">
        <v>200</v>
      </c>
    </row>
    <row r="85" ht="15.75" customHeight="1" thickBot="1">
      <c r="I85" s="308">
        <f>++_xlfn.CONCAT($B$64, " ", C72, " ", $C$48)</f>
        <v/>
      </c>
      <c r="J85" s="199" t="n">
        <v>1000</v>
      </c>
      <c r="K85" s="937" t="n">
        <v>607.95</v>
      </c>
      <c r="L85" s="938" t="n">
        <v>0.03885</v>
      </c>
      <c r="M85" s="154" t="n">
        <v>200</v>
      </c>
    </row>
    <row r="86" ht="15.75" customHeight="1" thickBot="1">
      <c r="B86" s="470" t="inlineStr">
        <is>
          <t>QUINTILY</t>
        </is>
      </c>
      <c r="C86" s="471" t="inlineStr">
        <is>
          <t>col.</t>
        </is>
      </c>
      <c r="D86" s="471" t="inlineStr">
        <is>
          <t>LASTRE  + AVV.</t>
        </is>
      </c>
      <c r="E86" s="472" t="inlineStr">
        <is>
          <t>COSTO/FG</t>
        </is>
      </c>
      <c r="I86" s="308">
        <f>++_xlfn.CONCAT($B$76, " ", C76, " ", $C$48)</f>
        <v/>
      </c>
      <c r="J86" s="199" t="n">
        <v>1000</v>
      </c>
      <c r="K86" s="937" t="n">
        <v>174.3</v>
      </c>
      <c r="L86" s="938" t="n">
        <v>0.03255</v>
      </c>
      <c r="M86" s="154" t="n">
        <v>200</v>
      </c>
    </row>
    <row r="87">
      <c r="B87" s="465" t="inlineStr">
        <is>
          <t>750x1050</t>
        </is>
      </c>
      <c r="C87" s="466" t="inlineStr">
        <is>
          <t>da 1 a 4 col. + vern.</t>
        </is>
      </c>
      <c r="D87" s="473" t="n">
        <v>200</v>
      </c>
      <c r="E87" s="474" t="n">
        <v>0.03</v>
      </c>
      <c r="I87" s="308">
        <f>++_xlfn.CONCAT($B$76, " ", C77, " ", $C$48)</f>
        <v/>
      </c>
      <c r="J87" s="199" t="n">
        <v>1000</v>
      </c>
      <c r="K87" s="939" t="n">
        <v>252</v>
      </c>
      <c r="L87" s="938" t="n">
        <v>0.03255</v>
      </c>
      <c r="M87" s="154" t="n">
        <v>200</v>
      </c>
    </row>
    <row r="88">
      <c r="B88" s="168" t="n"/>
      <c r="C88" s="463" t="inlineStr">
        <is>
          <t>5 col. + vern.</t>
        </is>
      </c>
      <c r="D88" s="464" t="n">
        <v>240</v>
      </c>
      <c r="E88" s="467" t="n">
        <v>0.04</v>
      </c>
      <c r="I88" s="308">
        <f>++_xlfn.CONCAT($B$76, " ", C78, " ", $C$48)</f>
        <v/>
      </c>
      <c r="J88" s="199" t="n">
        <v>1000</v>
      </c>
      <c r="K88" s="937" t="n">
        <v>342.3</v>
      </c>
      <c r="L88" s="938" t="n">
        <v>0.0336</v>
      </c>
      <c r="M88" s="154" t="n">
        <v>200</v>
      </c>
    </row>
    <row r="89" ht="15.75" customHeight="1" thickBot="1">
      <c r="B89" s="475" t="n"/>
      <c r="C89" s="476" t="inlineStr">
        <is>
          <t>6 col. + vern.</t>
        </is>
      </c>
      <c r="D89" s="477" t="n">
        <v>280</v>
      </c>
      <c r="E89" s="468" t="n">
        <v>0.05</v>
      </c>
      <c r="I89" s="308">
        <f>++_xlfn.CONCAT($B$76, " ", C79, " ", $C$48)</f>
        <v/>
      </c>
      <c r="J89" s="199" t="n">
        <v>1000</v>
      </c>
      <c r="K89" s="937" t="n">
        <v>432.6</v>
      </c>
      <c r="L89" s="938" t="n">
        <v>0.03465</v>
      </c>
      <c r="M89" s="154" t="n">
        <v>200</v>
      </c>
    </row>
    <row r="90">
      <c r="B90" s="716" t="inlineStr">
        <is>
          <t>Caucciù vernice (una tantum)</t>
        </is>
      </c>
      <c r="C90" s="776" t="n"/>
      <c r="D90" s="777" t="n"/>
      <c r="E90" s="469" t="n">
        <v>120</v>
      </c>
      <c r="I90" s="308">
        <f>++_xlfn.CONCAT($B$76, " ", C80, " ", $C$48)</f>
        <v/>
      </c>
      <c r="J90" s="199" t="n">
        <v>1000</v>
      </c>
      <c r="K90" s="937" t="n">
        <v>613.2</v>
      </c>
      <c r="L90" s="938" t="n">
        <v>0.0441</v>
      </c>
      <c r="M90" s="154" t="n">
        <v>200</v>
      </c>
    </row>
    <row r="91" ht="15.75" customHeight="1" thickBot="1">
      <c r="B91" s="720" t="inlineStr">
        <is>
          <t>Costo consegna</t>
        </is>
      </c>
      <c r="C91" s="918" t="n"/>
      <c r="D91" s="940" t="n"/>
      <c r="E91" s="468" t="n">
        <v>40</v>
      </c>
      <c r="I91" s="308">
        <f>++_xlfn.CONCAT($B$76, " ", C81, " ", $C$48)</f>
        <v/>
      </c>
      <c r="J91" s="199" t="n">
        <v>1000</v>
      </c>
      <c r="K91" s="937" t="n">
        <v>325.5</v>
      </c>
      <c r="L91" s="938" t="n">
        <v>0.0441</v>
      </c>
      <c r="M91" s="154" t="n">
        <v>200</v>
      </c>
    </row>
    <row r="92" ht="15.75" customHeight="1" thickBot="1">
      <c r="I92" s="308">
        <f>++_xlfn.CONCAT($B$76, " ", C82, " ", $C$48)</f>
        <v/>
      </c>
      <c r="J92" s="199" t="n">
        <v>1000</v>
      </c>
      <c r="K92" s="937" t="n">
        <v>415.8</v>
      </c>
      <c r="L92" s="938" t="n">
        <v>0.04515000000000001</v>
      </c>
      <c r="M92" s="154" t="n">
        <v>200</v>
      </c>
    </row>
    <row r="93" ht="15.75" customHeight="1" thickBot="1">
      <c r="B93" s="494" t="inlineStr">
        <is>
          <t>GRAFICA FBM</t>
        </is>
      </c>
      <c r="C93" s="495" t="inlineStr">
        <is>
          <t>Raffaello</t>
        </is>
      </c>
      <c r="D93" s="495" t="inlineStr">
        <is>
          <t>LASTRE + AVV.</t>
        </is>
      </c>
      <c r="E93" s="496" t="inlineStr">
        <is>
          <t>COSTO/FG</t>
        </is>
      </c>
      <c r="I93" s="308">
        <f>++_xlfn.CONCAT($B$76, " ", C83, " ", $C$48)</f>
        <v/>
      </c>
      <c r="J93" s="199" t="n">
        <v>1000</v>
      </c>
      <c r="K93" s="937" t="n">
        <v>506.1</v>
      </c>
      <c r="L93" s="938" t="n">
        <v>0.0462</v>
      </c>
      <c r="M93" s="154" t="n">
        <v>200</v>
      </c>
    </row>
    <row r="94">
      <c r="B94" s="497" t="inlineStr">
        <is>
          <t>Tutti i f.ti</t>
        </is>
      </c>
      <c r="C94" s="498" t="inlineStr">
        <is>
          <t>CMYK + 2P Raffaello + Vern.</t>
        </is>
      </c>
      <c r="D94" s="499" t="n">
        <v>988</v>
      </c>
      <c r="E94" s="469" t="n">
        <v>0.168</v>
      </c>
      <c r="I94" s="308">
        <f>++_xlfn.CONCAT($B$76, " ", C84, " ", $C$48)</f>
        <v/>
      </c>
      <c r="J94" s="199" t="n">
        <v>1000</v>
      </c>
      <c r="K94" s="937" t="n">
        <v>686.7</v>
      </c>
      <c r="L94" s="938" t="n">
        <v>0.05565000000000001</v>
      </c>
      <c r="M94" s="154" t="n">
        <v>200</v>
      </c>
    </row>
    <row r="95" ht="15.75" customHeight="1" thickBot="1">
      <c r="B95" s="718" t="inlineStr">
        <is>
          <t>Costo pantoni a consuntivo</t>
        </is>
      </c>
      <c r="C95" s="918" t="n"/>
      <c r="D95" s="940" t="n"/>
      <c r="E95" s="468" t="n"/>
      <c r="I95" s="312">
        <f>CONCATENATE(B87," ",C87," Quintily")</f>
        <v/>
      </c>
      <c r="J95" s="313" t="n">
        <v>1</v>
      </c>
      <c r="K95" s="313">
        <f>+D87</f>
        <v/>
      </c>
      <c r="L95" s="936">
        <f>+E87</f>
        <v/>
      </c>
      <c r="M95" s="154" t="n">
        <v>200</v>
      </c>
    </row>
    <row r="96">
      <c r="I96" s="312">
        <f>CONCATENATE(B87," ",C88," Quintily")</f>
        <v/>
      </c>
      <c r="J96" s="313" t="n">
        <v>1</v>
      </c>
      <c r="K96" s="313">
        <f>+D88</f>
        <v/>
      </c>
      <c r="L96" s="936">
        <f>+E88</f>
        <v/>
      </c>
      <c r="M96" s="154" t="n">
        <v>200</v>
      </c>
    </row>
    <row r="97">
      <c r="I97" s="312">
        <f>CONCATENATE(B87," ",C89," Quintily")</f>
        <v/>
      </c>
      <c r="J97" s="313" t="n">
        <v>1</v>
      </c>
      <c r="K97" s="313">
        <f>+D89</f>
        <v/>
      </c>
      <c r="L97" s="936">
        <f>+E89</f>
        <v/>
      </c>
      <c r="M97" s="154" t="n">
        <v>200</v>
      </c>
    </row>
    <row r="98">
      <c r="I98" s="312">
        <f>B94&amp;" "&amp;C94&amp;" FBM"</f>
        <v/>
      </c>
      <c r="J98" s="313" t="n">
        <v>500</v>
      </c>
      <c r="K98" s="313">
        <f>+D94</f>
        <v/>
      </c>
      <c r="L98" s="936">
        <f>+E94</f>
        <v/>
      </c>
      <c r="M98" s="154" t="n">
        <v>550</v>
      </c>
    </row>
    <row r="99">
      <c r="I99" s="500" t="inlineStr">
        <is>
          <t>700x1000 - Ferrero CMKY + Gold + Brown + Hub</t>
        </is>
      </c>
      <c r="J99" s="199" t="n">
        <v>1000</v>
      </c>
      <c r="K99" s="941">
        <f>(K53+K57)*1.1</f>
        <v/>
      </c>
      <c r="L99" s="933">
        <f>(L53+L57)*1.1</f>
        <v/>
      </c>
      <c r="M99" s="154" t="n">
        <v>500</v>
      </c>
    </row>
    <row r="100">
      <c r="I100" s="500" t="inlineStr">
        <is>
          <t>1000x1400 - Ferrero CMKY + Gold + Brown + Hub</t>
        </is>
      </c>
      <c r="J100" s="199" t="n">
        <v>1000</v>
      </c>
      <c r="K100" s="941">
        <f>(K59+K62)*1.1</f>
        <v/>
      </c>
      <c r="L100" s="942">
        <f>(L59+L62)*1.1</f>
        <v/>
      </c>
      <c r="M100" s="154" t="n">
        <v>500</v>
      </c>
    </row>
    <row r="101">
      <c r="I101" s="500" t="inlineStr">
        <is>
          <t>1200x1600 - Ferrero CMKY + Gold + Brown + Hub</t>
        </is>
      </c>
      <c r="J101" s="199" t="n">
        <v>1000</v>
      </c>
      <c r="K101" s="941">
        <f>(K63+K67)*1.1</f>
        <v/>
      </c>
      <c r="L101" s="933">
        <f>(L63+L67)*1.1</f>
        <v/>
      </c>
      <c r="M101" s="154" t="n">
        <v>500</v>
      </c>
    </row>
    <row r="102">
      <c r="I102" s="502" t="inlineStr">
        <is>
          <t>Stampa digitale al mq</t>
        </is>
      </c>
      <c r="J102" s="313" t="n">
        <v>1</v>
      </c>
      <c r="K102" s="313" t="n">
        <v>50</v>
      </c>
      <c r="L102" s="936" t="n">
        <v>3.5</v>
      </c>
      <c r="M102" s="154" t="n">
        <v>1</v>
      </c>
    </row>
  </sheetData>
  <mergeCells count="7">
    <mergeCell ref="B90:D90"/>
    <mergeCell ref="B9:E9"/>
    <mergeCell ref="B37:D37"/>
    <mergeCell ref="B17:D17"/>
    <mergeCell ref="B27:D27"/>
    <mergeCell ref="B91:D91"/>
    <mergeCell ref="B95:D95"/>
  </mergeCells>
  <pageMargins left="0.7" right="0.7" top="0.75" bottom="0.75" header="0.3" footer="0.3"/>
  <pageSetup orientation="portrait" paperSize="9"/>
  <drawing xmlns:r="http://schemas.openxmlformats.org/officeDocument/2006/relationships" r:id="rId1"/>
  <legacyDrawing xmlns:r="http://schemas.openxmlformats.org/officeDocument/2006/relationships" r:id="anysvml"/>
  <tableParts count="2">
    <tablePart xmlns:r="http://schemas.openxmlformats.org/officeDocument/2006/relationships" r:id="rId2"/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 codeName="Foglio1">
    <tabColor theme="0"/>
    <outlinePr summaryBelow="1" summaryRight="1"/>
    <pageSetUpPr fitToPage="1"/>
  </sheetPr>
  <dimension ref="A1:Z1027"/>
  <sheetViews>
    <sheetView workbookViewId="0">
      <selection activeCell="A1" sqref="A1"/>
    </sheetView>
  </sheetViews>
  <sheetFormatPr baseColWidth="8" defaultRowHeight="12.75"/>
  <cols>
    <col width="90.28515625" bestFit="1" customWidth="1" min="1" max="1"/>
    <col width="92.140625" bestFit="1" customWidth="1" min="2" max="2"/>
    <col width="10.7109375" bestFit="1" customWidth="1" min="3" max="3"/>
    <col width="25.85546875" bestFit="1" customWidth="1" min="4" max="4"/>
    <col width="67.140625" bestFit="1" customWidth="1" min="5" max="5"/>
    <col width="9.28515625" bestFit="1" customWidth="1" min="6" max="6"/>
    <col width="13.28515625" customWidth="1" min="8" max="8"/>
    <col width="11.85546875" bestFit="1" customWidth="1" min="9" max="9"/>
    <col width="15.85546875" customWidth="1" min="10" max="10"/>
    <col width="34.5703125" customWidth="1" min="11" max="11"/>
    <col width="28" customWidth="1" min="12" max="12"/>
    <col width="26.140625" bestFit="1" customWidth="1" min="14" max="14"/>
    <col width="30.42578125" bestFit="1" customWidth="1" min="15" max="16"/>
    <col width="35.5703125" bestFit="1" customWidth="1" min="17" max="17"/>
    <col width="14.42578125" bestFit="1" customWidth="1" min="23" max="23"/>
    <col width="41.140625" bestFit="1" customWidth="1" min="25" max="25"/>
    <col width="33.5703125" bestFit="1" customWidth="1" min="26" max="26"/>
  </cols>
  <sheetData>
    <row r="1" ht="15" customHeight="1">
      <c r="A1" s="484" t="inlineStr">
        <is>
          <t>Composizione</t>
        </is>
      </c>
      <c r="B1" s="484" t="inlineStr">
        <is>
          <t>composizione concatenata</t>
        </is>
      </c>
      <c r="C1" s="484" t="inlineStr">
        <is>
          <t>Euro/Mq</t>
        </is>
      </c>
      <c r="D1" s="484" t="inlineStr">
        <is>
          <t>Fornitore</t>
        </is>
      </c>
      <c r="E1" s="484" t="inlineStr">
        <is>
          <t>Composizione alternativa per digitale</t>
        </is>
      </c>
      <c r="F1" s="484" t="inlineStr">
        <is>
          <t>€/mq</t>
        </is>
      </c>
      <c r="G1" s="484" t="n"/>
      <c r="H1" s="484" t="n"/>
      <c r="I1" s="484" t="n"/>
      <c r="J1" s="441" t="inlineStr">
        <is>
          <t>ONDA</t>
        </is>
      </c>
      <c r="K1" s="435" t="inlineStr">
        <is>
          <t>ONDA</t>
        </is>
      </c>
      <c r="L1" s="435" t="inlineStr">
        <is>
          <t>Composizione</t>
        </is>
      </c>
      <c r="M1" s="435" t="inlineStr">
        <is>
          <t>Euro/Mq</t>
        </is>
      </c>
      <c r="N1" s="435" t="inlineStr">
        <is>
          <t>Fornitore</t>
        </is>
      </c>
      <c r="O1" s="435" t="inlineStr">
        <is>
          <t>composizione concatenata</t>
        </is>
      </c>
      <c r="Q1" s="724" t="inlineStr">
        <is>
          <t>costo trasporto mq aerpanel</t>
        </is>
      </c>
    </row>
    <row r="2" ht="15" customHeight="1">
      <c r="A2" s="484" t="inlineStr">
        <is>
          <t>Airplac®AERFLY (Laminil) WHITE 10MM 1200X2400MM - 10mm - COD. FW1100120240 - (100 pz/plt)</t>
        </is>
      </c>
      <c r="B2" s="484">
        <f>+_xlfn.CONCAT(Tabella118[[#This Row],[Composizione]], " - ", Tabella118[[#This Row],[Fornitore]])</f>
        <v/>
      </c>
      <c r="C2" s="943" t="n">
        <v>12.761</v>
      </c>
      <c r="D2" s="484" t="inlineStr">
        <is>
          <t>AerPanel</t>
        </is>
      </c>
      <c r="E2" s="484">
        <f>IFERROR(IF(H2="BC",Tabella118[[#This Row],[composizione concatenata]],IF(H2="C",Tabella118[[#This Row],[composizione concatenata]],VLOOKUP(I2,$K$2:$O$7,5,FALSE))),+Tabella118[[#This Row],[composizione concatenata]])</f>
        <v/>
      </c>
      <c r="F2" s="944">
        <f>+_xlfn.IFNA(VLOOKUP(Tabella118[[#This Row],[Composizione alternativa per digitale]],Tabella118[[composizione concatenata]:[Euro/Mq]],2,FALSE),VLOOKUP(H2,digitale[[ONDA]:[Fornitore]],3,FALSE))</f>
        <v/>
      </c>
      <c r="G2" s="484" t="n"/>
      <c r="H2" s="484">
        <f>IF(MID(A2, FIND("/", A2, FIND("/", A2) + 1) + 1, 2)="A","C",MID(A2, FIND("/", A2, FIND("/", A2) + 1) + 1, 2))</f>
        <v/>
      </c>
      <c r="I2" s="486">
        <f>TRIM(H2)</f>
        <v/>
      </c>
      <c r="K2" s="442">
        <f>+TRIM(MID(L2, FIND("/", L2, FIND("/", L2) + 1) + 1, 2))</f>
        <v/>
      </c>
      <c r="L2" s="436" t="inlineStr">
        <is>
          <t>BPMTB/643/B</t>
        </is>
      </c>
      <c r="M2" s="945" t="n">
        <v>0.389</v>
      </c>
      <c r="N2" s="436" t="inlineStr">
        <is>
          <t>Giusti</t>
        </is>
      </c>
      <c r="O2" s="436" t="inlineStr">
        <is>
          <t>BPMTB/643/B - Giusti</t>
        </is>
      </c>
      <c r="Q2" s="210" t="inlineStr">
        <is>
          <t>f.to 1</t>
        </is>
      </c>
      <c r="R2" s="210" t="inlineStr">
        <is>
          <t>f.to 2</t>
        </is>
      </c>
      <c r="S2" s="210" t="inlineStr">
        <is>
          <t>m²</t>
        </is>
      </c>
      <c r="T2" s="210" t="inlineStr">
        <is>
          <t>€/mq</t>
        </is>
      </c>
      <c r="U2" s="210" t="inlineStr">
        <is>
          <t>pz/plt</t>
        </is>
      </c>
      <c r="V2" s="210" t="inlineStr">
        <is>
          <t xml:space="preserve">mq/bancale </t>
        </is>
      </c>
      <c r="W2" s="210" t="inlineStr">
        <is>
          <t>€/bancale</t>
        </is>
      </c>
      <c r="X2" s="210" t="inlineStr">
        <is>
          <t>€/trasp/bancale</t>
        </is>
      </c>
      <c r="Y2" s="210" t="inlineStr">
        <is>
          <t>€/tot bancale comprensivo di trasporto</t>
        </is>
      </c>
      <c r="Z2" s="210" t="inlineStr">
        <is>
          <t>€/mq comprensivo di trasporto</t>
        </is>
      </c>
    </row>
    <row r="3" ht="15" customHeight="1">
      <c r="A3" s="484" t="inlineStr">
        <is>
          <t>Airplac®AERFLY (Laminil) WHITE 10MM 700X1000MM - 10mm - COD. FW110070 - (144 pz/plt)</t>
        </is>
      </c>
      <c r="B3" s="484">
        <f>+_xlfn.CONCAT(Tabella118[[#This Row],[Composizione]], " - ", Tabella118[[#This Row],[Fornitore]])</f>
        <v/>
      </c>
      <c r="C3" s="943" t="n">
        <v>14.603</v>
      </c>
      <c r="D3" s="484" t="inlineStr">
        <is>
          <t>AerPanel</t>
        </is>
      </c>
      <c r="E3" s="484">
        <f>IFERROR(IF(H3="BC",Tabella118[[#This Row],[composizione concatenata]],IF(H3="C",Tabella118[[#This Row],[composizione concatenata]],VLOOKUP(I3,$K$2:$O$7,5,FALSE))),+Tabella118[[#This Row],[composizione concatenata]])</f>
        <v/>
      </c>
      <c r="F3" s="944">
        <f>+_xlfn.IFNA(VLOOKUP(Tabella118[[#This Row],[Composizione alternativa per digitale]],Tabella118[[composizione concatenata]:[Euro/Mq]],2,FALSE),VLOOKUP(H3,digitale[[ONDA]:[Fornitore]],3,FALSE))</f>
        <v/>
      </c>
      <c r="G3" s="484" t="n"/>
      <c r="H3" s="484">
        <f>IF(MID(A3, FIND("/", A3, FIND("/", A3) + 1) + 1, 2)="A","C",MID(A3, FIND("/", A3, FIND("/", A3) + 1) + 1, 2))</f>
        <v/>
      </c>
      <c r="I3" s="486">
        <f>TRIM(H3)</f>
        <v/>
      </c>
      <c r="K3" s="442">
        <f>+TRIM(MID(L3, FIND("/", L3, FIND("/", L3) + 1) + 1, 2))</f>
        <v/>
      </c>
      <c r="L3" s="438" t="inlineStr">
        <is>
          <t>BPMFMTB/64243/EB</t>
        </is>
      </c>
      <c r="M3" s="946" t="n">
        <v>0.628</v>
      </c>
      <c r="N3" s="436" t="inlineStr">
        <is>
          <t>Santerno</t>
        </is>
      </c>
      <c r="O3" s="436" t="inlineStr">
        <is>
          <t>BPMFMTB/64243/EB - Santerno</t>
        </is>
      </c>
      <c r="Q3" s="211" t="n">
        <v>1220</v>
      </c>
      <c r="R3" s="211" t="n">
        <v>2440</v>
      </c>
      <c r="S3" s="211">
        <f>+(Q3/1000)*(R3/1000)</f>
        <v/>
      </c>
      <c r="T3" s="947">
        <f>+#REF!</f>
        <v/>
      </c>
      <c r="U3" s="211" t="n">
        <v>175</v>
      </c>
      <c r="V3" s="211">
        <f>+U3*S3</f>
        <v/>
      </c>
      <c r="W3" s="915">
        <f>+V3*T3</f>
        <v/>
      </c>
      <c r="X3" s="915" t="n">
        <v>150</v>
      </c>
      <c r="Y3" s="948">
        <f>+W3+X3</f>
        <v/>
      </c>
      <c r="Z3" s="949">
        <f>+_xlfn.CEILING.MATH(Y3/V3,0.001)</f>
        <v/>
      </c>
    </row>
    <row r="4" ht="15" customHeight="1">
      <c r="A4" s="484" t="inlineStr">
        <is>
          <t>Airplac®AERFLY (Laminil) WHITE 20MM 1200X2400MM - 20mm - COD. FW1200120240 - (50 pz/plt)</t>
        </is>
      </c>
      <c r="B4" s="484">
        <f>+_xlfn.CONCAT(Tabella118[[#This Row],[Composizione]], " - ", Tabella118[[#This Row],[Fornitore]])</f>
        <v/>
      </c>
      <c r="C4" s="943" t="n">
        <v>25.521</v>
      </c>
      <c r="D4" s="484" t="inlineStr">
        <is>
          <t>AerPanel</t>
        </is>
      </c>
      <c r="E4" s="484">
        <f>IFERROR(IF(H4="BC",Tabella118[[#This Row],[composizione concatenata]],IF(H4="C",Tabella118[[#This Row],[composizione concatenata]],VLOOKUP(I4,$K$2:$O$7,5,FALSE))),+Tabella118[[#This Row],[composizione concatenata]])</f>
        <v/>
      </c>
      <c r="F4" s="944">
        <f>+_xlfn.IFNA(VLOOKUP(Tabella118[[#This Row],[Composizione alternativa per digitale]],Tabella118[[composizione concatenata]:[Euro/Mq]],2,FALSE),VLOOKUP(H4,digitale[[ONDA]:[Fornitore]],3,FALSE))</f>
        <v/>
      </c>
      <c r="G4" s="484" t="n"/>
      <c r="H4" s="484">
        <f>IF(MID(A4, FIND("/", A4, FIND("/", A4) + 1) + 1, 2)="A","C",MID(A4, FIND("/", A4, FIND("/", A4) + 1) + 1, 2))</f>
        <v/>
      </c>
      <c r="I4" s="486">
        <f>TRIM(H4)</f>
        <v/>
      </c>
      <c r="K4" s="442">
        <f>+TRIM(MID(L4, FIND("/", L4, FIND("/", L4) + 1) + 1, 2))</f>
        <v/>
      </c>
      <c r="L4" s="438" t="inlineStr">
        <is>
          <t>BPMFMTB/64243/EE</t>
        </is>
      </c>
      <c r="M4" s="946" t="n">
        <v>0.624</v>
      </c>
      <c r="N4" s="436" t="inlineStr">
        <is>
          <t>Santerno</t>
        </is>
      </c>
      <c r="O4" s="436" t="inlineStr">
        <is>
          <t>BPMFMTB/64243/EE - Santerno</t>
        </is>
      </c>
      <c r="Q4" s="211" t="n">
        <v>1400</v>
      </c>
      <c r="R4" s="211" t="n">
        <v>3000</v>
      </c>
      <c r="S4" s="211">
        <f>+(Q4/1000)*(R4/1000)</f>
        <v/>
      </c>
      <c r="T4" s="947">
        <f>+#REF!</f>
        <v/>
      </c>
      <c r="U4" s="211" t="n">
        <v>192</v>
      </c>
      <c r="V4" s="211">
        <f>+U4*S4</f>
        <v/>
      </c>
      <c r="W4" s="915">
        <f>+V4*T4</f>
        <v/>
      </c>
      <c r="X4" s="915" t="n">
        <v>150</v>
      </c>
      <c r="Y4" s="948">
        <f>+W4+X4</f>
        <v/>
      </c>
      <c r="Z4" s="949">
        <f>+_xlfn.CEILING.MATH(Y4/V4,0.001)</f>
        <v/>
      </c>
    </row>
    <row r="5" ht="15" customHeight="1">
      <c r="A5" s="484" t="inlineStr">
        <is>
          <t>Airplac®AERFLY (Laminil) WHITE 20MM 700X1000MM - 20mm - COD. FW120070 - (72 pz/plt)</t>
        </is>
      </c>
      <c r="B5" s="484">
        <f>+_xlfn.CONCAT(Tabella118[[#This Row],[Composizione]], " - ", Tabella118[[#This Row],[Fornitore]])</f>
        <v/>
      </c>
      <c r="C5" s="943" t="n">
        <v>29.205</v>
      </c>
      <c r="D5" s="484" t="inlineStr">
        <is>
          <t>AerPanel</t>
        </is>
      </c>
      <c r="E5" s="484">
        <f>IFERROR(IF(H5="BC",Tabella118[[#This Row],[composizione concatenata]],IF(H5="C",Tabella118[[#This Row],[composizione concatenata]],VLOOKUP(I5,$K$2:$O$7,5,FALSE))),+Tabella118[[#This Row],[composizione concatenata]])</f>
        <v/>
      </c>
      <c r="F5" s="944">
        <f>+_xlfn.IFNA(VLOOKUP(Tabella118[[#This Row],[Composizione alternativa per digitale]],Tabella118[[composizione concatenata]:[Euro/Mq]],2,FALSE),VLOOKUP(H5,digitale[[ONDA]:[Fornitore]],3,FALSE))</f>
        <v/>
      </c>
      <c r="G5" s="484" t="n"/>
      <c r="H5" s="484">
        <f>IF(MID(A5, FIND("/", A5, FIND("/", A5) + 1) + 1, 2)="A","C",MID(A5, FIND("/", A5, FIND("/", A5) + 1) + 1, 2))</f>
        <v/>
      </c>
      <c r="I5" s="486">
        <f>TRIM(H5)</f>
        <v/>
      </c>
      <c r="K5" s="442">
        <f>+TRIM(MID(L5, FIND("/", L5, FIND("/", L5) + 1) + 1, 2))</f>
        <v/>
      </c>
      <c r="L5" s="438" t="inlineStr">
        <is>
          <t>BPFTB/623/E</t>
        </is>
      </c>
      <c r="M5" s="946" t="n">
        <v>0.448</v>
      </c>
      <c r="N5" s="436" t="inlineStr">
        <is>
          <t>Santerno</t>
        </is>
      </c>
      <c r="O5" s="436" t="inlineStr">
        <is>
          <t>BPFTB/623/E - Santerno</t>
        </is>
      </c>
      <c r="Q5" s="211" t="n">
        <v>1524</v>
      </c>
      <c r="R5" s="211" t="n">
        <v>3050</v>
      </c>
      <c r="S5" s="211">
        <f>+(Q5/1000)*(R5/1000)</f>
        <v/>
      </c>
      <c r="T5" s="947">
        <f>+#REF!</f>
        <v/>
      </c>
      <c r="U5" s="211" t="n">
        <v>195</v>
      </c>
      <c r="V5" s="211">
        <f>+U5*S5</f>
        <v/>
      </c>
      <c r="W5" s="915">
        <f>+V5*T5</f>
        <v/>
      </c>
      <c r="X5" s="915" t="n">
        <v>150</v>
      </c>
      <c r="Y5" s="948">
        <f>+W5+X5</f>
        <v/>
      </c>
      <c r="Z5" s="949">
        <f>+_xlfn.CEILING.MATH(Y5/V5,0.001)</f>
        <v/>
      </c>
    </row>
    <row r="6" ht="15" customHeight="1">
      <c r="A6" s="484" t="inlineStr">
        <is>
          <t>Airplac®CARTRIGE 5mm 1524x3050mm - 10mm - COD. CR10305 - (96 pz/plt)</t>
        </is>
      </c>
      <c r="B6" s="484">
        <f>+_xlfn.CONCAT(Tabella118[[#This Row],[Composizione]], " - ", Tabella118[[#This Row],[Fornitore]])</f>
        <v/>
      </c>
      <c r="C6" s="943" t="n">
        <v>9.079000000000001</v>
      </c>
      <c r="D6" s="484" t="inlineStr">
        <is>
          <t>AerPanel</t>
        </is>
      </c>
      <c r="E6" s="484">
        <f>IFERROR(IF(H6="BC",Tabella118[[#This Row],[composizione concatenata]],IF(H6="C",Tabella118[[#This Row],[composizione concatenata]],VLOOKUP(I6,$K$2:$O$7,5,FALSE))),+Tabella118[[#This Row],[composizione concatenata]])</f>
        <v/>
      </c>
      <c r="F6" s="944">
        <f>+_xlfn.IFNA(VLOOKUP(Tabella118[[#This Row],[Composizione alternativa per digitale]],Tabella118[[composizione concatenata]:[Euro/Mq]],2,FALSE),VLOOKUP(H6,digitale[[ONDA]:[Fornitore]],3,FALSE))</f>
        <v/>
      </c>
      <c r="G6" s="484" t="n"/>
      <c r="H6" s="484">
        <f>IF(MID(A6, FIND("/", A6, FIND("/", A6) + 1) + 1, 2)="A","C",MID(A6, FIND("/", A6, FIND("/", A6) + 1) + 1, 2))</f>
        <v/>
      </c>
      <c r="I6" s="486">
        <f>TRIM(H6)</f>
        <v/>
      </c>
      <c r="K6" s="440" t="inlineStr">
        <is>
          <t>F</t>
        </is>
      </c>
      <c r="L6" s="440">
        <f>+L5</f>
        <v/>
      </c>
      <c r="M6" s="211" t="n">
        <v>0.448</v>
      </c>
      <c r="N6" s="436" t="inlineStr">
        <is>
          <t>Santerno</t>
        </is>
      </c>
      <c r="O6" s="436" t="inlineStr">
        <is>
          <t>BPFTB/623/E - Santerno</t>
        </is>
      </c>
      <c r="Q6" s="211" t="n">
        <v>1524</v>
      </c>
      <c r="R6" s="211" t="n">
        <v>3050</v>
      </c>
      <c r="S6" s="211">
        <f>+(Q6/1000)*(R6/1000)</f>
        <v/>
      </c>
      <c r="T6" s="947">
        <f>+#REF!</f>
        <v/>
      </c>
      <c r="U6" s="211" t="n">
        <v>200</v>
      </c>
      <c r="V6" s="211">
        <f>+U6*S6</f>
        <v/>
      </c>
      <c r="W6" s="915">
        <f>+V6*T6</f>
        <v/>
      </c>
      <c r="X6" s="915" t="n">
        <v>150</v>
      </c>
      <c r="Y6" s="948">
        <f>+W6+X6</f>
        <v/>
      </c>
      <c r="Z6" s="949">
        <f>+_xlfn.CEILING.MATH(Y6/V6,0.001)</f>
        <v/>
      </c>
    </row>
    <row r="7" ht="15" customHeight="1">
      <c r="A7" s="484" t="inlineStr">
        <is>
          <t>Airplac®CARTRIGE 5mm 1524x3050mm - 5mm - COD. CR5305 - (192 pz/plt)</t>
        </is>
      </c>
      <c r="B7" s="484">
        <f>+_xlfn.CONCAT(Tabella118[[#This Row],[Composizione]], " - ", Tabella118[[#This Row],[Fornitore]])</f>
        <v/>
      </c>
      <c r="C7" s="943" t="n">
        <v>5.876</v>
      </c>
      <c r="D7" s="484" t="inlineStr">
        <is>
          <t>AerPanel</t>
        </is>
      </c>
      <c r="E7" s="484">
        <f>IFERROR(IF(H7="BC",Tabella118[[#This Row],[composizione concatenata]],IF(H7="C",Tabella118[[#This Row],[composizione concatenata]],VLOOKUP(I7,$K$2:$O$7,5,FALSE))),+Tabella118[[#This Row],[composizione concatenata]])</f>
        <v/>
      </c>
      <c r="F7" s="944">
        <f>+_xlfn.IFNA(VLOOKUP(Tabella118[[#This Row],[Composizione alternativa per digitale]],Tabella118[[composizione concatenata]:[Euro/Mq]],2,FALSE),VLOOKUP(H7,digitale[[ONDA]:[Fornitore]],3,FALSE))</f>
        <v/>
      </c>
      <c r="G7" s="484" t="n"/>
      <c r="H7" s="484">
        <f>IF(MID(A7, FIND("/", A7, FIND("/", A7) + 1) + 1, 2)="A","C",MID(A7, FIND("/", A7, FIND("/", A7) + 1) + 1, 2))</f>
        <v/>
      </c>
      <c r="I7" s="486">
        <f>TRIM(H7)</f>
        <v/>
      </c>
      <c r="K7" s="440" t="inlineStr">
        <is>
          <t>EF</t>
        </is>
      </c>
      <c r="L7" s="440">
        <f>+L4</f>
        <v/>
      </c>
      <c r="M7" s="947">
        <f>+M3</f>
        <v/>
      </c>
      <c r="N7" s="436" t="inlineStr">
        <is>
          <t>Santerno</t>
        </is>
      </c>
      <c r="O7" s="436" t="inlineStr">
        <is>
          <t>BPMFMTB/64243/EB - Santerno</t>
        </is>
      </c>
      <c r="Q7" s="211" t="n">
        <v>1220</v>
      </c>
      <c r="R7" s="211" t="n">
        <v>2440</v>
      </c>
      <c r="S7" s="211">
        <f>+(Q7/1000)*(R7/1000)</f>
        <v/>
      </c>
      <c r="T7" s="947">
        <f>+#REF!</f>
        <v/>
      </c>
      <c r="U7" s="211" t="n">
        <v>84</v>
      </c>
      <c r="V7" s="211">
        <f>+U7*S7</f>
        <v/>
      </c>
      <c r="W7" s="915">
        <f>+V7*T7</f>
        <v/>
      </c>
      <c r="X7" s="915" t="n">
        <v>150</v>
      </c>
      <c r="Y7" s="948">
        <f>+W7+X7</f>
        <v/>
      </c>
      <c r="Z7" s="949">
        <f>+_xlfn.CEILING.MATH(Y7/V7,0.001)</f>
        <v/>
      </c>
    </row>
    <row r="8" ht="15" customHeight="1">
      <c r="A8" s="484" t="inlineStr">
        <is>
          <t>Airplac®CARTRIGE 5mm 1524x3050mm - BULK - 10mm - COD. CR10305V - (100 pz/plt)</t>
        </is>
      </c>
      <c r="B8" s="484">
        <f>+_xlfn.CONCAT(Tabella118[[#This Row],[Composizione]], " - ", Tabella118[[#This Row],[Fornitore]])</f>
        <v/>
      </c>
      <c r="C8" s="943" t="n">
        <v>7.824</v>
      </c>
      <c r="D8" s="484" t="inlineStr">
        <is>
          <t>AerPanel</t>
        </is>
      </c>
      <c r="E8" s="484">
        <f>IFERROR(IF(H8="BC",Tabella118[[#This Row],[composizione concatenata]],IF(H8="C",Tabella118[[#This Row],[composizione concatenata]],VLOOKUP(I8,$K$2:$O$7,5,FALSE))),+Tabella118[[#This Row],[composizione concatenata]])</f>
        <v/>
      </c>
      <c r="F8" s="944">
        <f>+_xlfn.IFNA(VLOOKUP(Tabella118[[#This Row],[Composizione alternativa per digitale]],Tabella118[[composizione concatenata]:[Euro/Mq]],2,FALSE),VLOOKUP(H8,digitale[[ONDA]:[Fornitore]],3,FALSE))</f>
        <v/>
      </c>
      <c r="G8" s="484" t="n"/>
      <c r="H8" s="484">
        <f>IF(MID(A8, FIND("/", A8, FIND("/", A8) + 1) + 1, 2)="A","C",MID(A8, FIND("/", A8, FIND("/", A8) + 1) + 1, 2))</f>
        <v/>
      </c>
      <c r="I8" s="486">
        <f>TRIM(H8)</f>
        <v/>
      </c>
      <c r="Q8" s="211" t="n">
        <v>1400</v>
      </c>
      <c r="R8" s="211" t="n">
        <v>3000</v>
      </c>
      <c r="S8" s="211">
        <f>+(Q8/1000)*(R8/1000)</f>
        <v/>
      </c>
      <c r="T8" s="947">
        <f>+#REF!</f>
        <v/>
      </c>
      <c r="U8" s="211" t="n">
        <v>96</v>
      </c>
      <c r="V8" s="211">
        <f>+U8*S8</f>
        <v/>
      </c>
      <c r="W8" s="915">
        <f>+V8*T8</f>
        <v/>
      </c>
      <c r="X8" s="915" t="n">
        <v>150</v>
      </c>
      <c r="Y8" s="948">
        <f>+W8+X8</f>
        <v/>
      </c>
      <c r="Z8" s="949">
        <f>+_xlfn.CEILING.MATH(Y8/V8,0.001)</f>
        <v/>
      </c>
    </row>
    <row r="9" ht="15" customHeight="1">
      <c r="A9" s="484" t="inlineStr">
        <is>
          <t>Airplac®CARTRIGE 5mm 1524x3050mm - BULK - 5mm - COD. CR5305V - (200 pz/plt)</t>
        </is>
      </c>
      <c r="B9" s="484">
        <f>+_xlfn.CONCAT(Tabella118[[#This Row],[Composizione]], " - ", Tabella118[[#This Row],[Fornitore]])</f>
        <v/>
      </c>
      <c r="C9" s="943" t="n">
        <v>5.162</v>
      </c>
      <c r="D9" s="484" t="inlineStr">
        <is>
          <t>AerPanel</t>
        </is>
      </c>
      <c r="E9" s="484">
        <f>IFERROR(IF(H9="BC",Tabella118[[#This Row],[composizione concatenata]],IF(H9="C",Tabella118[[#This Row],[composizione concatenata]],VLOOKUP(I9,$K$2:$O$7,5,FALSE))),+Tabella118[[#This Row],[composizione concatenata]])</f>
        <v/>
      </c>
      <c r="F9" s="944">
        <f>+_xlfn.IFNA(VLOOKUP(Tabella118[[#This Row],[Composizione alternativa per digitale]],Tabella118[[composizione concatenata]:[Euro/Mq]],2,FALSE),VLOOKUP(H9,digitale[[ONDA]:[Fornitore]],3,FALSE))</f>
        <v/>
      </c>
      <c r="G9" s="484" t="n"/>
      <c r="H9" s="484">
        <f>IF(MID(A9, FIND("/", A9, FIND("/", A9) + 1) + 1, 2)="A","C",MID(A9, FIND("/", A9, FIND("/", A9) + 1) + 1, 2))</f>
        <v/>
      </c>
      <c r="I9" s="486">
        <f>TRIM(H9)</f>
        <v/>
      </c>
      <c r="Q9" s="211" t="n">
        <v>1524</v>
      </c>
      <c r="R9" s="211" t="n">
        <v>3050</v>
      </c>
      <c r="S9" s="211">
        <f>+(Q9/1000)*(R9/1000)</f>
        <v/>
      </c>
      <c r="T9" s="947">
        <f>+#REF!</f>
        <v/>
      </c>
      <c r="U9" s="211" t="n">
        <v>96</v>
      </c>
      <c r="V9" s="211">
        <f>+U9*S9</f>
        <v/>
      </c>
      <c r="W9" s="915">
        <f>+V9*T9</f>
        <v/>
      </c>
      <c r="X9" s="915" t="n">
        <v>150</v>
      </c>
      <c r="Y9" s="948">
        <f>+W9+X9</f>
        <v/>
      </c>
      <c r="Z9" s="949">
        <f>+_xlfn.CEILING.MATH(Y9/V9,0.001)</f>
        <v/>
      </c>
    </row>
    <row r="10" ht="15" customHeight="1">
      <c r="A10" s="484" t="inlineStr">
        <is>
          <t>Airplac®PLASTIMO 10mm 1524x3050mm - 10mm - COD. PL10305 - (96 pz/plt)</t>
        </is>
      </c>
      <c r="B10" s="484">
        <f>+_xlfn.CONCAT(Tabella118[[#This Row],[Composizione]], " - ", Tabella118[[#This Row],[Fornitore]])</f>
        <v/>
      </c>
      <c r="C10" s="943" t="n">
        <v>12.182</v>
      </c>
      <c r="D10" s="484" t="inlineStr">
        <is>
          <t>AerPanel</t>
        </is>
      </c>
      <c r="E10" s="484">
        <f>IFERROR(IF(H10="BC",Tabella118[[#This Row],[composizione concatenata]],IF(H10="C",Tabella118[[#This Row],[composizione concatenata]],VLOOKUP(I10,$K$2:$O$7,5,FALSE))),+Tabella118[[#This Row],[composizione concatenata]])</f>
        <v/>
      </c>
      <c r="F10" s="944">
        <f>+_xlfn.IFNA(VLOOKUP(Tabella118[[#This Row],[Composizione alternativa per digitale]],Tabella118[[composizione concatenata]:[Euro/Mq]],2,FALSE),VLOOKUP(H10,digitale[[ONDA]:[Fornitore]],3,FALSE))</f>
        <v/>
      </c>
      <c r="G10" s="484" t="n"/>
      <c r="H10" s="484">
        <f>IF(MID(A10, FIND("/", A10, FIND("/", A10) + 1) + 1, 2)="A","C",MID(A10, FIND("/", A10, FIND("/", A10) + 1) + 1, 2))</f>
        <v/>
      </c>
      <c r="I10" s="486">
        <f>TRIM(H10)</f>
        <v/>
      </c>
      <c r="Q10" s="211" t="n">
        <v>1524</v>
      </c>
      <c r="R10" s="211" t="n">
        <v>3050</v>
      </c>
      <c r="S10" s="211">
        <f>+(Q10/1000)*(R10/1000)</f>
        <v/>
      </c>
      <c r="T10" s="947">
        <f>+#REF!</f>
        <v/>
      </c>
      <c r="U10" s="211" t="n">
        <v>100</v>
      </c>
      <c r="V10" s="211">
        <f>+U10*S10</f>
        <v/>
      </c>
      <c r="W10" s="915">
        <f>+V10*T10</f>
        <v/>
      </c>
      <c r="X10" s="915" t="n">
        <v>150</v>
      </c>
      <c r="Y10" s="948">
        <f>+W10+X10</f>
        <v/>
      </c>
      <c r="Z10" s="949">
        <f>+_xlfn.CEILING.MATH(Y10/V10,0.001)</f>
        <v/>
      </c>
    </row>
    <row r="11" ht="15" customHeight="1">
      <c r="A11" s="484" t="inlineStr">
        <is>
          <t>Airplac®PLASTIMO 10mm 1524x3050mm - BULK - 10mm - COD. PL10305V - (100 pz/plt)</t>
        </is>
      </c>
      <c r="B11" s="484">
        <f>+_xlfn.CONCAT(Tabella118[[#This Row],[Composizione]], " - ", Tabella118[[#This Row],[Fornitore]])</f>
        <v/>
      </c>
      <c r="C11" s="943" t="n">
        <v>11.237</v>
      </c>
      <c r="D11" s="484" t="inlineStr">
        <is>
          <t>AerPanel</t>
        </is>
      </c>
      <c r="E11" s="484">
        <f>IFERROR(IF(H11="BC",Tabella118[[#This Row],[composizione concatenata]],IF(H11="C",Tabella118[[#This Row],[composizione concatenata]],VLOOKUP(I11,$K$2:$O$7,5,FALSE))),+Tabella118[[#This Row],[composizione concatenata]])</f>
        <v/>
      </c>
      <c r="F11" s="944">
        <f>+_xlfn.IFNA(VLOOKUP(Tabella118[[#This Row],[Composizione alternativa per digitale]],Tabella118[[composizione concatenata]:[Euro/Mq]],2,FALSE),VLOOKUP(H11,digitale[[ONDA]:[Fornitore]],3,FALSE))</f>
        <v/>
      </c>
      <c r="G11" s="484" t="n"/>
      <c r="H11" s="484">
        <f>IF(MID(A11, FIND("/", A11, FIND("/", A11) + 1) + 1, 2)="A","C",MID(A11, FIND("/", A11, FIND("/", A11) + 1) + 1, 2))</f>
        <v/>
      </c>
      <c r="I11" s="486">
        <f>TRIM(H11)</f>
        <v/>
      </c>
      <c r="Q11" s="211" t="n">
        <v>1524</v>
      </c>
      <c r="R11" s="211" t="n">
        <v>3050</v>
      </c>
      <c r="S11" s="211">
        <f>+(Q11/1000)*(R11/1000)</f>
        <v/>
      </c>
      <c r="T11" s="947">
        <f>+#REF!</f>
        <v/>
      </c>
      <c r="U11" s="211" t="n">
        <v>192</v>
      </c>
      <c r="V11" s="211">
        <f>+U11*S11</f>
        <v/>
      </c>
      <c r="W11" s="915">
        <f>+V11*T11</f>
        <v/>
      </c>
      <c r="X11" s="915" t="n">
        <v>150</v>
      </c>
      <c r="Y11" s="948">
        <f>+W11+X11</f>
        <v/>
      </c>
      <c r="Z11" s="949">
        <f>+_xlfn.CEILING.MATH(Y11/V11,0.001)</f>
        <v/>
      </c>
    </row>
    <row r="12" ht="15" customHeight="1">
      <c r="A12" s="484" t="inlineStr">
        <is>
          <t>Airplac®PLASTIMO 5mm 1524x3050mm - 5mm - COD. PL5305 - (192 pz/plt)</t>
        </is>
      </c>
      <c r="B12" s="484">
        <f>+_xlfn.CONCAT(Tabella118[[#This Row],[Composizione]], " - ", Tabella118[[#This Row],[Fornitore]])</f>
        <v/>
      </c>
      <c r="C12" s="943" t="n">
        <v>8.504</v>
      </c>
      <c r="D12" s="484" t="inlineStr">
        <is>
          <t>AerPanel</t>
        </is>
      </c>
      <c r="E12" s="484">
        <f>IFERROR(IF(H12="BC",Tabella118[[#This Row],[composizione concatenata]],IF(H12="C",Tabella118[[#This Row],[composizione concatenata]],VLOOKUP(I12,$K$2:$O$7,5,FALSE))),+Tabella118[[#This Row],[composizione concatenata]])</f>
        <v/>
      </c>
      <c r="F12" s="944">
        <f>+_xlfn.IFNA(VLOOKUP(Tabella118[[#This Row],[Composizione alternativa per digitale]],Tabella118[[composizione concatenata]:[Euro/Mq]],2,FALSE),VLOOKUP(H12,digitale[[ONDA]:[Fornitore]],3,FALSE))</f>
        <v/>
      </c>
      <c r="G12" s="484" t="n"/>
      <c r="H12" s="484">
        <f>IF(MID(A12, FIND("/", A12, FIND("/", A12) + 1) + 1, 2)="A","C",MID(A12, FIND("/", A12, FIND("/", A12) + 1) + 1, 2))</f>
        <v/>
      </c>
      <c r="I12" s="486">
        <f>TRIM(H12)</f>
        <v/>
      </c>
      <c r="Q12" s="211" t="n">
        <v>1524</v>
      </c>
      <c r="R12" s="211" t="n">
        <v>3050</v>
      </c>
      <c r="S12" s="211">
        <f>+(Q12/1000)*(R12/1000)</f>
        <v/>
      </c>
      <c r="T12" s="947">
        <f>+#REF!</f>
        <v/>
      </c>
      <c r="U12" s="211" t="n">
        <v>200</v>
      </c>
      <c r="V12" s="211">
        <f>+U12*S12</f>
        <v/>
      </c>
      <c r="W12" s="915">
        <f>+V12*T12</f>
        <v/>
      </c>
      <c r="X12" s="915" t="n">
        <v>150</v>
      </c>
      <c r="Y12" s="948">
        <f>+W12+X12</f>
        <v/>
      </c>
      <c r="Z12" s="949">
        <f>+_xlfn.CEILING.MATH(Y12/V12,0.001)</f>
        <v/>
      </c>
    </row>
    <row r="13" ht="15" customHeight="1">
      <c r="A13" s="484" t="inlineStr">
        <is>
          <t>Airplac®PLASTIMO 5mm 1524x3050mm - BULK - 5mm - COD. PL5305V - (200 pz/plt)</t>
        </is>
      </c>
      <c r="B13" s="484">
        <f>+_xlfn.CONCAT(Tabella118[[#This Row],[Composizione]], " - ", Tabella118[[#This Row],[Fornitore]])</f>
        <v/>
      </c>
      <c r="C13" s="943" t="n">
        <v>7.949</v>
      </c>
      <c r="D13" s="484" t="inlineStr">
        <is>
          <t>AerPanel</t>
        </is>
      </c>
      <c r="E13" s="484">
        <f>IFERROR(IF(H13="BC",Tabella118[[#This Row],[composizione concatenata]],IF(H13="C",Tabella118[[#This Row],[composizione concatenata]],VLOOKUP(I13,$K$2:$O$7,5,FALSE))),+Tabella118[[#This Row],[composizione concatenata]])</f>
        <v/>
      </c>
      <c r="F13" s="944">
        <f>+_xlfn.IFNA(VLOOKUP(Tabella118[[#This Row],[Composizione alternativa per digitale]],Tabella118[[composizione concatenata]:[Euro/Mq]],2,FALSE),VLOOKUP(H13,digitale[[ONDA]:[Fornitore]],3,FALSE))</f>
        <v/>
      </c>
      <c r="G13" s="484" t="n"/>
      <c r="H13" s="484">
        <f>IF(MID(A13, FIND("/", A13, FIND("/", A13) + 1) + 1, 2)="A","C",MID(A13, FIND("/", A13, FIND("/", A13) + 1) + 1, 2))</f>
        <v/>
      </c>
      <c r="I13" s="486">
        <f>TRIM(H13)</f>
        <v/>
      </c>
      <c r="Q13" s="211" t="n">
        <v>1524</v>
      </c>
      <c r="R13" s="211" t="n">
        <v>3050</v>
      </c>
      <c r="S13" s="211">
        <f>+(Q13/1000)*(R13/1000)</f>
        <v/>
      </c>
      <c r="T13" s="947">
        <f>+#REF!</f>
        <v/>
      </c>
      <c r="U13" s="211" t="n">
        <v>96</v>
      </c>
      <c r="V13" s="211">
        <f>+U13*S13</f>
        <v/>
      </c>
      <c r="W13" s="915">
        <f>+V13*T13</f>
        <v/>
      </c>
      <c r="X13" s="915" t="n">
        <v>150</v>
      </c>
      <c r="Y13" s="948">
        <f>+W13+X13</f>
        <v/>
      </c>
      <c r="Z13" s="949">
        <f>+_xlfn.CEILING.MATH(Y13/V13,0.001)</f>
        <v/>
      </c>
    </row>
    <row r="14" ht="15" customHeight="1">
      <c r="A14" s="484" t="inlineStr">
        <is>
          <t>Airplac®PREMIER 10mm 1220x2440mm - 10mm - COD. CPP10122 - (84 pz/plt)</t>
        </is>
      </c>
      <c r="B14" s="484">
        <f>+_xlfn.CONCAT(Tabella118[[#This Row],[Composizione]], " - ", Tabella118[[#This Row],[Fornitore]])</f>
        <v/>
      </c>
      <c r="C14" s="943" t="n">
        <v>8.184000000000001</v>
      </c>
      <c r="D14" s="484" t="inlineStr">
        <is>
          <t>AerPanel</t>
        </is>
      </c>
      <c r="E14" s="484">
        <f>IFERROR(IF(H14="BC",Tabella118[[#This Row],[composizione concatenata]],IF(H14="C",Tabella118[[#This Row],[composizione concatenata]],VLOOKUP(I14,$K$2:$O$7,5,FALSE))),+Tabella118[[#This Row],[composizione concatenata]])</f>
        <v/>
      </c>
      <c r="F14" s="944">
        <f>+_xlfn.IFNA(VLOOKUP(Tabella118[[#This Row],[Composizione alternativa per digitale]],Tabella118[[composizione concatenata]:[Euro/Mq]],2,FALSE),VLOOKUP(H14,digitale[[ONDA]:[Fornitore]],3,FALSE))</f>
        <v/>
      </c>
      <c r="G14" s="484" t="n"/>
      <c r="H14" s="484">
        <f>IF(MID(A14, FIND("/", A14, FIND("/", A14) + 1) + 1, 2)="A","C",MID(A14, FIND("/", A14, FIND("/", A14) + 1) + 1, 2))</f>
        <v/>
      </c>
      <c r="I14" s="486">
        <f>TRIM(H14)</f>
        <v/>
      </c>
      <c r="Q14" s="211" t="n">
        <v>1524</v>
      </c>
      <c r="R14" s="211" t="n">
        <v>3050</v>
      </c>
      <c r="S14" s="211">
        <f>+(Q14/1000)*(R14/1000)</f>
        <v/>
      </c>
      <c r="T14" s="947">
        <f>+#REF!</f>
        <v/>
      </c>
      <c r="U14" s="211" t="n">
        <v>100</v>
      </c>
      <c r="V14" s="211">
        <f>+U14*S14</f>
        <v/>
      </c>
      <c r="W14" s="915">
        <f>+V14*T14</f>
        <v/>
      </c>
      <c r="X14" s="915" t="n">
        <v>150</v>
      </c>
      <c r="Y14" s="948">
        <f>+W14+X14</f>
        <v/>
      </c>
      <c r="Z14" s="949">
        <f>+_xlfn.CEILING.MATH(Y14/V14,0.001)</f>
        <v/>
      </c>
    </row>
    <row r="15" ht="15" customHeight="1">
      <c r="A15" s="484" t="inlineStr">
        <is>
          <t>Airplac®PREMIER 10mm 1400x3000mm - 10mm - COD. CPP10300 - (96 pz/plt)</t>
        </is>
      </c>
      <c r="B15" s="484">
        <f>+_xlfn.CONCAT(Tabella118[[#This Row],[Composizione]], " - ", Tabella118[[#This Row],[Fornitore]])</f>
        <v/>
      </c>
      <c r="C15" s="943" t="n">
        <v>8.458</v>
      </c>
      <c r="D15" s="484" t="inlineStr">
        <is>
          <t>AerPanel</t>
        </is>
      </c>
      <c r="E15" s="484">
        <f>IFERROR(IF(H15="BC",Tabella118[[#This Row],[composizione concatenata]],IF(H15="C",Tabella118[[#This Row],[composizione concatenata]],VLOOKUP(I15,$K$2:$O$7,5,FALSE))),+Tabella118[[#This Row],[composizione concatenata]])</f>
        <v/>
      </c>
      <c r="F15" s="944">
        <f>+_xlfn.IFNA(VLOOKUP(Tabella118[[#This Row],[Composizione alternativa per digitale]],Tabella118[[composizione concatenata]:[Euro/Mq]],2,FALSE),VLOOKUP(H15,digitale[[ONDA]:[Fornitore]],3,FALSE))</f>
        <v/>
      </c>
      <c r="G15" s="484" t="n"/>
      <c r="H15" s="484">
        <f>IF(MID(A15, FIND("/", A15, FIND("/", A15) + 1) + 1, 2)="A","C",MID(A15, FIND("/", A15, FIND("/", A15) + 1) + 1, 2))</f>
        <v/>
      </c>
      <c r="I15" s="486">
        <f>TRIM(H15)</f>
        <v/>
      </c>
      <c r="Q15" s="211" t="n">
        <v>1524</v>
      </c>
      <c r="R15" s="211" t="n">
        <v>3050</v>
      </c>
      <c r="S15" s="211">
        <f>+(Q15/1000)*(R15/1000)</f>
        <v/>
      </c>
      <c r="T15" s="947">
        <f>+#REF!</f>
        <v/>
      </c>
      <c r="U15" s="211" t="n">
        <v>192</v>
      </c>
      <c r="V15" s="211">
        <f>+U15*S15</f>
        <v/>
      </c>
      <c r="W15" s="915">
        <f>+V15*T15</f>
        <v/>
      </c>
      <c r="X15" s="915" t="n">
        <v>150</v>
      </c>
      <c r="Y15" s="948">
        <f>+W15+X15</f>
        <v/>
      </c>
      <c r="Z15" s="949">
        <f>+_xlfn.CEILING.MATH(Y15/V15,0.001)</f>
        <v/>
      </c>
    </row>
    <row r="16" ht="15" customHeight="1">
      <c r="A16" s="484" t="inlineStr">
        <is>
          <t>Airplac®PREMIER 10mm 1524x3050mm - 10mm - COD. CPP10305 - (96 pz/plt)</t>
        </is>
      </c>
      <c r="B16" s="484">
        <f>+_xlfn.CONCAT(Tabella118[[#This Row],[Composizione]], " - ", Tabella118[[#This Row],[Fornitore]])</f>
        <v/>
      </c>
      <c r="C16" s="943" t="n">
        <v>8.210000000000001</v>
      </c>
      <c r="D16" s="484" t="inlineStr">
        <is>
          <t>AerPanel</t>
        </is>
      </c>
      <c r="E16" s="484">
        <f>IFERROR(IF(H16="BC",Tabella118[[#This Row],[composizione concatenata]],IF(H16="C",Tabella118[[#This Row],[composizione concatenata]],VLOOKUP(I16,$K$2:$O$7,5,FALSE))),+Tabella118[[#This Row],[composizione concatenata]])</f>
        <v/>
      </c>
      <c r="F16" s="944">
        <f>+_xlfn.IFNA(VLOOKUP(Tabella118[[#This Row],[Composizione alternativa per digitale]],Tabella118[[composizione concatenata]:[Euro/Mq]],2,FALSE),VLOOKUP(H16,digitale[[ONDA]:[Fornitore]],3,FALSE))</f>
        <v/>
      </c>
      <c r="G16" s="484" t="n"/>
      <c r="H16" s="484">
        <f>IF(MID(A16, FIND("/", A16, FIND("/", A16) + 1) + 1, 2)="A","C",MID(A16, FIND("/", A16, FIND("/", A16) + 1) + 1, 2))</f>
        <v/>
      </c>
      <c r="I16" s="486">
        <f>TRIM(H16)</f>
        <v/>
      </c>
      <c r="Q16" s="211" t="n">
        <v>1524</v>
      </c>
      <c r="R16" s="211" t="n">
        <v>3050</v>
      </c>
      <c r="S16" s="211">
        <f>+(Q16/1000)*(R16/1000)</f>
        <v/>
      </c>
      <c r="T16" s="947">
        <f>+#REF!</f>
        <v/>
      </c>
      <c r="U16" s="211" t="n">
        <v>200</v>
      </c>
      <c r="V16" s="211">
        <f>+U16*S16</f>
        <v/>
      </c>
      <c r="W16" s="915">
        <f>+V16*T16</f>
        <v/>
      </c>
      <c r="X16" s="915" t="n">
        <v>150</v>
      </c>
      <c r="Y16" s="948">
        <f>+W16+X16</f>
        <v/>
      </c>
      <c r="Z16" s="949">
        <f>+_xlfn.CEILING.MATH(Y16/V16,0.001)</f>
        <v/>
      </c>
    </row>
    <row r="17" ht="15" customHeight="1">
      <c r="A17" s="484" t="inlineStr">
        <is>
          <t>Airplac®PREMIER 10mm 1524x3050mm - BULK - 10mm - COD. CPP10305V - (100 pz/plt)</t>
        </is>
      </c>
      <c r="B17" s="484">
        <f>+_xlfn.CONCAT(Tabella118[[#This Row],[Composizione]], " - ", Tabella118[[#This Row],[Fornitore]])</f>
        <v/>
      </c>
      <c r="C17" s="943" t="n">
        <v>7.078</v>
      </c>
      <c r="D17" s="484" t="inlineStr">
        <is>
          <t>AerPanel</t>
        </is>
      </c>
      <c r="E17" s="484">
        <f>IFERROR(IF(H17="BC",Tabella118[[#This Row],[composizione concatenata]],IF(H17="C",Tabella118[[#This Row],[composizione concatenata]],VLOOKUP(I17,$K$2:$O$7,5,FALSE))),+Tabella118[[#This Row],[composizione concatenata]])</f>
        <v/>
      </c>
      <c r="F17" s="944">
        <f>+_xlfn.IFNA(VLOOKUP(Tabella118[[#This Row],[Composizione alternativa per digitale]],Tabella118[[composizione concatenata]:[Euro/Mq]],2,FALSE),VLOOKUP(H17,digitale[[ONDA]:[Fornitore]],3,FALSE))</f>
        <v/>
      </c>
      <c r="G17" s="484" t="n"/>
      <c r="H17" s="484">
        <f>IF(MID(A17, FIND("/", A17, FIND("/", A17) + 1) + 1, 2)="A","C",MID(A17, FIND("/", A17, FIND("/", A17) + 1) + 1, 2))</f>
        <v/>
      </c>
      <c r="I17" s="486">
        <f>TRIM(H17)</f>
        <v/>
      </c>
      <c r="Q17" s="211" t="n">
        <v>1524</v>
      </c>
      <c r="R17" s="211" t="n">
        <v>3050</v>
      </c>
      <c r="S17" s="211">
        <f>+(Q17/1000)*(R17/1000)</f>
        <v/>
      </c>
      <c r="T17" s="947">
        <f>+#REF!</f>
        <v/>
      </c>
      <c r="U17" s="211" t="n">
        <v>96</v>
      </c>
      <c r="V17" s="211">
        <f>+U17*S17</f>
        <v/>
      </c>
      <c r="W17" s="915">
        <f>+V17*T17</f>
        <v/>
      </c>
      <c r="X17" s="915" t="n">
        <v>150</v>
      </c>
      <c r="Y17" s="948">
        <f>+W17+X17</f>
        <v/>
      </c>
      <c r="Z17" s="949">
        <f>+_xlfn.CEILING.MATH(Y17/V17,0.001)</f>
        <v/>
      </c>
    </row>
    <row r="18" ht="15" customHeight="1">
      <c r="A18" s="484" t="inlineStr">
        <is>
          <t>Airplac®PREMIER 5mm 1220x2440mm - 5mm - COD. CPP5122 - (175 pz/plt)</t>
        </is>
      </c>
      <c r="B18" s="484">
        <f>+_xlfn.CONCAT(Tabella118[[#This Row],[Composizione]], " - ", Tabella118[[#This Row],[Fornitore]])</f>
        <v/>
      </c>
      <c r="C18" s="943" t="n">
        <v>4.597</v>
      </c>
      <c r="D18" s="484" t="inlineStr">
        <is>
          <t>AerPanel</t>
        </is>
      </c>
      <c r="E18" s="484">
        <f>IFERROR(IF(H18="BC",Tabella118[[#This Row],[composizione concatenata]],IF(H18="C",Tabella118[[#This Row],[composizione concatenata]],VLOOKUP(I18,$K$2:$O$7,5,FALSE))),+Tabella118[[#This Row],[composizione concatenata]])</f>
        <v/>
      </c>
      <c r="F18" s="944">
        <f>+_xlfn.IFNA(VLOOKUP(Tabella118[[#This Row],[Composizione alternativa per digitale]],Tabella118[[composizione concatenata]:[Euro/Mq]],2,FALSE),VLOOKUP(H18,digitale[[ONDA]:[Fornitore]],3,FALSE))</f>
        <v/>
      </c>
      <c r="G18" s="484" t="n"/>
      <c r="H18" s="484">
        <f>IF(MID(A18, FIND("/", A18, FIND("/", A18) + 1) + 1, 2)="A","C",MID(A18, FIND("/", A18, FIND("/", A18) + 1) + 1, 2))</f>
        <v/>
      </c>
      <c r="I18" s="486">
        <f>TRIM(H18)</f>
        <v/>
      </c>
      <c r="Q18" s="211" t="n">
        <v>1524</v>
      </c>
      <c r="R18" s="211" t="n">
        <v>3050</v>
      </c>
      <c r="S18" s="211">
        <f>+(Q18/1000)*(R18/1000)</f>
        <v/>
      </c>
      <c r="T18" s="947">
        <f>+#REF!</f>
        <v/>
      </c>
      <c r="U18" s="211" t="n">
        <v>100</v>
      </c>
      <c r="V18" s="211">
        <f>+U18*S18</f>
        <v/>
      </c>
      <c r="W18" s="915">
        <f>+V18*T18</f>
        <v/>
      </c>
      <c r="X18" s="915" t="n">
        <v>150</v>
      </c>
      <c r="Y18" s="948">
        <f>+W18+X18</f>
        <v/>
      </c>
      <c r="Z18" s="949">
        <f>+_xlfn.CEILING.MATH(Y18/V18,0.001)</f>
        <v/>
      </c>
    </row>
    <row r="19" ht="15" customHeight="1">
      <c r="A19" s="484" t="inlineStr">
        <is>
          <t>Airplac®PREMIER 5mm 1400x3000mm - 5mm - COD. CPP5300 - (192 pz/plt)</t>
        </is>
      </c>
      <c r="B19" s="484">
        <f>+_xlfn.CONCAT(Tabella118[[#This Row],[Composizione]], " - ", Tabella118[[#This Row],[Fornitore]])</f>
        <v/>
      </c>
      <c r="C19" s="943" t="n">
        <v>4.71</v>
      </c>
      <c r="D19" s="484" t="inlineStr">
        <is>
          <t>AerPanel</t>
        </is>
      </c>
      <c r="E19" s="484">
        <f>IFERROR(IF(H19="BC",Tabella118[[#This Row],[composizione concatenata]],IF(H19="C",Tabella118[[#This Row],[composizione concatenata]],VLOOKUP(I19,$K$2:$O$7,5,FALSE))),+Tabella118[[#This Row],[composizione concatenata]])</f>
        <v/>
      </c>
      <c r="F19" s="944">
        <f>+_xlfn.IFNA(VLOOKUP(Tabella118[[#This Row],[Composizione alternativa per digitale]],Tabella118[[composizione concatenata]:[Euro/Mq]],2,FALSE),VLOOKUP(H19,digitale[[ONDA]:[Fornitore]],3,FALSE))</f>
        <v/>
      </c>
      <c r="G19" s="484" t="n"/>
      <c r="H19" s="484">
        <f>IF(MID(A19, FIND("/", A19, FIND("/", A19) + 1) + 1, 2)="A","C",MID(A19, FIND("/", A19, FIND("/", A19) + 1) + 1, 2))</f>
        <v/>
      </c>
      <c r="I19" s="486">
        <f>TRIM(H19)</f>
        <v/>
      </c>
      <c r="Q19" s="211" t="n">
        <v>700</v>
      </c>
      <c r="R19" s="211" t="n">
        <v>1000</v>
      </c>
      <c r="S19" s="211">
        <f>+(Q19/1000)*(R19/1000)</f>
        <v/>
      </c>
      <c r="T19" s="947">
        <f>+#REF!</f>
        <v/>
      </c>
      <c r="U19" s="211" t="n">
        <v>144</v>
      </c>
      <c r="V19" s="211">
        <f>+U19*S19</f>
        <v/>
      </c>
      <c r="W19" s="915">
        <f>+V19*T19</f>
        <v/>
      </c>
      <c r="X19" s="915" t="n">
        <v>150</v>
      </c>
      <c r="Y19" s="948">
        <f>+W19+X19</f>
        <v/>
      </c>
      <c r="Z19" s="949">
        <f>+_xlfn.CEILING.MATH(Y19/V19,0.001)</f>
        <v/>
      </c>
    </row>
    <row r="20" ht="15" customHeight="1">
      <c r="A20" s="484" t="inlineStr">
        <is>
          <t>Airplac®PREMIER 5mm 1524x3050mm - 5mm - COD. CPP5305 - (192 pz/plt)</t>
        </is>
      </c>
      <c r="B20" s="484">
        <f>+_xlfn.CONCAT(Tabella118[[#This Row],[Composizione]], " - ", Tabella118[[#This Row],[Fornitore]])</f>
        <v/>
      </c>
      <c r="C20" s="943" t="n">
        <v>4.594</v>
      </c>
      <c r="D20" s="484" t="inlineStr">
        <is>
          <t>AerPanel</t>
        </is>
      </c>
      <c r="E20" s="484">
        <f>IFERROR(IF(H20="BC",Tabella118[[#This Row],[composizione concatenata]],IF(H20="C",Tabella118[[#This Row],[composizione concatenata]],VLOOKUP(I20,$K$2:$O$7,5,FALSE))),+Tabella118[[#This Row],[composizione concatenata]])</f>
        <v/>
      </c>
      <c r="F20" s="944">
        <f>+_xlfn.IFNA(VLOOKUP(Tabella118[[#This Row],[Composizione alternativa per digitale]],Tabella118[[composizione concatenata]:[Euro/Mq]],2,FALSE),VLOOKUP(H20,digitale[[ONDA]:[Fornitore]],3,FALSE))</f>
        <v/>
      </c>
      <c r="G20" s="484" t="n"/>
      <c r="H20" s="484">
        <f>IF(MID(A20, FIND("/", A20, FIND("/", A20) + 1) + 1, 2)="A","C",MID(A20, FIND("/", A20, FIND("/", A20) + 1) + 1, 2))</f>
        <v/>
      </c>
      <c r="I20" s="486">
        <f>TRIM(H20)</f>
        <v/>
      </c>
      <c r="Q20" s="211" t="n">
        <v>1200</v>
      </c>
      <c r="R20" s="211" t="n">
        <v>2400</v>
      </c>
      <c r="S20" s="211">
        <f>+(Q20/1000)*(R20/1000)</f>
        <v/>
      </c>
      <c r="T20" s="947">
        <f>+#REF!</f>
        <v/>
      </c>
      <c r="U20" s="211" t="n">
        <v>100</v>
      </c>
      <c r="V20" s="211">
        <f>+U20*S20</f>
        <v/>
      </c>
      <c r="W20" s="915">
        <f>+V20*T20</f>
        <v/>
      </c>
      <c r="X20" s="915" t="n">
        <v>150</v>
      </c>
      <c r="Y20" s="948">
        <f>+W20+X20</f>
        <v/>
      </c>
      <c r="Z20" s="949">
        <f>+_xlfn.CEILING.MATH(Y20/V20,0.001)</f>
        <v/>
      </c>
    </row>
    <row r="21" ht="15" customHeight="1">
      <c r="A21" s="484" t="inlineStr">
        <is>
          <t>Airplac®PREMIER 5mm 1524x3050mm - BULK - 5mm - COD. CPP5305V - (200 pz/plt)</t>
        </is>
      </c>
      <c r="B21" s="484">
        <f>+_xlfn.CONCAT(Tabella118[[#This Row],[Composizione]], " - ", Tabella118[[#This Row],[Fornitore]])</f>
        <v/>
      </c>
      <c r="C21" s="943" t="n">
        <v>4.041</v>
      </c>
      <c r="D21" s="484" t="inlineStr">
        <is>
          <t>AerPanel</t>
        </is>
      </c>
      <c r="E21" s="484">
        <f>IFERROR(IF(H21="BC",Tabella118[[#This Row],[composizione concatenata]],IF(H21="C",Tabella118[[#This Row],[composizione concatenata]],VLOOKUP(I21,$K$2:$O$7,5,FALSE))),+Tabella118[[#This Row],[composizione concatenata]])</f>
        <v/>
      </c>
      <c r="F21" s="944">
        <f>+_xlfn.IFNA(VLOOKUP(Tabella118[[#This Row],[Composizione alternativa per digitale]],Tabella118[[composizione concatenata]:[Euro/Mq]],2,FALSE),VLOOKUP(H21,digitale[[ONDA]:[Fornitore]],3,FALSE))</f>
        <v/>
      </c>
      <c r="G21" s="484" t="n"/>
      <c r="H21" s="484">
        <f>IF(MID(A21, FIND("/", A21, FIND("/", A21) + 1) + 1, 2)="A","C",MID(A21, FIND("/", A21, FIND("/", A21) + 1) + 1, 2))</f>
        <v/>
      </c>
      <c r="I21" s="486">
        <f>TRIM(H21)</f>
        <v/>
      </c>
      <c r="Q21" s="211" t="n">
        <v>700</v>
      </c>
      <c r="R21" s="211" t="n">
        <v>1000</v>
      </c>
      <c r="S21" s="211">
        <f>+(Q21/1000)*(R21/1000)</f>
        <v/>
      </c>
      <c r="T21" s="947">
        <f>+#REF!</f>
        <v/>
      </c>
      <c r="U21" s="211" t="n">
        <v>72</v>
      </c>
      <c r="V21" s="211">
        <f>+U21*S21</f>
        <v/>
      </c>
      <c r="W21" s="915">
        <f>+V21*T21</f>
        <v/>
      </c>
      <c r="X21" s="915" t="n">
        <v>150</v>
      </c>
      <c r="Y21" s="948">
        <f>+W21+X21</f>
        <v/>
      </c>
      <c r="Z21" s="949">
        <f>+_xlfn.CEILING.MATH(Y21/V21,0.001)</f>
        <v/>
      </c>
    </row>
    <row r="22" ht="15" customHeight="1">
      <c r="A22" s="484" t="inlineStr">
        <is>
          <t>BKSFST/24242/BC</t>
        </is>
      </c>
      <c r="B22" s="484">
        <f>+_xlfn.CONCAT(Tabella118[[#This Row],[Composizione]], " - ", Tabella118[[#This Row],[Fornitore]])</f>
        <v/>
      </c>
      <c r="C22" s="943" t="n">
        <v>0.381</v>
      </c>
      <c r="D22" s="484" t="inlineStr">
        <is>
          <t>Ms Packaging</t>
        </is>
      </c>
      <c r="E22" s="484">
        <f>IFERROR(IF(H22="BC",Tabella118[[#This Row],[composizione concatenata]],IF(H22="C",Tabella118[[#This Row],[composizione concatenata]],VLOOKUP(I22,$K$2:$O$7,5,FALSE))),+Tabella118[[#This Row],[composizione concatenata]])</f>
        <v/>
      </c>
      <c r="F22" s="943">
        <f>+_xlfn.IFNA(VLOOKUP(Tabella118[[#This Row],[Composizione alternativa per digitale]],Tabella118[[composizione concatenata]:[Euro/Mq]],2,FALSE),VLOOKUP(H22,digitale[[ONDA]:[Fornitore]],3,FALSE))</f>
        <v/>
      </c>
      <c r="G22" s="484" t="n"/>
      <c r="H22" s="484">
        <f>IF(MID(A22, FIND("/", A22, FIND("/", A22) + 1) + 1, 2)="A","C",MID(A22, FIND("/", A22, FIND("/", A22) + 1) + 1, 2))</f>
        <v/>
      </c>
      <c r="I22" s="486">
        <f>TRIM(H22)</f>
        <v/>
      </c>
      <c r="Q22" s="211" t="n">
        <v>1200</v>
      </c>
      <c r="R22" s="211" t="n">
        <v>2400</v>
      </c>
      <c r="S22" s="211">
        <f>+(Q22/1000)*(R22/1000)</f>
        <v/>
      </c>
      <c r="T22" s="947">
        <f>+#REF!</f>
        <v/>
      </c>
      <c r="U22" s="211" t="n">
        <v>50</v>
      </c>
      <c r="V22" s="211">
        <f>+U22*S22</f>
        <v/>
      </c>
      <c r="W22" s="915">
        <f>+V22*T22</f>
        <v/>
      </c>
      <c r="X22" s="915" t="n">
        <v>150</v>
      </c>
      <c r="Y22" s="948">
        <f>+W22+X22</f>
        <v/>
      </c>
      <c r="Z22" s="949">
        <f>+_xlfn.CEILING.MATH(Y22/V22,0.001)</f>
        <v/>
      </c>
    </row>
    <row r="23" ht="15" customHeight="1">
      <c r="A23" s="491" t="inlineStr">
        <is>
          <t>BpFT/622/E</t>
        </is>
      </c>
      <c r="B23" s="484">
        <f>+_xlfn.CONCAT(Tabella118[[#This Row],[Composizione]], " - ", Tabella118[[#This Row],[Fornitore]])</f>
        <v/>
      </c>
      <c r="C23" s="943" t="n">
        <v>0.409</v>
      </c>
      <c r="D23" s="484" t="inlineStr">
        <is>
          <t>Santerno</t>
        </is>
      </c>
      <c r="E23" s="484">
        <f>IFERROR(IF(H23="BC",Tabella118[[#This Row],[composizione concatenata]],IF(H23="C",Tabella118[[#This Row],[composizione concatenata]],VLOOKUP(I23,$K$2:$O$7,5,FALSE))),+Tabella118[[#This Row],[composizione concatenata]])</f>
        <v/>
      </c>
      <c r="F23" s="943">
        <f>+_xlfn.IFNA(VLOOKUP(Tabella118[[#This Row],[Composizione alternativa per digitale]],Tabella118[[composizione concatenata]:[Euro/Mq]],2,FALSE),VLOOKUP(H23,digitale[[ONDA]:[Fornitore]],3,FALSE))</f>
        <v/>
      </c>
      <c r="G23" s="484" t="n"/>
      <c r="H23" s="484">
        <f>IF(MID(A23, FIND("/", A23, FIND("/", A23) + 1) + 1, 2)="A","C",MID(A23, FIND("/", A23, FIND("/", A23) + 1) + 1, 2))</f>
        <v/>
      </c>
      <c r="I23" s="486">
        <f>TRIM(H23)</f>
        <v/>
      </c>
    </row>
    <row r="24" ht="15" customHeight="1">
      <c r="A24" s="491" t="inlineStr">
        <is>
          <t>BpFT/622/E + ACC.</t>
        </is>
      </c>
      <c r="B24" s="484">
        <f>+_xlfn.CONCAT(Tabella118[[#This Row],[Composizione]], " - ", Tabella118[[#This Row],[Fornitore]])</f>
        <v/>
      </c>
      <c r="C24" s="943" t="n">
        <v>0.469</v>
      </c>
      <c r="D24" s="484" t="inlineStr">
        <is>
          <t>Santerno</t>
        </is>
      </c>
      <c r="E24" s="484">
        <f>IFERROR(IF(H24="BC",Tabella118[[#This Row],[composizione concatenata]],IF(H24="C",Tabella118[[#This Row],[composizione concatenata]],VLOOKUP(I24,$K$2:$O$7,5,FALSE))),+Tabella118[[#This Row],[composizione concatenata]])</f>
        <v/>
      </c>
      <c r="F24" s="943">
        <f>+_xlfn.IFNA(VLOOKUP(Tabella118[[#This Row],[Composizione alternativa per digitale]],Tabella118[[composizione concatenata]:[Euro/Mq]],2,FALSE),VLOOKUP(H24,digitale[[ONDA]:[Fornitore]],3,FALSE))</f>
        <v/>
      </c>
      <c r="G24" s="484" t="n"/>
      <c r="H24" s="484">
        <f>IF(MID(A24, FIND("/", A24, FIND("/", A24) + 1) + 1, 2)="A","C",MID(A24, FIND("/", A24, FIND("/", A24) + 1) + 1, 2))</f>
        <v/>
      </c>
      <c r="I24" s="486">
        <f>TRIM(H24)</f>
        <v/>
      </c>
    </row>
    <row r="25" ht="15" customHeight="1">
      <c r="A25" s="491" t="inlineStr">
        <is>
          <t>BpFTb/623/E</t>
        </is>
      </c>
      <c r="B25" s="484">
        <f>+_xlfn.CONCAT(Tabella118[[#This Row],[Composizione]], " - ", Tabella118[[#This Row],[Fornitore]])</f>
        <v/>
      </c>
      <c r="C25" s="943" t="n">
        <v>0.448</v>
      </c>
      <c r="D25" s="484" t="inlineStr">
        <is>
          <t>Santerno</t>
        </is>
      </c>
      <c r="E25" s="484">
        <f>IFERROR(IF(H25="BC",Tabella118[[#This Row],[composizione concatenata]],IF(H25="C",Tabella118[[#This Row],[composizione concatenata]],VLOOKUP(I25,$K$2:$O$7,5,FALSE))),+Tabella118[[#This Row],[composizione concatenata]])</f>
        <v/>
      </c>
      <c r="F25" s="943">
        <f>+_xlfn.IFNA(VLOOKUP(Tabella118[[#This Row],[Composizione alternativa per digitale]],Tabella118[[composizione concatenata]:[Euro/Mq]],2,FALSE),VLOOKUP(H25,digitale[[ONDA]:[Fornitore]],3,FALSE))</f>
        <v/>
      </c>
      <c r="G25" s="484" t="n"/>
      <c r="H25" s="484">
        <f>IF(MID(A25, FIND("/", A25, FIND("/", A25) + 1) + 1, 2)="A","C",MID(A25, FIND("/", A25, FIND("/", A25) + 1) + 1, 2))</f>
        <v/>
      </c>
      <c r="I25" s="486">
        <f>TRIM(H25)</f>
        <v/>
      </c>
    </row>
    <row r="26" ht="15" customHeight="1">
      <c r="A26" s="491" t="inlineStr">
        <is>
          <t>BpFTb/623/E + ACC.</t>
        </is>
      </c>
      <c r="B26" s="484">
        <f>+_xlfn.CONCAT(Tabella118[[#This Row],[Composizione]], " - ", Tabella118[[#This Row],[Fornitore]])</f>
        <v/>
      </c>
      <c r="C26" s="943" t="n">
        <v>0.508</v>
      </c>
      <c r="D26" s="484" t="inlineStr">
        <is>
          <t>Santerno</t>
        </is>
      </c>
      <c r="E26" s="484">
        <f>IFERROR(IF(H26="BC",Tabella118[[#This Row],[composizione concatenata]],IF(H26="C",Tabella118[[#This Row],[composizione concatenata]],VLOOKUP(I26,$K$2:$O$7,5,FALSE))),+Tabella118[[#This Row],[composizione concatenata]])</f>
        <v/>
      </c>
      <c r="F26" s="943">
        <f>+_xlfn.IFNA(VLOOKUP(Tabella118[[#This Row],[Composizione alternativa per digitale]],Tabella118[[composizione concatenata]:[Euro/Mq]],2,FALSE),VLOOKUP(H26,digitale[[ONDA]:[Fornitore]],3,FALSE))</f>
        <v/>
      </c>
      <c r="G26" s="484" t="n"/>
      <c r="H26" s="484">
        <f>IF(MID(A26, FIND("/", A26, FIND("/", A26) + 1) + 1, 2)="A","C",MID(A26, FIND("/", A26, FIND("/", A26) + 1) + 1, 2))</f>
        <v/>
      </c>
      <c r="I26" s="486">
        <f>TRIM(H26)</f>
        <v/>
      </c>
    </row>
    <row r="27" ht="15" customHeight="1">
      <c r="A27" s="491" t="inlineStr">
        <is>
          <t>BpMFMTb/64243/EB</t>
        </is>
      </c>
      <c r="B27" s="484">
        <f>+_xlfn.CONCAT(Tabella118[[#This Row],[Composizione]], " - ", Tabella118[[#This Row],[Fornitore]])</f>
        <v/>
      </c>
      <c r="C27" s="943" t="n">
        <v>0.628</v>
      </c>
      <c r="D27" s="484" t="inlineStr">
        <is>
          <t>Santerno</t>
        </is>
      </c>
      <c r="E27" s="484">
        <f>IFERROR(IF(H27="BC",Tabella118[[#This Row],[composizione concatenata]],IF(H27="C",Tabella118[[#This Row],[composizione concatenata]],VLOOKUP(I27,$K$2:$O$7,5,FALSE))),+Tabella118[[#This Row],[composizione concatenata]])</f>
        <v/>
      </c>
      <c r="F27" s="943">
        <f>+_xlfn.IFNA(VLOOKUP(Tabella118[[#This Row],[Composizione alternativa per digitale]],Tabella118[[composizione concatenata]:[Euro/Mq]],2,FALSE),VLOOKUP(H27,digitale[[ONDA]:[Fornitore]],3,FALSE))</f>
        <v/>
      </c>
      <c r="G27" s="484" t="n"/>
      <c r="H27" s="484">
        <f>IF(MID(A27, FIND("/", A27, FIND("/", A27) + 1) + 1, 2)="A","C",MID(A27, FIND("/", A27, FIND("/", A27) + 1) + 1, 2))</f>
        <v/>
      </c>
      <c r="I27" s="486">
        <f>TRIM(H27)</f>
        <v/>
      </c>
    </row>
    <row r="28" ht="15" customHeight="1">
      <c r="A28" s="484" t="inlineStr">
        <is>
          <t>BpMFMTb/64243/EB</t>
        </is>
      </c>
      <c r="B28" s="484">
        <f>+_xlfn.CONCAT(Tabella118[[#This Row],[Composizione]], " - ", Tabella118[[#This Row],[Fornitore]])</f>
        <v/>
      </c>
      <c r="C28" s="943" t="n">
        <v>0.544</v>
      </c>
      <c r="D28" s="484" t="inlineStr">
        <is>
          <t>Giusti</t>
        </is>
      </c>
      <c r="E28" s="484">
        <f>IFERROR(IF(H28="BC",Tabella118[[#This Row],[composizione concatenata]],IF(H28="C",Tabella118[[#This Row],[composizione concatenata]],VLOOKUP(I28,$K$2:$O$7,5,FALSE))),+Tabella118[[#This Row],[composizione concatenata]])</f>
        <v/>
      </c>
      <c r="F28" s="944">
        <f>+_xlfn.IFNA(VLOOKUP(Tabella118[[#This Row],[Composizione alternativa per digitale]],Tabella118[[composizione concatenata]:[Euro/Mq]],2,FALSE),VLOOKUP(H28,digitale[[ONDA]:[Fornitore]],3,FALSE))</f>
        <v/>
      </c>
      <c r="G28" s="484" t="n"/>
      <c r="H28" s="484">
        <f>IF(MID(A28, FIND("/", A28, FIND("/", A28) + 1) + 1, 2)="A","C",MID(A28, FIND("/", A28, FIND("/", A28) + 1) + 1, 2))</f>
        <v/>
      </c>
      <c r="I28" s="486">
        <f>TRIM(H28)</f>
        <v/>
      </c>
    </row>
    <row r="29" ht="15" customHeight="1">
      <c r="A29" s="491" t="inlineStr">
        <is>
          <t>BpMFMTb/64243/EB + ACC.</t>
        </is>
      </c>
      <c r="B29" s="484">
        <f>+_xlfn.CONCAT(Tabella118[[#This Row],[Composizione]], " - ", Tabella118[[#This Row],[Fornitore]])</f>
        <v/>
      </c>
      <c r="C29" s="943" t="n">
        <v>0.698</v>
      </c>
      <c r="D29" s="484" t="inlineStr">
        <is>
          <t>Santerno</t>
        </is>
      </c>
      <c r="E29" s="484">
        <f>IFERROR(IF(H29="BC",Tabella118[[#This Row],[composizione concatenata]],IF(H29="C",Tabella118[[#This Row],[composizione concatenata]],VLOOKUP(I29,$K$2:$O$7,5,FALSE))),+Tabella118[[#This Row],[composizione concatenata]])</f>
        <v/>
      </c>
      <c r="F29" s="943">
        <f>+_xlfn.IFNA(VLOOKUP(Tabella118[[#This Row],[Composizione alternativa per digitale]],Tabella118[[composizione concatenata]:[Euro/Mq]],2,FALSE),VLOOKUP(H29,digitale[[ONDA]:[Fornitore]],3,FALSE))</f>
        <v/>
      </c>
      <c r="G29" s="484" t="n"/>
      <c r="H29" s="484">
        <f>IF(MID(A29, FIND("/", A29, FIND("/", A29) + 1) + 1, 2)="A","C",MID(A29, FIND("/", A29, FIND("/", A29) + 1) + 1, 2))</f>
        <v/>
      </c>
      <c r="I29" s="486">
        <f>TRIM(H29)</f>
        <v/>
      </c>
    </row>
    <row r="30" ht="15" customHeight="1">
      <c r="A30" s="491" t="inlineStr">
        <is>
          <t>BpMFMTb/64243/EE</t>
        </is>
      </c>
      <c r="B30" s="484">
        <f>+_xlfn.CONCAT(Tabella118[[#This Row],[Composizione]], " - ", Tabella118[[#This Row],[Fornitore]])</f>
        <v/>
      </c>
      <c r="C30" s="943" t="n">
        <v>0.624</v>
      </c>
      <c r="D30" s="484" t="inlineStr">
        <is>
          <t>Santerno</t>
        </is>
      </c>
      <c r="E30" s="484">
        <f>IFERROR(IF(H30="BC",Tabella118[[#This Row],[composizione concatenata]],IF(H30="C",Tabella118[[#This Row],[composizione concatenata]],VLOOKUP(I30,$K$2:$O$7,5,FALSE))),+Tabella118[[#This Row],[composizione concatenata]])</f>
        <v/>
      </c>
      <c r="F30" s="943">
        <f>+_xlfn.IFNA(VLOOKUP(Tabella118[[#This Row],[Composizione alternativa per digitale]],Tabella118[[composizione concatenata]:[Euro/Mq]],2,FALSE),VLOOKUP(H30,digitale[[ONDA]:[Fornitore]],3,FALSE))</f>
        <v/>
      </c>
      <c r="G30" s="484" t="n"/>
      <c r="H30" s="484">
        <f>IF(MID(A30, FIND("/", A30, FIND("/", A30) + 1) + 1, 2)="A","C",MID(A30, FIND("/", A30, FIND("/", A30) + 1) + 1, 2))</f>
        <v/>
      </c>
      <c r="I30" s="486">
        <f>TRIM(H30)</f>
        <v/>
      </c>
    </row>
    <row r="31" ht="15" customHeight="1">
      <c r="A31" s="484" t="inlineStr">
        <is>
          <t>BpMFMTb/64243/EE</t>
        </is>
      </c>
      <c r="B31" s="484">
        <f>+_xlfn.CONCAT(Tabella118[[#This Row],[Composizione]], " - ", Tabella118[[#This Row],[Fornitore]])</f>
        <v/>
      </c>
      <c r="C31" s="943" t="n">
        <v>0.492</v>
      </c>
      <c r="D31" s="484" t="inlineStr">
        <is>
          <t>Giusti</t>
        </is>
      </c>
      <c r="E31" s="484">
        <f>IFERROR(IF(H31="BC",Tabella118[[#This Row],[composizione concatenata]],IF(H31="C",Tabella118[[#This Row],[composizione concatenata]],VLOOKUP(I31,$K$2:$O$7,5,FALSE))),+Tabella118[[#This Row],[composizione concatenata]])</f>
        <v/>
      </c>
      <c r="F31" s="944">
        <f>+_xlfn.IFNA(VLOOKUP(Tabella118[[#This Row],[Composizione alternativa per digitale]],Tabella118[[composizione concatenata]:[Euro/Mq]],2,FALSE),VLOOKUP(H31,digitale[[ONDA]:[Fornitore]],3,FALSE))</f>
        <v/>
      </c>
      <c r="G31" s="484" t="n"/>
      <c r="H31" s="484">
        <f>IF(MID(A31, FIND("/", A31, FIND("/", A31) + 1) + 1, 2)="A","C",MID(A31, FIND("/", A31, FIND("/", A31) + 1) + 1, 2))</f>
        <v/>
      </c>
      <c r="I31" s="486">
        <f>TRIM(H31)</f>
        <v/>
      </c>
    </row>
    <row r="32" ht="15" customHeight="1">
      <c r="A32" s="491" t="inlineStr">
        <is>
          <t>BpMFMTb/64243/EE + ACC.</t>
        </is>
      </c>
      <c r="B32" s="484">
        <f>+_xlfn.CONCAT(Tabella118[[#This Row],[Composizione]], " - ", Tabella118[[#This Row],[Fornitore]])</f>
        <v/>
      </c>
      <c r="C32" s="943" t="n">
        <v>0.694</v>
      </c>
      <c r="D32" s="484" t="inlineStr">
        <is>
          <t>Santerno</t>
        </is>
      </c>
      <c r="E32" s="484">
        <f>IFERROR(IF(H32="BC",Tabella118[[#This Row],[composizione concatenata]],IF(H32="C",Tabella118[[#This Row],[composizione concatenata]],VLOOKUP(I32,$K$2:$O$7,5,FALSE))),+Tabella118[[#This Row],[composizione concatenata]])</f>
        <v/>
      </c>
      <c r="F32" s="943">
        <f>+_xlfn.IFNA(VLOOKUP(Tabella118[[#This Row],[Composizione alternativa per digitale]],Tabella118[[composizione concatenata]:[Euro/Mq]],2,FALSE),VLOOKUP(H32,digitale[[ONDA]:[Fornitore]],3,FALSE))</f>
        <v/>
      </c>
      <c r="G32" s="484" t="n"/>
      <c r="H32" s="484">
        <f>IF(MID(A32, FIND("/", A32, FIND("/", A32) + 1) + 1, 2)="A","C",MID(A32, FIND("/", A32, FIND("/", A32) + 1) + 1, 2))</f>
        <v/>
      </c>
      <c r="I32" s="486">
        <f>TRIM(H32)</f>
        <v/>
      </c>
    </row>
    <row r="33" ht="15" customHeight="1">
      <c r="A33" s="484" t="inlineStr">
        <is>
          <t>BpMK/642/E</t>
        </is>
      </c>
      <c r="B33" s="484">
        <f>+_xlfn.CONCAT(Tabella118[[#This Row],[Composizione]], " - ", Tabella118[[#This Row],[Fornitore]])</f>
        <v/>
      </c>
      <c r="C33" s="943" t="n">
        <v>0.408</v>
      </c>
      <c r="D33" s="484" t="inlineStr">
        <is>
          <t>Giusti</t>
        </is>
      </c>
      <c r="E33" s="484">
        <f>IFERROR(IF(H33="BC",Tabella118[[#This Row],[composizione concatenata]],IF(H33="C",Tabella118[[#This Row],[composizione concatenata]],VLOOKUP(I33,$K$2:$O$7,5,FALSE))),+Tabella118[[#This Row],[composizione concatenata]])</f>
        <v/>
      </c>
      <c r="F33" s="944">
        <f>+_xlfn.IFNA(VLOOKUP(Tabella118[[#This Row],[Composizione alternativa per digitale]],Tabella118[[composizione concatenata]:[Euro/Mq]],2,FALSE),VLOOKUP(H33,digitale[[ONDA]:[Fornitore]],3,FALSE))</f>
        <v/>
      </c>
      <c r="G33" s="484" t="n"/>
      <c r="H33" s="484">
        <f>IF(MID(A33, FIND("/", A33, FIND("/", A33) + 1) + 1, 2)="A","C",MID(A33, FIND("/", A33, FIND("/", A33) + 1) + 1, 2))</f>
        <v/>
      </c>
      <c r="I33" s="486">
        <f>TRIM(H33)</f>
        <v/>
      </c>
    </row>
    <row r="34" ht="15" customHeight="1">
      <c r="A34" s="484" t="inlineStr">
        <is>
          <t>BpMTb/643/E</t>
        </is>
      </c>
      <c r="B34" s="484">
        <f>+_xlfn.CONCAT(Tabella118[[#This Row],[Composizione]], " - ", Tabella118[[#This Row],[Fornitore]])</f>
        <v/>
      </c>
      <c r="C34" s="943" t="n">
        <v>0.415</v>
      </c>
      <c r="D34" s="484" t="inlineStr">
        <is>
          <t>Giusti</t>
        </is>
      </c>
      <c r="E34" s="484">
        <f>IFERROR(IF(H34="BC",Tabella118[[#This Row],[composizione concatenata]],IF(H34="C",Tabella118[[#This Row],[composizione concatenata]],VLOOKUP(I34,$K$2:$O$7,5,FALSE))),+Tabella118[[#This Row],[composizione concatenata]])</f>
        <v/>
      </c>
      <c r="F34" s="944">
        <f>+_xlfn.IFNA(VLOOKUP(Tabella118[[#This Row],[Composizione alternativa per digitale]],Tabella118[[composizione concatenata]:[Euro/Mq]],2,FALSE),VLOOKUP(H34,digitale[[ONDA]:[Fornitore]],3,FALSE))</f>
        <v/>
      </c>
      <c r="G34" s="484" t="n"/>
      <c r="H34" s="484">
        <f>IF(MID(A34, FIND("/", A34, FIND("/", A34) + 1) + 1, 2)="A","C",MID(A34, FIND("/", A34, FIND("/", A34) + 1) + 1, 2))</f>
        <v/>
      </c>
      <c r="I34" s="486">
        <f>TRIM(H34)</f>
        <v/>
      </c>
    </row>
    <row r="35" ht="15" customHeight="1">
      <c r="A35" s="484" t="inlineStr">
        <is>
          <t>BpSFST/64243/EB</t>
        </is>
      </c>
      <c r="B35" s="484">
        <f>+_xlfn.CONCAT(Tabella118[[#This Row],[Composizione]], " - ", Tabella118[[#This Row],[Fornitore]])</f>
        <v/>
      </c>
      <c r="C35" s="943" t="n">
        <v>0.541</v>
      </c>
      <c r="D35" s="484" t="inlineStr">
        <is>
          <t>Giusti</t>
        </is>
      </c>
      <c r="E35" s="484">
        <f>IFERROR(IF(H35="BC",Tabella118[[#This Row],[composizione concatenata]],IF(H35="C",Tabella118[[#This Row],[composizione concatenata]],VLOOKUP(I35,$K$2:$O$7,5,FALSE))),+Tabella118[[#This Row],[composizione concatenata]])</f>
        <v/>
      </c>
      <c r="F35" s="944">
        <f>+_xlfn.IFNA(VLOOKUP(Tabella118[[#This Row],[Composizione alternativa per digitale]],Tabella118[[composizione concatenata]:[Euro/Mq]],2,FALSE),VLOOKUP(H35,digitale[[ONDA]:[Fornitore]],3,FALSE))</f>
        <v/>
      </c>
      <c r="G35" s="484" t="n"/>
      <c r="H35" s="484">
        <f>IF(MID(A35, FIND("/", A35, FIND("/", A35) + 1) + 1, 2)="A","C",MID(A35, FIND("/", A35, FIND("/", A35) + 1) + 1, 2))</f>
        <v/>
      </c>
      <c r="I35" s="486">
        <f>TRIM(H35)</f>
        <v/>
      </c>
    </row>
    <row r="36" ht="15" customHeight="1">
      <c r="A36" s="484" t="inlineStr">
        <is>
          <t>BpSFSTb/64243/EB</t>
        </is>
      </c>
      <c r="B36" s="484">
        <f>+_xlfn.CONCAT(Tabella118[[#This Row],[Composizione]], " - ", Tabella118[[#This Row],[Fornitore]])</f>
        <v/>
      </c>
      <c r="C36" s="943" t="n">
        <v>0.5649999999999999</v>
      </c>
      <c r="D36" s="484" t="inlineStr">
        <is>
          <t>Giusti</t>
        </is>
      </c>
      <c r="E36" s="484">
        <f>IFERROR(IF(H36="BC",Tabella118[[#This Row],[composizione concatenata]],IF(H36="C",Tabella118[[#This Row],[composizione concatenata]],VLOOKUP(I36,$K$2:$O$7,5,FALSE))),+Tabella118[[#This Row],[composizione concatenata]])</f>
        <v/>
      </c>
      <c r="F36" s="944">
        <f>+_xlfn.IFNA(VLOOKUP(Tabella118[[#This Row],[Composizione alternativa per digitale]],Tabella118[[composizione concatenata]:[Euro/Mq]],2,FALSE),VLOOKUP(H36,digitale[[ONDA]:[Fornitore]],3,FALSE))</f>
        <v/>
      </c>
      <c r="G36" s="484" t="n"/>
      <c r="H36" s="484">
        <f>IF(MID(A36, FIND("/", A36, FIND("/", A36) + 1) + 1, 2)="A","C",MID(A36, FIND("/", A36, FIND("/", A36) + 1) + 1, 2))</f>
        <v/>
      </c>
      <c r="I36" s="486">
        <f>TRIM(H36)</f>
        <v/>
      </c>
    </row>
    <row r="37" ht="15" customHeight="1">
      <c r="A37" s="484" t="inlineStr">
        <is>
          <t>BpSTb/643/B</t>
        </is>
      </c>
      <c r="B37" s="484">
        <f>+_xlfn.CONCAT(Tabella118[[#This Row],[Composizione]], " - ", Tabella118[[#This Row],[Fornitore]])</f>
        <v/>
      </c>
      <c r="C37" s="943" t="n">
        <v>0.368</v>
      </c>
      <c r="D37" s="484" t="inlineStr">
        <is>
          <t>Giusti</t>
        </is>
      </c>
      <c r="E37" s="484">
        <f>IFERROR(IF(H37="BC",Tabella118[[#This Row],[composizione concatenata]],IF(H37="C",Tabella118[[#This Row],[composizione concatenata]],VLOOKUP(I37,$K$2:$O$7,5,FALSE))),+Tabella118[[#This Row],[composizione concatenata]])</f>
        <v/>
      </c>
      <c r="F37" s="944">
        <f>+_xlfn.IFNA(VLOOKUP(Tabella118[[#This Row],[Composizione alternativa per digitale]],Tabella118[[composizione concatenata]:[Euro/Mq]],2,FALSE),VLOOKUP(H37,digitale[[ONDA]:[Fornitore]],3,FALSE))</f>
        <v/>
      </c>
      <c r="G37" s="484" t="n"/>
      <c r="H37" s="484">
        <f>IF(MID(A37, FIND("/", A37, FIND("/", A37) + 1) + 1, 2)="A","C",MID(A37, FIND("/", A37, FIND("/", A37) + 1) + 1, 2))</f>
        <v/>
      </c>
      <c r="I37" s="486">
        <f>TRIM(H37)</f>
        <v/>
      </c>
    </row>
    <row r="38" ht="15" customHeight="1">
      <c r="A38" s="484" t="inlineStr">
        <is>
          <t>BpSTb/643/E</t>
        </is>
      </c>
      <c r="B38" s="484">
        <f>+_xlfn.CONCAT(Tabella118[[#This Row],[Composizione]], " - ", Tabella118[[#This Row],[Fornitore]])</f>
        <v/>
      </c>
      <c r="C38" s="943" t="n">
        <v>0.425</v>
      </c>
      <c r="D38" s="484" t="inlineStr">
        <is>
          <t>Giusti</t>
        </is>
      </c>
      <c r="E38" s="484">
        <f>IFERROR(IF(H38="BC",Tabella118[[#This Row],[composizione concatenata]],IF(H38="C",Tabella118[[#This Row],[composizione concatenata]],VLOOKUP(I38,$K$2:$O$7,5,FALSE))),+Tabella118[[#This Row],[composizione concatenata]])</f>
        <v/>
      </c>
      <c r="F38" s="944">
        <f>+_xlfn.IFNA(VLOOKUP(Tabella118[[#This Row],[Composizione alternativa per digitale]],Tabella118[[composizione concatenata]:[Euro/Mq]],2,FALSE),VLOOKUP(H38,digitale[[ONDA]:[Fornitore]],3,FALSE))</f>
        <v/>
      </c>
      <c r="G38" s="484" t="n"/>
      <c r="H38" s="484">
        <f>IF(MID(A38, FIND("/", A38, FIND("/", A38) + 1) + 1, 2)="A","C",MID(A38, FIND("/", A38, FIND("/", A38) + 1) + 1, 2))</f>
        <v/>
      </c>
      <c r="I38" s="486">
        <f>TRIM(H38)</f>
        <v/>
      </c>
    </row>
    <row r="39" ht="15" customHeight="1">
      <c r="A39" s="484" t="inlineStr">
        <is>
          <t>EURO 17/8 - KSKSK/66466 - CC/111/KK CC</t>
        </is>
      </c>
      <c r="B39" s="484">
        <f>+_xlfn.CONCAT(Tabella118[[#This Row],[Composizione]], " - ", Tabella118[[#This Row],[Fornitore]])</f>
        <v/>
      </c>
      <c r="C39" s="943" t="n">
        <v>1.18</v>
      </c>
      <c r="D39" s="484" t="inlineStr">
        <is>
          <t>Cartonificio Fiorentino</t>
        </is>
      </c>
      <c r="E39" s="484">
        <f>IFERROR(IF(H39="BC",Tabella118[[#This Row],[composizione concatenata]],IF(H39="C",Tabella118[[#This Row],[composizione concatenata]],VLOOKUP(I39,$K$2:$O$7,5,FALSE))),+Tabella118[[#This Row],[composizione concatenata]])</f>
        <v/>
      </c>
      <c r="F39" s="944">
        <f>+_xlfn.IFNA(VLOOKUP(Tabella118[[#This Row],[Composizione alternativa per digitale]],Tabella118[[composizione concatenata]:[Euro/Mq]],2,FALSE),VLOOKUP(H39,digitale[[ONDA]:[Fornitore]],3,FALSE))</f>
        <v/>
      </c>
      <c r="G39" s="484" t="n"/>
      <c r="H39" s="484">
        <f>IF(MID(A39, FIND("/", A39, FIND("/", A39) + 1) + 1, 2)="A","C",MID(A39, FIND("/", A39, FIND("/", A39) + 1) + 1, 2))</f>
        <v/>
      </c>
      <c r="I39" s="486">
        <f>TRIM(H39)</f>
        <v/>
      </c>
    </row>
    <row r="40" ht="15" customHeight="1">
      <c r="A40" s="484" t="inlineStr">
        <is>
          <t>EURO 19/10 - KSKSK/66366 - CH/91/KK CH</t>
        </is>
      </c>
      <c r="B40" s="484">
        <f>+_xlfn.CONCAT(Tabella118[[#This Row],[Composizione]], " - ", Tabella118[[#This Row],[Fornitore]])</f>
        <v/>
      </c>
      <c r="C40" s="943" t="n">
        <v>1.26</v>
      </c>
      <c r="D40" s="484" t="inlineStr">
        <is>
          <t>Cartonificio Fiorentino</t>
        </is>
      </c>
      <c r="E40" s="484">
        <f>IFERROR(IF(H40="BC",Tabella118[[#This Row],[composizione concatenata]],IF(H40="C",Tabella118[[#This Row],[composizione concatenata]],VLOOKUP(I40,$K$2:$O$7,5,FALSE))),+Tabella118[[#This Row],[composizione concatenata]])</f>
        <v/>
      </c>
      <c r="F40" s="944">
        <f>+_xlfn.IFNA(VLOOKUP(Tabella118[[#This Row],[Composizione alternativa per digitale]],Tabella118[[composizione concatenata]:[Euro/Mq]],2,FALSE),VLOOKUP(H40,digitale[[ONDA]:[Fornitore]],3,FALSE))</f>
        <v/>
      </c>
      <c r="G40" s="484" t="n"/>
      <c r="H40" s="484">
        <f>IF(MID(A40, FIND("/", A40, FIND("/", A40) + 1) + 1, 2)="A","C",MID(A40, FIND("/", A40, FIND("/", A40) + 1) + 1, 2))</f>
        <v/>
      </c>
      <c r="I40" s="486">
        <f>TRIM(H40)</f>
        <v/>
      </c>
    </row>
    <row r="41" ht="15" customHeight="1">
      <c r="A41" s="484" t="inlineStr">
        <is>
          <t>EURO 19/7 - KSKSK/96369 - BC/111/KK BC</t>
        </is>
      </c>
      <c r="B41" s="484">
        <f>+_xlfn.CONCAT(Tabella118[[#This Row],[Composizione]], " - ", Tabella118[[#This Row],[Fornitore]])</f>
        <v/>
      </c>
      <c r="C41" s="943" t="n">
        <v>1.005</v>
      </c>
      <c r="D41" s="484" t="inlineStr">
        <is>
          <t>Cartonificio Fiorentino</t>
        </is>
      </c>
      <c r="E41" s="484">
        <f>IFERROR(IF(H41="BC",Tabella118[[#This Row],[composizione concatenata]],IF(H41="C",Tabella118[[#This Row],[composizione concatenata]],VLOOKUP(I41,$K$2:$O$7,5,FALSE))),+Tabella118[[#This Row],[composizione concatenata]])</f>
        <v/>
      </c>
      <c r="F41" s="944">
        <f>+_xlfn.IFNA(VLOOKUP(Tabella118[[#This Row],[Composizione alternativa per digitale]],Tabella118[[composizione concatenata]:[Euro/Mq]],2,FALSE),VLOOKUP(H41,digitale[[ONDA]:[Fornitore]],3,FALSE))</f>
        <v/>
      </c>
      <c r="G41" s="484" t="n"/>
      <c r="H41" s="484">
        <f>IF(MID(A41, FIND("/", A41, FIND("/", A41) + 1) + 1, 2)="A","C",MID(A41, FIND("/", A41, FIND("/", A41) + 1) + 1, 2))</f>
        <v/>
      </c>
      <c r="I41" s="486">
        <f>TRIM(H41)</f>
        <v/>
      </c>
    </row>
    <row r="42" ht="15" customHeight="1">
      <c r="A42" s="484" t="inlineStr">
        <is>
          <t>EURO 19/8 - KSKSK/6034036 CC</t>
        </is>
      </c>
      <c r="B42" s="484">
        <f>+_xlfn.CONCAT(Tabella118[[#This Row],[Composizione]], " - ", Tabella118[[#This Row],[Fornitore]])</f>
        <v/>
      </c>
      <c r="C42" s="943" t="n">
        <v>1.25</v>
      </c>
      <c r="D42" s="484" t="inlineStr">
        <is>
          <t>Cartonificio Fiorentino</t>
        </is>
      </c>
      <c r="E42" s="484">
        <f>IFERROR(IF(H42="BC",Tabella118[[#This Row],[composizione concatenata]],IF(H42="C",Tabella118[[#This Row],[composizione concatenata]],VLOOKUP(I42,$K$2:$O$7,5,FALSE))),+Tabella118[[#This Row],[composizione concatenata]])</f>
        <v/>
      </c>
      <c r="F42" s="944">
        <f>+_xlfn.IFNA(VLOOKUP(Tabella118[[#This Row],[Composizione alternativa per digitale]],Tabella118[[composizione concatenata]:[Euro/Mq]],2,FALSE),VLOOKUP(H42,digitale[[ONDA]:[Fornitore]],3,FALSE))</f>
        <v/>
      </c>
      <c r="G42" s="484" t="n"/>
      <c r="H42" s="484">
        <f>IF(MID(A42, FIND("/", A42, FIND("/", A42) + 1) + 1, 2)="A","C",MID(A42, FIND("/", A42, FIND("/", A42) + 1) + 1, 2))</f>
        <v/>
      </c>
      <c r="I42" s="486">
        <f>TRIM(H42)</f>
        <v/>
      </c>
    </row>
    <row r="43" ht="15" customHeight="1">
      <c r="A43" s="484" t="inlineStr">
        <is>
          <t>EURO 20/10 - KSKSK/96369 - CH/111/KK CH</t>
        </is>
      </c>
      <c r="B43" s="484">
        <f>+_xlfn.CONCAT(Tabella118[[#This Row],[Composizione]], " - ", Tabella118[[#This Row],[Fornitore]])</f>
        <v/>
      </c>
      <c r="C43" s="943" t="n">
        <v>1.32</v>
      </c>
      <c r="D43" s="484" t="inlineStr">
        <is>
          <t>Cartonificio Fiorentino</t>
        </is>
      </c>
      <c r="E43" s="484">
        <f>IFERROR(IF(H43="BC",Tabella118[[#This Row],[composizione concatenata]],IF(H43="C",Tabella118[[#This Row],[composizione concatenata]],VLOOKUP(I43,$K$2:$O$7,5,FALSE))),+Tabella118[[#This Row],[composizione concatenata]])</f>
        <v/>
      </c>
      <c r="F43" s="944">
        <f>+_xlfn.IFNA(VLOOKUP(Tabella118[[#This Row],[Composizione alternativa per digitale]],Tabella118[[composizione concatenata]:[Euro/Mq]],2,FALSE),VLOOKUP(H43,digitale[[ONDA]:[Fornitore]],3,FALSE))</f>
        <v/>
      </c>
      <c r="G43" s="484" t="n"/>
      <c r="H43" s="484">
        <f>IF(MID(A43, FIND("/", A43, FIND("/", A43) + 1) + 1, 2)="A","C",MID(A43, FIND("/", A43, FIND("/", A43) + 1) + 1, 2))</f>
        <v/>
      </c>
      <c r="I43" s="486">
        <f>TRIM(H43)</f>
        <v/>
      </c>
    </row>
    <row r="44" ht="15" customHeight="1">
      <c r="A44" s="484" t="inlineStr">
        <is>
          <t>EURO 20/7 - KSKSK/0264039 - BC/111/KK BC</t>
        </is>
      </c>
      <c r="B44" s="484">
        <f>+_xlfn.CONCAT(Tabella118[[#This Row],[Composizione]], " - ", Tabella118[[#This Row],[Fornitore]])</f>
        <v/>
      </c>
      <c r="C44" s="943" t="n">
        <v>1.125</v>
      </c>
      <c r="D44" s="484" t="inlineStr">
        <is>
          <t>Cartonificio Fiorentino</t>
        </is>
      </c>
      <c r="E44" s="484">
        <f>IFERROR(IF(H44="BC",Tabella118[[#This Row],[composizione concatenata]],IF(H44="C",Tabella118[[#This Row],[composizione concatenata]],VLOOKUP(I44,$K$2:$O$7,5,FALSE))),+Tabella118[[#This Row],[composizione concatenata]])</f>
        <v/>
      </c>
      <c r="F44" s="944">
        <f>+_xlfn.IFNA(VLOOKUP(Tabella118[[#This Row],[Composizione alternativa per digitale]],Tabella118[[composizione concatenata]:[Euro/Mq]],2,FALSE),VLOOKUP(H44,digitale[[ONDA]:[Fornitore]],3,FALSE))</f>
        <v/>
      </c>
      <c r="G44" s="484" t="n"/>
      <c r="H44" s="484">
        <f>IF(MID(A44, FIND("/", A44, FIND("/", A44) + 1) + 1, 2)="A","C",MID(A44, FIND("/", A44, FIND("/", A44) + 1) + 1, 2))</f>
        <v/>
      </c>
      <c r="I44" s="486">
        <f>TRIM(H44)</f>
        <v/>
      </c>
    </row>
    <row r="45" ht="15" customHeight="1">
      <c r="A45" s="484" t="inlineStr">
        <is>
          <t>EURO 21/10 - KSKSK/9034039 - CH/111/KK CH</t>
        </is>
      </c>
      <c r="B45" s="484">
        <f>+_xlfn.CONCAT(Tabella118[[#This Row],[Composizione]], " - ", Tabella118[[#This Row],[Fornitore]])</f>
        <v/>
      </c>
      <c r="C45" s="943" t="n">
        <v>1.43</v>
      </c>
      <c r="D45" s="484" t="inlineStr">
        <is>
          <t>Cartonificio Fiorentino</t>
        </is>
      </c>
      <c r="E45" s="484">
        <f>IFERROR(IF(H45="BC",Tabella118[[#This Row],[composizione concatenata]],IF(H45="C",Tabella118[[#This Row],[composizione concatenata]],VLOOKUP(I45,$K$2:$O$7,5,FALSE))),+Tabella118[[#This Row],[composizione concatenata]])</f>
        <v/>
      </c>
      <c r="F45" s="944">
        <f>+_xlfn.IFNA(VLOOKUP(Tabella118[[#This Row],[Composizione alternativa per digitale]],Tabella118[[composizione concatenata]:[Euro/Mq]],2,FALSE),VLOOKUP(H45,digitale[[ONDA]:[Fornitore]],3,FALSE))</f>
        <v/>
      </c>
      <c r="G45" s="484" t="n"/>
      <c r="H45" s="484">
        <f>IF(MID(A45, FIND("/", A45, FIND("/", A45) + 1) + 1, 2)="A","C",MID(A45, FIND("/", A45, FIND("/", A45) + 1) + 1, 2))</f>
        <v/>
      </c>
      <c r="I45" s="486">
        <f>TRIM(H45)</f>
        <v/>
      </c>
    </row>
    <row r="46" ht="15" customHeight="1">
      <c r="A46" s="484" t="inlineStr">
        <is>
          <t>EURO 21/7 - KSKSK/02640302 - BC/111/KKbC</t>
        </is>
      </c>
      <c r="B46" s="484">
        <f>+_xlfn.CONCAT(Tabella118[[#This Row],[Composizione]], " - ", Tabella118[[#This Row],[Fornitore]])</f>
        <v/>
      </c>
      <c r="C46" s="943" t="n">
        <v>1.18</v>
      </c>
      <c r="D46" s="484" t="inlineStr">
        <is>
          <t>Cartonificio Fiorentino</t>
        </is>
      </c>
      <c r="E46" s="484">
        <f>IFERROR(IF(H46="BC",Tabella118[[#This Row],[composizione concatenata]],IF(H46="C",Tabella118[[#This Row],[composizione concatenata]],VLOOKUP(I46,$K$2:$O$7,5,FALSE))),+Tabella118[[#This Row],[composizione concatenata]])</f>
        <v/>
      </c>
      <c r="F46" s="944">
        <f>+_xlfn.IFNA(VLOOKUP(Tabella118[[#This Row],[Composizione alternativa per digitale]],Tabella118[[composizione concatenata]:[Euro/Mq]],2,FALSE),VLOOKUP(H46,digitale[[ONDA]:[Fornitore]],3,FALSE))</f>
        <v/>
      </c>
      <c r="G46" s="484" t="n"/>
      <c r="H46" s="484">
        <f>IF(MID(A46, FIND("/", A46, FIND("/", A46) + 1) + 1, 2)="A","C",MID(A46, FIND("/", A46, FIND("/", A46) + 1) + 1, 2))</f>
        <v/>
      </c>
      <c r="I46" s="486">
        <f>TRIM(H46)</f>
        <v/>
      </c>
    </row>
    <row r="47" ht="15" customHeight="1">
      <c r="A47" s="484" t="inlineStr">
        <is>
          <t>EURO 21/8 - KSKSK/9034039 - CC/111/KK CC</t>
        </is>
      </c>
      <c r="B47" s="484">
        <f>+_xlfn.CONCAT(Tabella118[[#This Row],[Composizione]], " - ", Tabella118[[#This Row],[Fornitore]])</f>
        <v/>
      </c>
      <c r="C47" s="943" t="n">
        <v>1.31</v>
      </c>
      <c r="D47" s="484" t="inlineStr">
        <is>
          <t>Cartonificio Fiorentino</t>
        </is>
      </c>
      <c r="E47" s="484">
        <f>IFERROR(IF(H47="BC",Tabella118[[#This Row],[composizione concatenata]],IF(H47="C",Tabella118[[#This Row],[composizione concatenata]],VLOOKUP(I47,$K$2:$O$7,5,FALSE))),+Tabella118[[#This Row],[composizione concatenata]])</f>
        <v/>
      </c>
      <c r="F47" s="944">
        <f>+_xlfn.IFNA(VLOOKUP(Tabella118[[#This Row],[Composizione alternativa per digitale]],Tabella118[[composizione concatenata]:[Euro/Mq]],2,FALSE),VLOOKUP(H47,digitale[[ONDA]:[Fornitore]],3,FALSE))</f>
        <v/>
      </c>
      <c r="G47" s="484" t="n"/>
      <c r="H47" s="484">
        <f>IF(MID(A47, FIND("/", A47, FIND("/", A47) + 1) + 1, 2)="A","C",MID(A47, FIND("/", A47, FIND("/", A47) + 1) + 1, 2))</f>
        <v/>
      </c>
      <c r="I47" s="486">
        <f>TRIM(H47)</f>
        <v/>
      </c>
    </row>
    <row r="48" ht="15" customHeight="1">
      <c r="A48" s="484" t="inlineStr">
        <is>
          <t>EURO 22/14 - KSKSKSK/9636369 CCH</t>
        </is>
      </c>
      <c r="B48" s="484">
        <f>+_xlfn.CONCAT(Tabella118[[#This Row],[Composizione]], " - ", Tabella118[[#This Row],[Fornitore]])</f>
        <v/>
      </c>
      <c r="C48" s="943" t="n">
        <v>1.635</v>
      </c>
      <c r="D48" s="484" t="inlineStr">
        <is>
          <t>Cartonificio Fiorentino</t>
        </is>
      </c>
      <c r="E48" s="484">
        <f>IFERROR(IF(H48="BC",Tabella118[[#This Row],[composizione concatenata]],IF(H48="C",Tabella118[[#This Row],[composizione concatenata]],VLOOKUP(I48,$K$2:$O$7,5,FALSE))),+Tabella118[[#This Row],[composizione concatenata]])</f>
        <v/>
      </c>
      <c r="F48" s="944">
        <f>+_xlfn.IFNA(VLOOKUP(Tabella118[[#This Row],[Composizione alternativa per digitale]],Tabella118[[composizione concatenata]:[Euro/Mq]],2,FALSE),VLOOKUP(H48,digitale[[ONDA]:[Fornitore]],3,FALSE))</f>
        <v/>
      </c>
      <c r="G48" s="484" t="n"/>
      <c r="H48" s="484">
        <f>IF(MID(A48, FIND("/", A48, FIND("/", A48) + 1) + 1, 2)="A","C",MID(A48, FIND("/", A48, FIND("/", A48) + 1) + 1, 2))</f>
        <v/>
      </c>
      <c r="I48" s="486">
        <f>TRIM(H48)</f>
        <v/>
      </c>
    </row>
    <row r="49" ht="15" customHeight="1">
      <c r="A49" s="484" t="inlineStr">
        <is>
          <t>EURO 22/8 - KSKSK/020340302 - CC/111/KCKC</t>
        </is>
      </c>
      <c r="B49" s="484">
        <f>+_xlfn.CONCAT(Tabella118[[#This Row],[Composizione]], " - ", Tabella118[[#This Row],[Fornitore]])</f>
        <v/>
      </c>
      <c r="C49" s="943" t="n">
        <v>1.41</v>
      </c>
      <c r="D49" s="484" t="inlineStr">
        <is>
          <t>Cartonificio Fiorentino</t>
        </is>
      </c>
      <c r="E49" s="484">
        <f>IFERROR(IF(H49="BC",Tabella118[[#This Row],[composizione concatenata]],IF(H49="C",Tabella118[[#This Row],[composizione concatenata]],VLOOKUP(I49,$K$2:$O$7,5,FALSE))),+Tabella118[[#This Row],[composizione concatenata]])</f>
        <v/>
      </c>
      <c r="F49" s="944">
        <f>+_xlfn.IFNA(VLOOKUP(Tabella118[[#This Row],[Composizione alternativa per digitale]],Tabella118[[composizione concatenata]:[Euro/Mq]],2,FALSE),VLOOKUP(H49,digitale[[ONDA]:[Fornitore]],3,FALSE))</f>
        <v/>
      </c>
      <c r="G49" s="484" t="n"/>
      <c r="H49" s="484">
        <f>IF(MID(A49, FIND("/", A49, FIND("/", A49) + 1) + 1, 2)="A","C",MID(A49, FIND("/", A49, FIND("/", A49) + 1) + 1, 2))</f>
        <v/>
      </c>
      <c r="I49" s="486">
        <f>TRIM(H49)</f>
        <v/>
      </c>
    </row>
    <row r="50" ht="15" customHeight="1">
      <c r="A50" s="484" t="inlineStr">
        <is>
          <t>EURO 23/10 - KSKSK/020390302 - CH/111/KCKH</t>
        </is>
      </c>
      <c r="B50" s="484">
        <f>+_xlfn.CONCAT(Tabella118[[#This Row],[Composizione]], " - ", Tabella118[[#This Row],[Fornitore]])</f>
        <v/>
      </c>
      <c r="C50" s="943" t="n">
        <v>1.795</v>
      </c>
      <c r="D50" s="484" t="inlineStr">
        <is>
          <t>Cartonificio Fiorentino</t>
        </is>
      </c>
      <c r="E50" s="484">
        <f>IFERROR(IF(H50="BC",Tabella118[[#This Row],[composizione concatenata]],IF(H50="C",Tabella118[[#This Row],[composizione concatenata]],VLOOKUP(I50,$K$2:$O$7,5,FALSE))),+Tabella118[[#This Row],[composizione concatenata]])</f>
        <v/>
      </c>
      <c r="F50" s="944">
        <f>+_xlfn.IFNA(VLOOKUP(Tabella118[[#This Row],[Composizione alternativa per digitale]],Tabella118[[composizione concatenata]:[Euro/Mq]],2,FALSE),VLOOKUP(H50,digitale[[ONDA]:[Fornitore]],3,FALSE))</f>
        <v/>
      </c>
      <c r="G50" s="484" t="n"/>
      <c r="H50" s="484">
        <f>IF(MID(A50, FIND("/", A50, FIND("/", A50) + 1) + 1, 2)="A","C",MID(A50, FIND("/", A50, FIND("/", A50) + 1) + 1, 2))</f>
        <v/>
      </c>
      <c r="I50" s="486">
        <f>TRIM(H50)</f>
        <v/>
      </c>
    </row>
    <row r="51" ht="15" customHeight="1">
      <c r="A51" s="484" t="inlineStr">
        <is>
          <t>EURO 24/14 - KSKSKSK/026363039 CCH</t>
        </is>
      </c>
      <c r="B51" s="484">
        <f>+_xlfn.CONCAT(Tabella118[[#This Row],[Composizione]], " - ", Tabella118[[#This Row],[Fornitore]])</f>
        <v/>
      </c>
      <c r="C51" s="943" t="n">
        <v>1.81</v>
      </c>
      <c r="D51" s="484" t="inlineStr">
        <is>
          <t>Cartonificio Fiorentino</t>
        </is>
      </c>
      <c r="E51" s="484">
        <f>IFERROR(IF(H51="BC",Tabella118[[#This Row],[composizione concatenata]],IF(H51="C",Tabella118[[#This Row],[composizione concatenata]],VLOOKUP(I51,$K$2:$O$7,5,FALSE))),+Tabella118[[#This Row],[composizione concatenata]])</f>
        <v/>
      </c>
      <c r="F51" s="944">
        <f>+_xlfn.IFNA(VLOOKUP(Tabella118[[#This Row],[Composizione alternativa per digitale]],Tabella118[[composizione concatenata]:[Euro/Mq]],2,FALSE),VLOOKUP(H51,digitale[[ONDA]:[Fornitore]],3,FALSE))</f>
        <v/>
      </c>
      <c r="G51" s="484" t="n"/>
      <c r="H51" s="484">
        <f>IF(MID(A51, FIND("/", A51, FIND("/", A51) + 1) + 1, 2)="A","C",MID(A51, FIND("/", A51, FIND("/", A51) + 1) + 1, 2))</f>
        <v/>
      </c>
      <c r="I51" s="486">
        <f>TRIM(H51)</f>
        <v/>
      </c>
    </row>
    <row r="52" ht="15" customHeight="1">
      <c r="A52" s="484" t="inlineStr">
        <is>
          <t>EURO 28/10 - KSKSK/0203020302 - CH/111/CKHK</t>
        </is>
      </c>
      <c r="B52" s="484">
        <f>+_xlfn.CONCAT(Tabella118[[#This Row],[Composizione]], " - ", Tabella118[[#This Row],[Fornitore]])</f>
        <v/>
      </c>
      <c r="C52" s="943" t="n">
        <v>1.84</v>
      </c>
      <c r="D52" s="484" t="inlineStr">
        <is>
          <t>Cartonificio Fiorentino</t>
        </is>
      </c>
      <c r="E52" s="484">
        <f>IFERROR(IF(H52="BC",Tabella118[[#This Row],[composizione concatenata]],IF(H52="C",Tabella118[[#This Row],[composizione concatenata]],VLOOKUP(I52,$K$2:$O$7,5,FALSE))),+Tabella118[[#This Row],[composizione concatenata]])</f>
        <v/>
      </c>
      <c r="F52" s="944">
        <f>+_xlfn.IFNA(VLOOKUP(Tabella118[[#This Row],[Composizione alternativa per digitale]],Tabella118[[composizione concatenata]:[Euro/Mq]],2,FALSE),VLOOKUP(H52,digitale[[ONDA]:[Fornitore]],3,FALSE))</f>
        <v/>
      </c>
      <c r="G52" s="484" t="n"/>
      <c r="H52" s="484">
        <f>IF(MID(A52, FIND("/", A52, FIND("/", A52) + 1) + 1, 2)="A","C",MID(A52, FIND("/", A52, FIND("/", A52) + 1) + 1, 2))</f>
        <v/>
      </c>
      <c r="I52" s="486">
        <f>TRIM(H52)</f>
        <v/>
      </c>
    </row>
    <row r="53" ht="15" customHeight="1">
      <c r="A53" s="484" t="inlineStr">
        <is>
          <t>EURO 29/14 - KSKSKSK/0263034039 CCH</t>
        </is>
      </c>
      <c r="B53" s="484">
        <f>+_xlfn.CONCAT(Tabella118[[#This Row],[Composizione]], " - ", Tabella118[[#This Row],[Fornitore]])</f>
        <v/>
      </c>
      <c r="C53" s="943" t="n">
        <v>1.855</v>
      </c>
      <c r="D53" s="484" t="inlineStr">
        <is>
          <t>Cartonificio Fiorentino</t>
        </is>
      </c>
      <c r="E53" s="484">
        <f>IFERROR(IF(H53="BC",Tabella118[[#This Row],[composizione concatenata]],IF(H53="C",Tabella118[[#This Row],[composizione concatenata]],VLOOKUP(I53,$K$2:$O$7,5,FALSE))),+Tabella118[[#This Row],[composizione concatenata]])</f>
        <v/>
      </c>
      <c r="F53" s="944">
        <f>+_xlfn.IFNA(VLOOKUP(Tabella118[[#This Row],[Composizione alternativa per digitale]],Tabella118[[composizione concatenata]:[Euro/Mq]],2,FALSE),VLOOKUP(H53,digitale[[ONDA]:[Fornitore]],3,FALSE))</f>
        <v/>
      </c>
      <c r="G53" s="484" t="n"/>
      <c r="H53" s="484">
        <f>IF(MID(A53, FIND("/", A53, FIND("/", A53) + 1) + 1, 2)="A","C",MID(A53, FIND("/", A53, FIND("/", A53) + 1) + 1, 2))</f>
        <v/>
      </c>
      <c r="I53" s="486">
        <f>TRIM(H53)</f>
        <v/>
      </c>
    </row>
    <row r="54" ht="15" customHeight="1">
      <c r="A54" s="484" t="inlineStr">
        <is>
          <t>EURO 31/14 - KSKSKSK/020340340302 CCH</t>
        </is>
      </c>
      <c r="B54" s="484">
        <f>+_xlfn.CONCAT(Tabella118[[#This Row],[Composizione]], " - ", Tabella118[[#This Row],[Fornitore]])</f>
        <v/>
      </c>
      <c r="C54" s="943" t="n">
        <v>2.09</v>
      </c>
      <c r="D54" s="484" t="inlineStr">
        <is>
          <t>Cartonificio Fiorentino</t>
        </is>
      </c>
      <c r="E54" s="484">
        <f>IFERROR(IF(H54="BC",Tabella118[[#This Row],[composizione concatenata]],IF(H54="C",Tabella118[[#This Row],[composizione concatenata]],VLOOKUP(I54,$K$2:$O$7,5,FALSE))),+Tabella118[[#This Row],[composizione concatenata]])</f>
        <v/>
      </c>
      <c r="F54" s="944">
        <f>+_xlfn.IFNA(VLOOKUP(Tabella118[[#This Row],[Composizione alternativa per digitale]],Tabella118[[composizione concatenata]:[Euro/Mq]],2,FALSE),VLOOKUP(H54,digitale[[ONDA]:[Fornitore]],3,FALSE))</f>
        <v/>
      </c>
      <c r="G54" s="484" t="n"/>
      <c r="H54" s="484">
        <f>IF(MID(A54, FIND("/", A54, FIND("/", A54) + 1) + 1, 2)="A","C",MID(A54, FIND("/", A54, FIND("/", A54) + 1) + 1, 2))</f>
        <v/>
      </c>
      <c r="I54" s="486">
        <f>TRIM(H54)</f>
        <v/>
      </c>
    </row>
    <row r="55" ht="15" customHeight="1">
      <c r="A55" s="484" t="inlineStr">
        <is>
          <t>EURO 33/14 - KSKSKSK/020360360302 CCH</t>
        </is>
      </c>
      <c r="B55" s="484">
        <f>+_xlfn.CONCAT(Tabella118[[#This Row],[Composizione]], " - ", Tabella118[[#This Row],[Fornitore]])</f>
        <v/>
      </c>
      <c r="C55" s="943" t="n">
        <v>2.12</v>
      </c>
      <c r="D55" s="484" t="inlineStr">
        <is>
          <t>Cartonificio Fiorentino</t>
        </is>
      </c>
      <c r="E55" s="484">
        <f>IFERROR(IF(H55="BC",Tabella118[[#This Row],[composizione concatenata]],IF(H55="C",Tabella118[[#This Row],[composizione concatenata]],VLOOKUP(I55,$K$2:$O$7,5,FALSE))),+Tabella118[[#This Row],[composizione concatenata]])</f>
        <v/>
      </c>
      <c r="F55" s="944">
        <f>+_xlfn.IFNA(VLOOKUP(Tabella118[[#This Row],[Composizione alternativa per digitale]],Tabella118[[composizione concatenata]:[Euro/Mq]],2,FALSE),VLOOKUP(H55,digitale[[ONDA]:[Fornitore]],3,FALSE))</f>
        <v/>
      </c>
      <c r="G55" s="484" t="n"/>
      <c r="H55" s="484">
        <f>IF(MID(A55, FIND("/", A55, FIND("/", A55) + 1) + 1, 2)="A","C",MID(A55, FIND("/", A55, FIND("/", A55) + 1) + 1, 2))</f>
        <v/>
      </c>
      <c r="I55" s="486">
        <f>TRIM(H55)</f>
        <v/>
      </c>
    </row>
    <row r="56" ht="15" customHeight="1">
      <c r="A56" s="484" t="inlineStr">
        <is>
          <t>EURO 35/14 - KSKSKSK/020390390302 CCH</t>
        </is>
      </c>
      <c r="B56" s="484">
        <f>+_xlfn.CONCAT(Tabella118[[#This Row],[Composizione]], " - ", Tabella118[[#This Row],[Fornitore]])</f>
        <v/>
      </c>
      <c r="C56" s="943" t="n">
        <v>2.35</v>
      </c>
      <c r="D56" s="484" t="inlineStr">
        <is>
          <t>Cartonificio Fiorentino</t>
        </is>
      </c>
      <c r="E56" s="484">
        <f>IFERROR(IF(H56="BC",Tabella118[[#This Row],[composizione concatenata]],IF(H56="C",Tabella118[[#This Row],[composizione concatenata]],VLOOKUP(I56,$K$2:$O$7,5,FALSE))),+Tabella118[[#This Row],[composizione concatenata]])</f>
        <v/>
      </c>
      <c r="F56" s="944">
        <f>+_xlfn.IFNA(VLOOKUP(Tabella118[[#This Row],[Composizione alternativa per digitale]],Tabella118[[composizione concatenata]:[Euro/Mq]],2,FALSE),VLOOKUP(H56,digitale[[ONDA]:[Fornitore]],3,FALSE))</f>
        <v/>
      </c>
      <c r="G56" s="484" t="n"/>
      <c r="H56" s="484">
        <f>IF(MID(A56, FIND("/", A56, FIND("/", A56) + 1) + 1, 2)="A","C",MID(A56, FIND("/", A56, FIND("/", A56) + 1) + 1, 2))</f>
        <v/>
      </c>
      <c r="I56" s="486">
        <f>TRIM(H56)</f>
        <v/>
      </c>
    </row>
    <row r="57" ht="15" customHeight="1">
      <c r="A57" s="484" t="inlineStr">
        <is>
          <t>EURO 40/14 - KSKSKSK/02030203020302 CCH</t>
        </is>
      </c>
      <c r="B57" s="484">
        <f>+_xlfn.CONCAT(Tabella118[[#This Row],[Composizione]], " - ", Tabella118[[#This Row],[Fornitore]])</f>
        <v/>
      </c>
      <c r="C57" s="943" t="n">
        <v>2.64</v>
      </c>
      <c r="D57" s="484" t="inlineStr">
        <is>
          <t>Cartonificio Fiorentino</t>
        </is>
      </c>
      <c r="E57" s="484">
        <f>IFERROR(IF(H57="BC",Tabella118[[#This Row],[composizione concatenata]],IF(H57="C",Tabella118[[#This Row],[composizione concatenata]],VLOOKUP(I57,$K$2:$O$7,5,FALSE))),+Tabella118[[#This Row],[composizione concatenata]])</f>
        <v/>
      </c>
      <c r="F57" s="944">
        <f>+_xlfn.IFNA(VLOOKUP(Tabella118[[#This Row],[Composizione alternativa per digitale]],Tabella118[[composizione concatenata]:[Euro/Mq]],2,FALSE),VLOOKUP(H57,digitale[[ONDA]:[Fornitore]],3,FALSE))</f>
        <v/>
      </c>
      <c r="G57" s="484" t="n"/>
      <c r="H57" s="484">
        <f>IF(MID(A57, FIND("/", A57, FIND("/", A57) + 1) + 1, 2)="A","C",MID(A57, FIND("/", A57, FIND("/", A57) + 1) + 1, 2))</f>
        <v/>
      </c>
      <c r="I57" s="486">
        <f>TRIM(H57)</f>
        <v/>
      </c>
    </row>
    <row r="58" ht="15" customHeight="1">
      <c r="A58" s="484" t="inlineStr">
        <is>
          <t>FFF/222/B</t>
        </is>
      </c>
      <c r="B58" s="484">
        <f>+_xlfn.CONCAT(Tabella118[[#This Row],[Composizione]], " - ", Tabella118[[#This Row],[Fornitore]])</f>
        <v/>
      </c>
      <c r="C58" s="943" t="n">
        <v>0.24</v>
      </c>
      <c r="D58" s="484" t="inlineStr">
        <is>
          <t xml:space="preserve">Ds Smith </t>
        </is>
      </c>
      <c r="E58" s="484">
        <f>IFERROR(IF(H58="BC",Tabella118[[#This Row],[composizione concatenata]],IF(H58="C",Tabella118[[#This Row],[composizione concatenata]],VLOOKUP(I58,$K$2:$O$7,5,FALSE))),+Tabella118[[#This Row],[composizione concatenata]])</f>
        <v/>
      </c>
      <c r="F58" s="943">
        <f>+_xlfn.IFNA(VLOOKUP(Tabella118[[#This Row],[Composizione alternativa per digitale]],Tabella118[[composizione concatenata]:[Euro/Mq]],2,FALSE),VLOOKUP(H58,digitale[[ONDA]:[Fornitore]],3,FALSE))</f>
        <v/>
      </c>
      <c r="G58" s="484" t="n"/>
      <c r="H58" s="484">
        <f>IF(MID(A58, FIND("/", A58, FIND("/", A58) + 1) + 1, 2)="A","C",MID(A58, FIND("/", A58, FIND("/", A58) + 1) + 1, 2))</f>
        <v/>
      </c>
      <c r="I58" s="486">
        <f>TRIM(H58)</f>
        <v/>
      </c>
    </row>
    <row r="59" ht="15" customHeight="1">
      <c r="A59" s="484" t="inlineStr">
        <is>
          <t>FFF/222/B</t>
        </is>
      </c>
      <c r="B59" s="484">
        <f>+_xlfn.CONCAT(Tabella118[[#This Row],[Composizione]], " - ", Tabella118[[#This Row],[Fornitore]])</f>
        <v/>
      </c>
      <c r="C59" s="943" t="n">
        <v>0.217</v>
      </c>
      <c r="D59" s="484" t="inlineStr">
        <is>
          <t>Giusti</t>
        </is>
      </c>
      <c r="E59" s="484">
        <f>IFERROR(IF(H59="BC",Tabella118[[#This Row],[composizione concatenata]],IF(H59="C",Tabella118[[#This Row],[composizione concatenata]],VLOOKUP(I59,$K$2:$O$7,5,FALSE))),+Tabella118[[#This Row],[composizione concatenata]])</f>
        <v/>
      </c>
      <c r="F59" s="944">
        <f>+_xlfn.IFNA(VLOOKUP(Tabella118[[#This Row],[Composizione alternativa per digitale]],Tabella118[[composizione concatenata]:[Euro/Mq]],2,FALSE),VLOOKUP(H59,digitale[[ONDA]:[Fornitore]],3,FALSE))</f>
        <v/>
      </c>
      <c r="G59" s="484" t="n"/>
      <c r="H59" s="484">
        <f>IF(MID(A59, FIND("/", A59, FIND("/", A59) + 1) + 1, 2)="A","C",MID(A59, FIND("/", A59, FIND("/", A59) + 1) + 1, 2))</f>
        <v/>
      </c>
      <c r="I59" s="486">
        <f>TRIM(H59)</f>
        <v/>
      </c>
    </row>
    <row r="60" ht="15" customHeight="1">
      <c r="A60" s="484" t="inlineStr">
        <is>
          <t>FFF/222/B</t>
        </is>
      </c>
      <c r="B60" s="484">
        <f>+_xlfn.CONCAT(Tabella118[[#This Row],[Composizione]], " - ", Tabella118[[#This Row],[Fornitore]])</f>
        <v/>
      </c>
      <c r="C60" s="943" t="n">
        <v>0.195</v>
      </c>
      <c r="D60" s="484" t="inlineStr">
        <is>
          <t>FEPA</t>
        </is>
      </c>
      <c r="E60" s="484">
        <f>IFERROR(IF(H60="BC",Tabella118[[#This Row],[composizione concatenata]],IF(H60="C",Tabella118[[#This Row],[composizione concatenata]],VLOOKUP(I60,$K$2:$O$7,5,FALSE))),+Tabella118[[#This Row],[composizione concatenata]])</f>
        <v/>
      </c>
      <c r="F60" s="944">
        <f>+_xlfn.IFNA(VLOOKUP(Tabella118[[#This Row],[Composizione alternativa per digitale]],Tabella118[[composizione concatenata]:[Euro/Mq]],2,FALSE),VLOOKUP(H60,digitale[[ONDA]:[Fornitore]],3,FALSE))</f>
        <v/>
      </c>
      <c r="G60" s="484" t="n"/>
      <c r="H60" s="484">
        <f>IF(MID(A60, FIND("/", A60, FIND("/", A60) + 1) + 1, 2)="A","C",MID(A60, FIND("/", A60, FIND("/", A60) + 1) + 1, 2))</f>
        <v/>
      </c>
      <c r="I60" s="486">
        <f>TRIM(H60)</f>
        <v/>
      </c>
    </row>
    <row r="61" ht="15" customHeight="1">
      <c r="A61" s="484" t="inlineStr">
        <is>
          <t>FFF/222/E</t>
        </is>
      </c>
      <c r="B61" s="484">
        <f>+_xlfn.CONCAT(Tabella118[[#This Row],[Composizione]], " - ", Tabella118[[#This Row],[Fornitore]])</f>
        <v/>
      </c>
      <c r="C61" s="943" t="n">
        <v>0.192</v>
      </c>
      <c r="D61" s="484" t="inlineStr">
        <is>
          <t>FEPA</t>
        </is>
      </c>
      <c r="E61" s="484">
        <f>IFERROR(IF(H61="BC",Tabella118[[#This Row],[composizione concatenata]],IF(H61="C",Tabella118[[#This Row],[composizione concatenata]],VLOOKUP(I61,$K$2:$O$7,5,FALSE))),+Tabella118[[#This Row],[composizione concatenata]])</f>
        <v/>
      </c>
      <c r="F61" s="944">
        <f>+_xlfn.IFNA(VLOOKUP(Tabella118[[#This Row],[Composizione alternativa per digitale]],Tabella118[[composizione concatenata]:[Euro/Mq]],2,FALSE),VLOOKUP(H61,digitale[[ONDA]:[Fornitore]],3,FALSE))</f>
        <v/>
      </c>
      <c r="G61" s="484" t="n"/>
      <c r="H61" s="484">
        <f>IF(MID(A61, FIND("/", A61, FIND("/", A61) + 1) + 1, 2)="A","C",MID(A61, FIND("/", A61, FIND("/", A61) + 1) + 1, 2))</f>
        <v/>
      </c>
      <c r="I61" s="486">
        <f>TRIM(H61)</f>
        <v/>
      </c>
    </row>
    <row r="62" ht="15" customHeight="1">
      <c r="A62" s="484" t="inlineStr">
        <is>
          <t>ITALY 11/7 - KSUMSUK/34463 - BC/81/KK BC</t>
        </is>
      </c>
      <c r="B62" s="484">
        <f>+_xlfn.CONCAT(Tabella118[[#This Row],[Composizione]], " - ", Tabella118[[#This Row],[Fornitore]])</f>
        <v/>
      </c>
      <c r="C62" s="943" t="n">
        <v>0.74</v>
      </c>
      <c r="D62" s="484" t="inlineStr">
        <is>
          <t>Cartonificio Fiorentino</t>
        </is>
      </c>
      <c r="E62" s="484">
        <f>IFERROR(IF(H62="BC",Tabella118[[#This Row],[composizione concatenata]],IF(H62="C",Tabella118[[#This Row],[composizione concatenata]],VLOOKUP(I62,$K$2:$O$7,5,FALSE))),+Tabella118[[#This Row],[composizione concatenata]])</f>
        <v/>
      </c>
      <c r="F62" s="944">
        <f>+_xlfn.IFNA(VLOOKUP(Tabella118[[#This Row],[Composizione alternativa per digitale]],Tabella118[[composizione concatenata]:[Euro/Mq]],2,FALSE),VLOOKUP(H62,digitale[[ONDA]:[Fornitore]],3,FALSE))</f>
        <v/>
      </c>
      <c r="G62" s="484" t="n"/>
      <c r="H62" s="484">
        <f>IF(MID(A62, FIND("/", A62, FIND("/", A62) + 1) + 1, 2)="A","C",MID(A62, FIND("/", A62, FIND("/", A62) + 1) + 1, 2))</f>
        <v/>
      </c>
      <c r="I62" s="486">
        <f>TRIM(H62)</f>
        <v/>
      </c>
    </row>
    <row r="63" ht="15" customHeight="1">
      <c r="A63" s="484" t="inlineStr">
        <is>
          <t>ITALY 11/8 - KSUTSUK/34243 CC</t>
        </is>
      </c>
      <c r="B63" s="484">
        <f>+_xlfn.CONCAT(Tabella118[[#This Row],[Composizione]], " - ", Tabella118[[#This Row],[Fornitore]])</f>
        <v/>
      </c>
      <c r="C63" s="943" t="n">
        <v>0.76</v>
      </c>
      <c r="D63" s="484" t="inlineStr">
        <is>
          <t>Cartonificio Fiorentino</t>
        </is>
      </c>
      <c r="E63" s="484">
        <f>IFERROR(IF(H63="BC",Tabella118[[#This Row],[composizione concatenata]],IF(H63="C",Tabella118[[#This Row],[composizione concatenata]],VLOOKUP(I63,$K$2:$O$7,5,FALSE))),+Tabella118[[#This Row],[composizione concatenata]])</f>
        <v/>
      </c>
      <c r="F63" s="944">
        <f>+_xlfn.IFNA(VLOOKUP(Tabella118[[#This Row],[Composizione alternativa per digitale]],Tabella118[[composizione concatenata]:[Euro/Mq]],2,FALSE),VLOOKUP(H63,digitale[[ONDA]:[Fornitore]],3,FALSE))</f>
        <v/>
      </c>
      <c r="G63" s="484" t="n"/>
      <c r="H63" s="484">
        <f>IF(MID(A63, FIND("/", A63, FIND("/", A63) + 1) + 1, 2)="A","C",MID(A63, FIND("/", A63, FIND("/", A63) + 1) + 1, 2))</f>
        <v/>
      </c>
      <c r="I63" s="486">
        <f>TRIM(H63)</f>
        <v/>
      </c>
    </row>
    <row r="64" ht="15" customHeight="1">
      <c r="A64" s="484" t="inlineStr">
        <is>
          <t>ITALY 12/14 - KSUTSUTSUK/3434363 CCH</t>
        </is>
      </c>
      <c r="B64" s="484">
        <f>+_xlfn.CONCAT(Tabella118[[#This Row],[Composizione]], " - ", Tabella118[[#This Row],[Fornitore]])</f>
        <v/>
      </c>
      <c r="C64" s="943" t="n">
        <v>1.135</v>
      </c>
      <c r="D64" s="484" t="inlineStr">
        <is>
          <t>Cartonificio Fiorentino</t>
        </is>
      </c>
      <c r="E64" s="484">
        <f>IFERROR(IF(H64="BC",Tabella118[[#This Row],[composizione concatenata]],IF(H64="C",Tabella118[[#This Row],[composizione concatenata]],VLOOKUP(I64,$K$2:$O$7,5,FALSE))),+Tabella118[[#This Row],[composizione concatenata]])</f>
        <v/>
      </c>
      <c r="F64" s="944">
        <f>+_xlfn.IFNA(VLOOKUP(Tabella118[[#This Row],[Composizione alternativa per digitale]],Tabella118[[composizione concatenata]:[Euro/Mq]],2,FALSE),VLOOKUP(H64,digitale[[ONDA]:[Fornitore]],3,FALSE))</f>
        <v/>
      </c>
      <c r="G64" s="484" t="n"/>
      <c r="H64" s="484">
        <f>IF(MID(A64, FIND("/", A64, FIND("/", A64) + 1) + 1, 2)="A","C",MID(A64, FIND("/", A64, FIND("/", A64) + 1) + 1, 2))</f>
        <v/>
      </c>
      <c r="I64" s="486">
        <f>TRIM(H64)</f>
        <v/>
      </c>
    </row>
    <row r="65" ht="15" customHeight="1">
      <c r="A65" s="484" t="inlineStr">
        <is>
          <t>ITALY 12/7 - KSUMSUK/54465 - BC/81/KK BC</t>
        </is>
      </c>
      <c r="B65" s="484">
        <f>+_xlfn.CONCAT(Tabella118[[#This Row],[Composizione]], " - ", Tabella118[[#This Row],[Fornitore]])</f>
        <v/>
      </c>
      <c r="C65" s="943" t="n">
        <v>0.795</v>
      </c>
      <c r="D65" s="484" t="inlineStr">
        <is>
          <t>Cartonificio Fiorentino</t>
        </is>
      </c>
      <c r="E65" s="484">
        <f>IFERROR(IF(H65="BC",Tabella118[[#This Row],[composizione concatenata]],IF(H65="C",Tabella118[[#This Row],[composizione concatenata]],VLOOKUP(I65,$K$2:$O$7,5,FALSE))),+Tabella118[[#This Row],[composizione concatenata]])</f>
        <v/>
      </c>
      <c r="F65" s="944">
        <f>+_xlfn.IFNA(VLOOKUP(Tabella118[[#This Row],[Composizione alternativa per digitale]],Tabella118[[composizione concatenata]:[Euro/Mq]],2,FALSE),VLOOKUP(H65,digitale[[ONDA]:[Fornitore]],3,FALSE))</f>
        <v/>
      </c>
      <c r="G65" s="484" t="n"/>
      <c r="H65" s="484">
        <f>IF(MID(A65, FIND("/", A65, FIND("/", A65) + 1) + 1, 2)="A","C",MID(A65, FIND("/", A65, FIND("/", A65) + 1) + 1, 2))</f>
        <v/>
      </c>
      <c r="I65" s="486">
        <f>TRIM(H65)</f>
        <v/>
      </c>
    </row>
    <row r="66" ht="15" customHeight="1">
      <c r="A66" s="484" t="inlineStr">
        <is>
          <t>ITALY 12/8 - KSUTSUK/46264 CC</t>
        </is>
      </c>
      <c r="B66" s="484">
        <f>+_xlfn.CONCAT(Tabella118[[#This Row],[Composizione]], " - ", Tabella118[[#This Row],[Fornitore]])</f>
        <v/>
      </c>
      <c r="C66" s="943" t="n">
        <v>0.88</v>
      </c>
      <c r="D66" s="484" t="inlineStr">
        <is>
          <t>Cartonificio Fiorentino</t>
        </is>
      </c>
      <c r="E66" s="484">
        <f>IFERROR(IF(H66="BC",Tabella118[[#This Row],[composizione concatenata]],IF(H66="C",Tabella118[[#This Row],[composizione concatenata]],VLOOKUP(I66,$K$2:$O$7,5,FALSE))),+Tabella118[[#This Row],[composizione concatenata]])</f>
        <v/>
      </c>
      <c r="F66" s="944">
        <f>+_xlfn.IFNA(VLOOKUP(Tabella118[[#This Row],[Composizione alternativa per digitale]],Tabella118[[composizione concatenata]:[Euro/Mq]],2,FALSE),VLOOKUP(H66,digitale[[ONDA]:[Fornitore]],3,FALSE))</f>
        <v/>
      </c>
      <c r="G66" s="484" t="n"/>
      <c r="H66" s="484">
        <f>IF(MID(A66, FIND("/", A66, FIND("/", A66) + 1) + 1, 2)="A","C",MID(A66, FIND("/", A66, FIND("/", A66) + 1) + 1, 2))</f>
        <v/>
      </c>
      <c r="I66" s="486">
        <f>TRIM(H66)</f>
        <v/>
      </c>
    </row>
    <row r="67" ht="15" customHeight="1">
      <c r="A67" s="484" t="inlineStr">
        <is>
          <t>ITALY 13/7 - KSUMSUK/96465 - BC/81/KK BC</t>
        </is>
      </c>
      <c r="B67" s="484">
        <f>+_xlfn.CONCAT(Tabella118[[#This Row],[Composizione]], " - ", Tabella118[[#This Row],[Fornitore]])</f>
        <v/>
      </c>
      <c r="C67" s="943" t="n">
        <v>0.865</v>
      </c>
      <c r="D67" s="484" t="inlineStr">
        <is>
          <t>Cartonificio Fiorentino</t>
        </is>
      </c>
      <c r="E67" s="484">
        <f>IFERROR(IF(H67="BC",Tabella118[[#This Row],[composizione concatenata]],IF(H67="C",Tabella118[[#This Row],[composizione concatenata]],VLOOKUP(I67,$K$2:$O$7,5,FALSE))),+Tabella118[[#This Row],[composizione concatenata]])</f>
        <v/>
      </c>
      <c r="F67" s="944">
        <f>+_xlfn.IFNA(VLOOKUP(Tabella118[[#This Row],[Composizione alternativa per digitale]],Tabella118[[composizione concatenata]:[Euro/Mq]],2,FALSE),VLOOKUP(H67,digitale[[ONDA]:[Fornitore]],3,FALSE))</f>
        <v/>
      </c>
      <c r="G67" s="484" t="n"/>
      <c r="H67" s="484">
        <f>IF(MID(A67, FIND("/", A67, FIND("/", A67) + 1) + 1, 2)="A","C",MID(A67, FIND("/", A67, FIND("/", A67) + 1) + 1, 2))</f>
        <v/>
      </c>
      <c r="I67" s="486">
        <f>TRIM(H67)</f>
        <v/>
      </c>
    </row>
    <row r="68" ht="15" customHeight="1">
      <c r="A68" s="484" t="inlineStr">
        <is>
          <t>ITALY 13/8 - KSUTSUK/66366 - CC/81/ KK CC</t>
        </is>
      </c>
      <c r="B68" s="484">
        <f>+_xlfn.CONCAT(Tabella118[[#This Row],[Composizione]], " - ", Tabella118[[#This Row],[Fornitore]])</f>
        <v/>
      </c>
      <c r="C68" s="943" t="n">
        <v>0.965</v>
      </c>
      <c r="D68" s="484" t="inlineStr">
        <is>
          <t>Cartonificio Fiorentino</t>
        </is>
      </c>
      <c r="E68" s="484">
        <f>IFERROR(IF(H68="BC",Tabella118[[#This Row],[composizione concatenata]],IF(H68="C",Tabella118[[#This Row],[composizione concatenata]],VLOOKUP(I68,$K$2:$O$7,5,FALSE))),+Tabella118[[#This Row],[composizione concatenata]])</f>
        <v/>
      </c>
      <c r="F68" s="944">
        <f>+_xlfn.IFNA(VLOOKUP(Tabella118[[#This Row],[Composizione alternativa per digitale]],Tabella118[[composizione concatenata]:[Euro/Mq]],2,FALSE),VLOOKUP(H68,digitale[[ONDA]:[Fornitore]],3,FALSE))</f>
        <v/>
      </c>
      <c r="G68" s="484" t="n"/>
      <c r="H68" s="484">
        <f>IF(MID(A68, FIND("/", A68, FIND("/", A68) + 1) + 1, 2)="A","C",MID(A68, FIND("/", A68, FIND("/", A68) + 1) + 1, 2))</f>
        <v/>
      </c>
      <c r="I68" s="486">
        <f>TRIM(H68)</f>
        <v/>
      </c>
    </row>
    <row r="69" ht="15" customHeight="1">
      <c r="A69" s="484" t="inlineStr">
        <is>
          <t>ITALY 14/7 - KSUMSUK/96469 - BC/111/KKbC</t>
        </is>
      </c>
      <c r="B69" s="484">
        <f>+_xlfn.CONCAT(Tabella118[[#This Row],[Composizione]], " - ", Tabella118[[#This Row],[Fornitore]])</f>
        <v/>
      </c>
      <c r="C69" s="943" t="n">
        <v>0.92</v>
      </c>
      <c r="D69" s="484" t="inlineStr">
        <is>
          <t>Cartonificio Fiorentino</t>
        </is>
      </c>
      <c r="E69" s="484">
        <f>IFERROR(IF(H69="BC",Tabella118[[#This Row],[composizione concatenata]],IF(H69="C",Tabella118[[#This Row],[composizione concatenata]],VLOOKUP(I69,$K$2:$O$7,5,FALSE))),+Tabella118[[#This Row],[composizione concatenata]])</f>
        <v/>
      </c>
      <c r="F69" s="944">
        <f>+_xlfn.IFNA(VLOOKUP(Tabella118[[#This Row],[Composizione alternativa per digitale]],Tabella118[[composizione concatenata]:[Euro/Mq]],2,FALSE),VLOOKUP(H69,digitale[[ONDA]:[Fornitore]],3,FALSE))</f>
        <v/>
      </c>
      <c r="G69" s="484" t="n"/>
      <c r="H69" s="484">
        <f>IF(MID(A69, FIND("/", A69, FIND("/", A69) + 1) + 1, 2)="A","C",MID(A69, FIND("/", A69, FIND("/", A69) + 1) + 1, 2))</f>
        <v/>
      </c>
      <c r="I69" s="486">
        <f>TRIM(H69)</f>
        <v/>
      </c>
    </row>
    <row r="70" ht="15" customHeight="1">
      <c r="A70" s="484" t="inlineStr">
        <is>
          <t>ITALY 14/8 - KSUTSUK/96366 - CC/111/KKCC</t>
        </is>
      </c>
      <c r="B70" s="484">
        <f>+_xlfn.CONCAT(Tabella118[[#This Row],[Composizione]], " - ", Tabella118[[#This Row],[Fornitore]])</f>
        <v/>
      </c>
      <c r="C70" s="943" t="n">
        <v>1</v>
      </c>
      <c r="D70" s="484" t="inlineStr">
        <is>
          <t>Cartonificio Fiorentino</t>
        </is>
      </c>
      <c r="E70" s="484">
        <f>IFERROR(IF(H70="BC",Tabella118[[#This Row],[composizione concatenata]],IF(H70="C",Tabella118[[#This Row],[composizione concatenata]],VLOOKUP(I70,$K$2:$O$7,5,FALSE))),+Tabella118[[#This Row],[composizione concatenata]])</f>
        <v/>
      </c>
      <c r="F70" s="944">
        <f>+_xlfn.IFNA(VLOOKUP(Tabella118[[#This Row],[Composizione alternativa per digitale]],Tabella118[[composizione concatenata]:[Euro/Mq]],2,FALSE),VLOOKUP(H70,digitale[[ONDA]:[Fornitore]],3,FALSE))</f>
        <v/>
      </c>
      <c r="G70" s="484" t="n"/>
      <c r="H70" s="484">
        <f>IF(MID(A70, FIND("/", A70, FIND("/", A70) + 1) + 1, 2)="A","C",MID(A70, FIND("/", A70, FIND("/", A70) + 1) + 1, 2))</f>
        <v/>
      </c>
      <c r="I70" s="486">
        <f>TRIM(H70)</f>
        <v/>
      </c>
    </row>
    <row r="71" ht="15" customHeight="1">
      <c r="A71" s="484" t="inlineStr">
        <is>
          <t>ITALY 15/7 - KSUMSUK/96669 - BC/91/KK BC</t>
        </is>
      </c>
      <c r="B71" s="484">
        <f>+_xlfn.CONCAT(Tabella118[[#This Row],[Composizione]], " - ", Tabella118[[#This Row],[Fornitore]])</f>
        <v/>
      </c>
      <c r="C71" s="943" t="n">
        <v>0.955</v>
      </c>
      <c r="D71" s="484" t="inlineStr">
        <is>
          <t>Cartonificio Fiorentino</t>
        </is>
      </c>
      <c r="E71" s="484">
        <f>IFERROR(IF(H71="BC",Tabella118[[#This Row],[composizione concatenata]],IF(H71="C",Tabella118[[#This Row],[composizione concatenata]],VLOOKUP(I71,$K$2:$O$7,5,FALSE))),+Tabella118[[#This Row],[composizione concatenata]])</f>
        <v/>
      </c>
      <c r="F71" s="944">
        <f>+_xlfn.IFNA(VLOOKUP(Tabella118[[#This Row],[Composizione alternativa per digitale]],Tabella118[[composizione concatenata]:[Euro/Mq]],2,FALSE),VLOOKUP(H71,digitale[[ONDA]:[Fornitore]],3,FALSE))</f>
        <v/>
      </c>
      <c r="G71" s="484" t="n"/>
      <c r="H71" s="484">
        <f>IF(MID(A71, FIND("/", A71, FIND("/", A71) + 1) + 1, 2)="A","C",MID(A71, FIND("/", A71, FIND("/", A71) + 1) + 1, 2))</f>
        <v/>
      </c>
      <c r="I71" s="486">
        <f>TRIM(H71)</f>
        <v/>
      </c>
    </row>
    <row r="72" ht="15" customHeight="1">
      <c r="A72" s="484" t="inlineStr">
        <is>
          <t>ITALY 15/8 - KSUTSUK/96369 - CC/111/KKCC</t>
        </is>
      </c>
      <c r="B72" s="484">
        <f>+_xlfn.CONCAT(Tabella118[[#This Row],[Composizione]], " - ", Tabella118[[#This Row],[Fornitore]])</f>
        <v/>
      </c>
      <c r="C72" s="943" t="n">
        <v>1.035</v>
      </c>
      <c r="D72" s="484" t="inlineStr">
        <is>
          <t>Cartonificio Fiorentino</t>
        </is>
      </c>
      <c r="E72" s="484">
        <f>IFERROR(IF(H72="BC",Tabella118[[#This Row],[composizione concatenata]],IF(H72="C",Tabella118[[#This Row],[composizione concatenata]],VLOOKUP(I72,$K$2:$O$7,5,FALSE))),+Tabella118[[#This Row],[composizione concatenata]])</f>
        <v/>
      </c>
      <c r="F72" s="944">
        <f>+_xlfn.IFNA(VLOOKUP(Tabella118[[#This Row],[Composizione alternativa per digitale]],Tabella118[[composizione concatenata]:[Euro/Mq]],2,FALSE),VLOOKUP(H72,digitale[[ONDA]:[Fornitore]],3,FALSE))</f>
        <v/>
      </c>
      <c r="G72" s="484" t="n"/>
      <c r="H72" s="484">
        <f>IF(MID(A72, FIND("/", A72, FIND("/", A72) + 1) + 1, 2)="A","C",MID(A72, FIND("/", A72, FIND("/", A72) + 1) + 1, 2))</f>
        <v/>
      </c>
      <c r="I72" s="486">
        <f>TRIM(H72)</f>
        <v/>
      </c>
    </row>
    <row r="73" ht="15" customHeight="1">
      <c r="A73" s="484" t="inlineStr">
        <is>
          <t>ITALY 18/14 - KSUTSUTSUK/6434365 CCH</t>
        </is>
      </c>
      <c r="B73" s="484">
        <f>+_xlfn.CONCAT(Tabella118[[#This Row],[Composizione]], " - ", Tabella118[[#This Row],[Fornitore]])</f>
        <v/>
      </c>
      <c r="C73" s="943" t="n">
        <v>1.235</v>
      </c>
      <c r="D73" s="484" t="inlineStr">
        <is>
          <t>Cartonificio Fiorentino</t>
        </is>
      </c>
      <c r="E73" s="484">
        <f>IFERROR(IF(H73="BC",Tabella118[[#This Row],[composizione concatenata]],IF(H73="C",Tabella118[[#This Row],[composizione concatenata]],VLOOKUP(I73,$K$2:$O$7,5,FALSE))),+Tabella118[[#This Row],[composizione concatenata]])</f>
        <v/>
      </c>
      <c r="F73" s="944">
        <f>+_xlfn.IFNA(VLOOKUP(Tabella118[[#This Row],[Composizione alternativa per digitale]],Tabella118[[composizione concatenata]:[Euro/Mq]],2,FALSE),VLOOKUP(H73,digitale[[ONDA]:[Fornitore]],3,FALSE))</f>
        <v/>
      </c>
      <c r="G73" s="484" t="n"/>
      <c r="H73" s="484">
        <f>IF(MID(A73, FIND("/", A73, FIND("/", A73) + 1) + 1, 2)="A","C",MID(A73, FIND("/", A73, FIND("/", A73) + 1) + 1, 2))</f>
        <v/>
      </c>
      <c r="I73" s="486">
        <f>TRIM(H73)</f>
        <v/>
      </c>
    </row>
    <row r="74" ht="15" customHeight="1">
      <c r="A74" s="484" t="inlineStr">
        <is>
          <t>ITALY 20/14 - KSUTSUTSUK/9636366 CCH</t>
        </is>
      </c>
      <c r="B74" s="484">
        <f>+_xlfn.CONCAT(Tabella118[[#This Row],[Composizione]], " - ", Tabella118[[#This Row],[Fornitore]])</f>
        <v/>
      </c>
      <c r="C74" s="943" t="n">
        <v>1.395</v>
      </c>
      <c r="D74" s="484" t="inlineStr">
        <is>
          <t>Cartonificio Fiorentino</t>
        </is>
      </c>
      <c r="E74" s="484">
        <f>IFERROR(IF(H74="BC",Tabella118[[#This Row],[composizione concatenata]],IF(H74="C",Tabella118[[#This Row],[composizione concatenata]],VLOOKUP(I74,$K$2:$O$7,5,FALSE))),+Tabella118[[#This Row],[composizione concatenata]])</f>
        <v/>
      </c>
      <c r="F74" s="944">
        <f>+_xlfn.IFNA(VLOOKUP(Tabella118[[#This Row],[Composizione alternativa per digitale]],Tabella118[[composizione concatenata]:[Euro/Mq]],2,FALSE),VLOOKUP(H74,digitale[[ONDA]:[Fornitore]],3,FALSE))</f>
        <v/>
      </c>
      <c r="G74" s="484" t="n"/>
      <c r="H74" s="484">
        <f>IF(MID(A74, FIND("/", A74, FIND("/", A74) + 1) + 1, 2)="A","C",MID(A74, FIND("/", A74, FIND("/", A74) + 1) + 1, 2))</f>
        <v/>
      </c>
      <c r="I74" s="486">
        <f>TRIM(H74)</f>
        <v/>
      </c>
    </row>
    <row r="75" ht="15" customHeight="1">
      <c r="A75" s="484" t="inlineStr">
        <is>
          <t>ITALY 21/14 - KSUTSUTSUK/9636369 CCH</t>
        </is>
      </c>
      <c r="B75" s="484">
        <f>+_xlfn.CONCAT(Tabella118[[#This Row],[Composizione]], " - ", Tabella118[[#This Row],[Fornitore]])</f>
        <v/>
      </c>
      <c r="C75" s="943" t="n">
        <v>1.475</v>
      </c>
      <c r="D75" s="484" t="inlineStr">
        <is>
          <t>Cartonificio Fiorentino</t>
        </is>
      </c>
      <c r="E75" s="484">
        <f>IFERROR(IF(H75="BC",Tabella118[[#This Row],[composizione concatenata]],IF(H75="C",Tabella118[[#This Row],[composizione concatenata]],VLOOKUP(I75,$K$2:$O$7,5,FALSE))),+Tabella118[[#This Row],[composizione concatenata]])</f>
        <v/>
      </c>
      <c r="F75" s="944">
        <f>+_xlfn.IFNA(VLOOKUP(Tabella118[[#This Row],[Composizione alternativa per digitale]],Tabella118[[composizione concatenata]:[Euro/Mq]],2,FALSE),VLOOKUP(H75,digitale[[ONDA]:[Fornitore]],3,FALSE))</f>
        <v/>
      </c>
      <c r="G75" s="484" t="n"/>
      <c r="H75" s="484">
        <f>IF(MID(A75, FIND("/", A75, FIND("/", A75) + 1) + 1, 2)="A","C",MID(A75, FIND("/", A75, FIND("/", A75) + 1) + 1, 2))</f>
        <v/>
      </c>
      <c r="I75" s="486">
        <f>TRIM(H75)</f>
        <v/>
      </c>
    </row>
    <row r="76" ht="15" customHeight="1">
      <c r="A76" s="484" t="inlineStr">
        <is>
          <t>ITALY 24/14 - KSUTSUTSUK/026363602 CCH</t>
        </is>
      </c>
      <c r="B76" s="484">
        <f>+_xlfn.CONCAT(Tabella118[[#This Row],[Composizione]], " - ", Tabella118[[#This Row],[Fornitore]])</f>
        <v/>
      </c>
      <c r="C76" s="943" t="n">
        <v>1.58</v>
      </c>
      <c r="D76" s="484" t="inlineStr">
        <is>
          <t>Cartonificio Fiorentino</t>
        </is>
      </c>
      <c r="E76" s="484">
        <f>IFERROR(IF(H76="BC",Tabella118[[#This Row],[composizione concatenata]],IF(H76="C",Tabella118[[#This Row],[composizione concatenata]],VLOOKUP(I76,$K$2:$O$7,5,FALSE))),+Tabella118[[#This Row],[composizione concatenata]])</f>
        <v/>
      </c>
      <c r="F76" s="944">
        <f>+_xlfn.IFNA(VLOOKUP(Tabella118[[#This Row],[Composizione alternativa per digitale]],Tabella118[[composizione concatenata]:[Euro/Mq]],2,FALSE),VLOOKUP(H76,digitale[[ONDA]:[Fornitore]],3,FALSE))</f>
        <v/>
      </c>
      <c r="G76" s="484" t="n"/>
      <c r="H76" s="484">
        <f>IF(MID(A76, FIND("/", A76, FIND("/", A76) + 1) + 1, 2)="A","C",MID(A76, FIND("/", A76, FIND("/", A76) + 1) + 1, 2))</f>
        <v/>
      </c>
      <c r="I76" s="486">
        <f>TRIM(H76)</f>
        <v/>
      </c>
    </row>
    <row r="77" ht="15" customHeight="1">
      <c r="A77" s="491" t="inlineStr">
        <is>
          <t>KbF/22/e</t>
        </is>
      </c>
      <c r="B77" s="484">
        <f>+_xlfn.CONCAT(Tabella118[[#This Row],[Composizione]], " - ", Tabella118[[#This Row],[Fornitore]])</f>
        <v/>
      </c>
      <c r="C77" s="943" t="n">
        <v>0.267</v>
      </c>
      <c r="D77" s="484" t="inlineStr">
        <is>
          <t>Santerno</t>
        </is>
      </c>
      <c r="E77" s="484">
        <f>IFERROR(IF(H77="BC",Tabella118[[#This Row],[composizione concatenata]],IF(H77="C",Tabella118[[#This Row],[composizione concatenata]],VLOOKUP(I77,$K$2:$O$7,5,FALSE))),+Tabella118[[#This Row],[composizione concatenata]])</f>
        <v/>
      </c>
      <c r="F77" s="943">
        <f>+_xlfn.IFNA(VLOOKUP(Tabella118[[#This Row],[Composizione alternativa per digitale]],Tabella118[[composizione concatenata]:[Euro/Mq]],2,FALSE),VLOOKUP(H77,digitale[[ONDA]:[Fornitore]],3,FALSE))</f>
        <v/>
      </c>
      <c r="G77" s="484" t="n"/>
      <c r="H77" s="484">
        <f>IF(MID(A77, FIND("/", A77, FIND("/", A77) + 1) + 1, 2)="A","C",MID(A77, FIND("/", A77, FIND("/", A77) + 1) + 1, 2))</f>
        <v/>
      </c>
      <c r="I77" s="486">
        <f>TRIM(H77)</f>
        <v/>
      </c>
    </row>
    <row r="78" ht="15" customHeight="1">
      <c r="A78" s="491" t="inlineStr">
        <is>
          <t>KbF/22/e + ACC.</t>
        </is>
      </c>
      <c r="B78" s="484">
        <f>+_xlfn.CONCAT(Tabella118[[#This Row],[Composizione]], " - ", Tabella118[[#This Row],[Fornitore]])</f>
        <v/>
      </c>
      <c r="C78" s="943" t="n">
        <v>0.322</v>
      </c>
      <c r="D78" s="484" t="inlineStr">
        <is>
          <t>Santerno</t>
        </is>
      </c>
      <c r="E78" s="484">
        <f>IFERROR(IF(H78="BC",Tabella118[[#This Row],[composizione concatenata]],IF(H78="C",Tabella118[[#This Row],[composizione concatenata]],VLOOKUP(I78,$K$2:$O$7,5,FALSE))),+Tabella118[[#This Row],[composizione concatenata]])</f>
        <v/>
      </c>
      <c r="F78" s="943">
        <f>+_xlfn.IFNA(VLOOKUP(Tabella118[[#This Row],[Composizione alternativa per digitale]],Tabella118[[composizione concatenata]:[Euro/Mq]],2,FALSE),VLOOKUP(H78,digitale[[ONDA]:[Fornitore]],3,FALSE))</f>
        <v/>
      </c>
      <c r="G78" s="484" t="n"/>
      <c r="H78" s="484">
        <f>IF(MID(A78, FIND("/", A78, FIND("/", A78) + 1) + 1, 2)="A","C",MID(A78, FIND("/", A78, FIND("/", A78) + 1) + 1, 2))</f>
        <v/>
      </c>
      <c r="I78" s="486">
        <f>TRIM(H78)</f>
        <v/>
      </c>
    </row>
    <row r="79" ht="15" customHeight="1">
      <c r="A79" s="491" t="inlineStr">
        <is>
          <t>KbFFF/2222/Ee</t>
        </is>
      </c>
      <c r="B79" s="484">
        <f>+_xlfn.CONCAT(Tabella118[[#This Row],[Composizione]], " - ", Tabella118[[#This Row],[Fornitore]])</f>
        <v/>
      </c>
      <c r="C79" s="943" t="n">
        <v>0.462</v>
      </c>
      <c r="D79" s="484" t="inlineStr">
        <is>
          <t>Santerno</t>
        </is>
      </c>
      <c r="E79" s="484">
        <f>IFERROR(IF(H79="BC",Tabella118[[#This Row],[composizione concatenata]],IF(H79="C",Tabella118[[#This Row],[composizione concatenata]],VLOOKUP(I79,$K$2:$O$7,5,FALSE))),+Tabella118[[#This Row],[composizione concatenata]])</f>
        <v/>
      </c>
      <c r="F79" s="943">
        <f>+_xlfn.IFNA(VLOOKUP(Tabella118[[#This Row],[Composizione alternativa per digitale]],Tabella118[[composizione concatenata]:[Euro/Mq]],2,FALSE),VLOOKUP(H79,digitale[[ONDA]:[Fornitore]],3,FALSE))</f>
        <v/>
      </c>
      <c r="G79" s="484" t="n"/>
      <c r="H79" s="484">
        <f>IF(MID(A79, FIND("/", A79, FIND("/", A79) + 1) + 1, 2)="A","C",MID(A79, FIND("/", A79, FIND("/", A79) + 1) + 1, 2))</f>
        <v/>
      </c>
      <c r="I79" s="486">
        <f>TRIM(H79)</f>
        <v/>
      </c>
    </row>
    <row r="80" ht="15" customHeight="1">
      <c r="A80" s="491" t="inlineStr">
        <is>
          <t>KbFFF/2222/Ee + ACC.</t>
        </is>
      </c>
      <c r="B80" s="484">
        <f>+_xlfn.CONCAT(Tabella118[[#This Row],[Composizione]], " - ", Tabella118[[#This Row],[Fornitore]])</f>
        <v/>
      </c>
      <c r="C80" s="943" t="n">
        <v>0.527</v>
      </c>
      <c r="D80" s="484" t="inlineStr">
        <is>
          <t>Santerno</t>
        </is>
      </c>
      <c r="E80" s="484">
        <f>IFERROR(IF(H80="BC",Tabella118[[#This Row],[composizione concatenata]],IF(H80="C",Tabella118[[#This Row],[composizione concatenata]],VLOOKUP(I80,$K$2:$O$7,5,FALSE))),+Tabella118[[#This Row],[composizione concatenata]])</f>
        <v/>
      </c>
      <c r="F80" s="943">
        <f>+_xlfn.IFNA(VLOOKUP(Tabella118[[#This Row],[Composizione alternativa per digitale]],Tabella118[[composizione concatenata]:[Euro/Mq]],2,FALSE),VLOOKUP(H80,digitale[[ONDA]:[Fornitore]],3,FALSE))</f>
        <v/>
      </c>
      <c r="G80" s="484" t="n"/>
      <c r="H80" s="484">
        <f>IF(MID(A80, FIND("/", A80, FIND("/", A80) + 1) + 1, 2)="A","C",MID(A80, FIND("/", A80, FIND("/", A80) + 1) + 1, 2))</f>
        <v/>
      </c>
      <c r="I80" s="486">
        <f>TRIM(H80)</f>
        <v/>
      </c>
    </row>
    <row r="81" ht="15" customHeight="1">
      <c r="A81" s="490" t="inlineStr">
        <is>
          <t>KbFFFK/22222/EE</t>
        </is>
      </c>
      <c r="B81" s="484">
        <f>+_xlfn.CONCAT(Tabella118[[#This Row],[Composizione]], " - ", Tabella118[[#This Row],[Fornitore]])</f>
        <v/>
      </c>
      <c r="C81" s="943" t="n">
        <v>0.46</v>
      </c>
      <c r="D81" s="484" t="inlineStr">
        <is>
          <t>Italbox</t>
        </is>
      </c>
      <c r="E81" s="484">
        <f>IFERROR(IF(H81="BC",Tabella118[[#This Row],[composizione concatenata]],IF(H81="C",Tabella118[[#This Row],[composizione concatenata]],VLOOKUP(I81,$K$2:$O$7,5,FALSE))),+Tabella118[[#This Row],[composizione concatenata]])</f>
        <v/>
      </c>
      <c r="F81" s="944">
        <f>+_xlfn.IFNA(VLOOKUP(Tabella118[[#This Row],[Composizione alternativa per digitale]],Tabella118[[composizione concatenata]:[Euro/Mq]],2,FALSE),VLOOKUP(H81,digitale[[ONDA]:[Fornitore]],3,FALSE))</f>
        <v/>
      </c>
      <c r="G81" s="484" t="n"/>
      <c r="H81" s="484">
        <f>IF(MID(A81, FIND("/", A81, FIND("/", A81) + 1) + 1, 2)="A","C",MID(A81, FIND("/", A81, FIND("/", A81) + 1) + 1, 2))</f>
        <v/>
      </c>
      <c r="I81" s="486">
        <f>TRIM(H81)</f>
        <v/>
      </c>
    </row>
    <row r="82" ht="15" customHeight="1">
      <c r="A82" s="484" t="inlineStr">
        <is>
          <t>KbFFFK/22222/EE</t>
        </is>
      </c>
      <c r="B82" s="484">
        <f>+_xlfn.CONCAT(Tabella118[[#This Row],[Composizione]], " - ", Tabella118[[#This Row],[Fornitore]])</f>
        <v/>
      </c>
      <c r="C82" s="943" t="n">
        <v>0.444</v>
      </c>
      <c r="D82" s="484" t="inlineStr">
        <is>
          <t>Giusti</t>
        </is>
      </c>
      <c r="E82" s="484">
        <f>IFERROR(IF(H82="BC",Tabella118[[#This Row],[composizione concatenata]],IF(H82="C",Tabella118[[#This Row],[composizione concatenata]],VLOOKUP(I82,$K$2:$O$7,5,FALSE))),+Tabella118[[#This Row],[composizione concatenata]])</f>
        <v/>
      </c>
      <c r="F82" s="944">
        <f>+_xlfn.IFNA(VLOOKUP(Tabella118[[#This Row],[Composizione alternativa per digitale]],Tabella118[[composizione concatenata]:[Euro/Mq]],2,FALSE),VLOOKUP(H82,digitale[[ONDA]:[Fornitore]],3,FALSE))</f>
        <v/>
      </c>
      <c r="G82" s="484" t="n"/>
      <c r="H82" s="484">
        <f>IF(MID(A82, FIND("/", A82, FIND("/", A82) + 1) + 1, 2)="A","C",MID(A82, FIND("/", A82, FIND("/", A82) + 1) + 1, 2))</f>
        <v/>
      </c>
      <c r="I82" s="486">
        <f>TRIM(H82)</f>
        <v/>
      </c>
    </row>
    <row r="83" ht="15" customHeight="1">
      <c r="A83" s="484" t="inlineStr">
        <is>
          <t>KbFFFK/22222/EE</t>
        </is>
      </c>
      <c r="B83" s="484">
        <f>+_xlfn.CONCAT(Tabella118[[#This Row],[Composizione]], " - ", Tabella118[[#This Row],[Fornitore]])</f>
        <v/>
      </c>
      <c r="C83" s="943" t="n">
        <v>0.427</v>
      </c>
      <c r="D83" s="484" t="inlineStr">
        <is>
          <t>FEPA</t>
        </is>
      </c>
      <c r="E83" s="484">
        <f>IFERROR(IF(H83="BC",Tabella118[[#This Row],[composizione concatenata]],IF(H83="C",Tabella118[[#This Row],[composizione concatenata]],VLOOKUP(I83,$K$2:$O$7,5,FALSE))),+Tabella118[[#This Row],[composizione concatenata]])</f>
        <v/>
      </c>
      <c r="F83" s="944">
        <f>+_xlfn.IFNA(VLOOKUP(Tabella118[[#This Row],[Composizione alternativa per digitale]],Tabella118[[composizione concatenata]:[Euro/Mq]],2,FALSE),VLOOKUP(H83,digitale[[ONDA]:[Fornitore]],3,FALSE))</f>
        <v/>
      </c>
      <c r="G83" s="484" t="n"/>
      <c r="H83" s="484">
        <f>IF(MID(A83, FIND("/", A83, FIND("/", A83) + 1) + 1, 2)="A","C",MID(A83, FIND("/", A83, FIND("/", A83) + 1) + 1, 2))</f>
        <v/>
      </c>
      <c r="I83" s="486">
        <f>TRIM(H83)</f>
        <v/>
      </c>
    </row>
    <row r="84" ht="15" customHeight="1">
      <c r="A84" s="484" t="inlineStr">
        <is>
          <t>KbFFFT/22222/BC</t>
        </is>
      </c>
      <c r="B84" s="484">
        <f>+_xlfn.CONCAT(Tabella118[[#This Row],[Composizione]], " - ", Tabella118[[#This Row],[Fornitore]])</f>
        <v/>
      </c>
      <c r="C84" s="943" t="n">
        <v>0.455</v>
      </c>
      <c r="D84" s="484" t="inlineStr">
        <is>
          <t>Giusti</t>
        </is>
      </c>
      <c r="E84" s="484">
        <f>IFERROR(IF(H84="BC",Tabella118[[#This Row],[composizione concatenata]],IF(H84="C",Tabella118[[#This Row],[composizione concatenata]],VLOOKUP(I84,$K$2:$O$7,5,FALSE))),+Tabella118[[#This Row],[composizione concatenata]])</f>
        <v/>
      </c>
      <c r="F84" s="944">
        <f>+_xlfn.IFNA(VLOOKUP(Tabella118[[#This Row],[Composizione alternativa per digitale]],Tabella118[[composizione concatenata]:[Euro/Mq]],2,FALSE),VLOOKUP(H84,digitale[[ONDA]:[Fornitore]],3,FALSE))</f>
        <v/>
      </c>
      <c r="G84" s="484" t="n"/>
      <c r="H84" s="484">
        <f>IF(MID(A84, FIND("/", A84, FIND("/", A84) + 1) + 1, 2)="A","C",MID(A84, FIND("/", A84, FIND("/", A84) + 1) + 1, 2))</f>
        <v/>
      </c>
      <c r="I84" s="486">
        <f>TRIM(H84)</f>
        <v/>
      </c>
    </row>
    <row r="85" ht="15" customHeight="1">
      <c r="A85" s="484" t="inlineStr">
        <is>
          <t>KbFFFT/22222/EB</t>
        </is>
      </c>
      <c r="B85" s="484">
        <f>+_xlfn.CONCAT(Tabella118[[#This Row],[Composizione]], " - ", Tabella118[[#This Row],[Fornitore]])</f>
        <v/>
      </c>
      <c r="C85" s="943" t="n">
        <v>0.43</v>
      </c>
      <c r="D85" s="484" t="inlineStr">
        <is>
          <t xml:space="preserve">Ds Smith </t>
        </is>
      </c>
      <c r="E85" s="484">
        <f>IFERROR(IF(H85="BC",Tabella118[[#This Row],[composizione concatenata]],IF(H85="C",Tabella118[[#This Row],[composizione concatenata]],VLOOKUP(I85,$K$2:$O$7,5,FALSE))),+Tabella118[[#This Row],[composizione concatenata]])</f>
        <v/>
      </c>
      <c r="F85" s="943">
        <f>+_xlfn.IFNA(VLOOKUP(Tabella118[[#This Row],[Composizione alternativa per digitale]],Tabella118[[composizione concatenata]:[Euro/Mq]],2,FALSE),VLOOKUP(H85,digitale[[ONDA]:[Fornitore]],3,FALSE))</f>
        <v/>
      </c>
      <c r="G85" s="484" t="n"/>
      <c r="H85" s="484">
        <f>IF(MID(A85, FIND("/", A85, FIND("/", A85) + 1) + 1, 2)="A","C",MID(A85, FIND("/", A85, FIND("/", A85) + 1) + 1, 2))</f>
        <v/>
      </c>
      <c r="I85" s="486">
        <f>TRIM(H85)</f>
        <v/>
      </c>
    </row>
    <row r="86" ht="15" customHeight="1">
      <c r="A86" s="484" t="inlineStr">
        <is>
          <t>KbFFFT/22222/EB</t>
        </is>
      </c>
      <c r="B86" s="484">
        <f>+_xlfn.CONCAT(Tabella118[[#This Row],[Composizione]], " - ", Tabella118[[#This Row],[Fornitore]])</f>
        <v/>
      </c>
      <c r="C86" s="943" t="n">
        <v>0.421</v>
      </c>
      <c r="D86" s="484" t="inlineStr">
        <is>
          <t>Giusti</t>
        </is>
      </c>
      <c r="E86" s="484">
        <f>IFERROR(IF(H86="BC",Tabella118[[#This Row],[composizione concatenata]],IF(H86="C",Tabella118[[#This Row],[composizione concatenata]],VLOOKUP(I86,$K$2:$O$7,5,FALSE))),+Tabella118[[#This Row],[composizione concatenata]])</f>
        <v/>
      </c>
      <c r="F86" s="944">
        <f>+_xlfn.IFNA(VLOOKUP(Tabella118[[#This Row],[Composizione alternativa per digitale]],Tabella118[[composizione concatenata]:[Euro/Mq]],2,FALSE),VLOOKUP(H86,digitale[[ONDA]:[Fornitore]],3,FALSE))</f>
        <v/>
      </c>
      <c r="G86" s="484" t="n"/>
      <c r="H86" s="484">
        <f>IF(MID(A86, FIND("/", A86, FIND("/", A86) + 1) + 1, 2)="A","C",MID(A86, FIND("/", A86, FIND("/", A86) + 1) + 1, 2))</f>
        <v/>
      </c>
      <c r="I86" s="486">
        <f>TRIM(H86)</f>
        <v/>
      </c>
    </row>
    <row r="87" ht="15" customHeight="1">
      <c r="A87" s="484" t="inlineStr">
        <is>
          <t>KbFFFT/22222/EB</t>
        </is>
      </c>
      <c r="B87" s="484">
        <f>+_xlfn.CONCAT(Tabella118[[#This Row],[Composizione]], " - ", Tabella118[[#This Row],[Fornitore]])</f>
        <v/>
      </c>
      <c r="C87" s="943" t="n">
        <v>0.387</v>
      </c>
      <c r="D87" s="484" t="inlineStr">
        <is>
          <t>FEPA</t>
        </is>
      </c>
      <c r="E87" s="484">
        <f>IFERROR(IF(H87="BC",Tabella118[[#This Row],[composizione concatenata]],IF(H87="C",Tabella118[[#This Row],[composizione concatenata]],VLOOKUP(I87,$K$2:$O$7,5,FALSE))),+Tabella118[[#This Row],[composizione concatenata]])</f>
        <v/>
      </c>
      <c r="F87" s="944">
        <f>+_xlfn.IFNA(VLOOKUP(Tabella118[[#This Row],[Composizione alternativa per digitale]],Tabella118[[composizione concatenata]:[Euro/Mq]],2,FALSE),VLOOKUP(H87,digitale[[ONDA]:[Fornitore]],3,FALSE))</f>
        <v/>
      </c>
      <c r="G87" s="484" t="n"/>
      <c r="H87" s="484">
        <f>IF(MID(A87, FIND("/", A87, FIND("/", A87) + 1) + 1, 2)="A","C",MID(A87, FIND("/", A87, FIND("/", A87) + 1) + 1, 2))</f>
        <v/>
      </c>
      <c r="I87" s="486">
        <f>TRIM(H87)</f>
        <v/>
      </c>
    </row>
    <row r="88" ht="15" customHeight="1">
      <c r="A88" s="483" t="inlineStr">
        <is>
          <t>KbFFFT/22222/EB</t>
        </is>
      </c>
      <c r="B88" s="484">
        <f>+_xlfn.CONCAT(Tabella118[[#This Row],[Composizione]], " - ", Tabella118[[#This Row],[Fornitore]])</f>
        <v/>
      </c>
      <c r="C88" s="950" t="n">
        <v>0.375</v>
      </c>
      <c r="D88" s="484" t="inlineStr">
        <is>
          <t>Cartstrong</t>
        </is>
      </c>
      <c r="E88" s="484">
        <f>IFERROR(IF(H88="BC",Tabella118[[#This Row],[composizione concatenata]],IF(H88="C",Tabella118[[#This Row],[composizione concatenata]],VLOOKUP(I88,$K$2:$O$7,5,FALSE))),+Tabella118[[#This Row],[composizione concatenata]])</f>
        <v/>
      </c>
      <c r="F88" s="943">
        <f>+_xlfn.IFNA(VLOOKUP(Tabella118[[#This Row],[Composizione alternativa per digitale]],Tabella118[[composizione concatenata]:[Euro/Mq]],2,FALSE),VLOOKUP(H88,digitale[[ONDA]:[Fornitore]],3,FALSE))</f>
        <v/>
      </c>
      <c r="G88" s="484" t="n"/>
      <c r="H88" s="484">
        <f>IF(MID(A88, FIND("/", A88, FIND("/", A88) + 1) + 1, 2)="A","C",MID(A88, FIND("/", A88, FIND("/", A88) + 1) + 1, 2))</f>
        <v/>
      </c>
      <c r="I88" s="486">
        <f>TRIM(H88)</f>
        <v/>
      </c>
    </row>
    <row r="89" ht="15" customHeight="1">
      <c r="A89" s="490" t="inlineStr">
        <is>
          <t>KbFFFT/22222/EE</t>
        </is>
      </c>
      <c r="B89" s="484">
        <f>+_xlfn.CONCAT(Tabella118[[#This Row],[Composizione]], " - ", Tabella118[[#This Row],[Fornitore]])</f>
        <v/>
      </c>
      <c r="C89" s="943" t="n">
        <v>0.43</v>
      </c>
      <c r="D89" s="484" t="inlineStr">
        <is>
          <t>Italbox</t>
        </is>
      </c>
      <c r="E89" s="484">
        <f>IFERROR(IF(H89="BC",Tabella118[[#This Row],[composizione concatenata]],IF(H89="C",Tabella118[[#This Row],[composizione concatenata]],VLOOKUP(I89,$K$2:$O$7,5,FALSE))),+Tabella118[[#This Row],[composizione concatenata]])</f>
        <v/>
      </c>
      <c r="F89" s="944">
        <f>+_xlfn.IFNA(VLOOKUP(Tabella118[[#This Row],[Composizione alternativa per digitale]],Tabella118[[composizione concatenata]:[Euro/Mq]],2,FALSE),VLOOKUP(H89,digitale[[ONDA]:[Fornitore]],3,FALSE))</f>
        <v/>
      </c>
      <c r="G89" s="484" t="n"/>
      <c r="H89" s="484">
        <f>IF(MID(A89, FIND("/", A89, FIND("/", A89) + 1) + 1, 2)="A","C",MID(A89, FIND("/", A89, FIND("/", A89) + 1) + 1, 2))</f>
        <v/>
      </c>
      <c r="I89" s="486">
        <f>TRIM(H89)</f>
        <v/>
      </c>
    </row>
    <row r="90" ht="15" customHeight="1">
      <c r="A90" s="484" t="inlineStr">
        <is>
          <t>KbFFFT/22222/EE</t>
        </is>
      </c>
      <c r="B90" s="484">
        <f>+_xlfn.CONCAT(Tabella118[[#This Row],[Composizione]], " - ", Tabella118[[#This Row],[Fornitore]])</f>
        <v/>
      </c>
      <c r="C90" s="943" t="n">
        <v>0.417</v>
      </c>
      <c r="D90" s="484" t="inlineStr">
        <is>
          <t>Giusti</t>
        </is>
      </c>
      <c r="E90" s="484">
        <f>IFERROR(IF(H90="BC",Tabella118[[#This Row],[composizione concatenata]],IF(H90="C",Tabella118[[#This Row],[composizione concatenata]],VLOOKUP(I90,$K$2:$O$7,5,FALSE))),+Tabella118[[#This Row],[composizione concatenata]])</f>
        <v/>
      </c>
      <c r="F90" s="944">
        <f>+_xlfn.IFNA(VLOOKUP(Tabella118[[#This Row],[Composizione alternativa per digitale]],Tabella118[[composizione concatenata]:[Euro/Mq]],2,FALSE),VLOOKUP(H90,digitale[[ONDA]:[Fornitore]],3,FALSE))</f>
        <v/>
      </c>
      <c r="G90" s="484" t="n"/>
      <c r="H90" s="484">
        <f>IF(MID(A90, FIND("/", A90, FIND("/", A90) + 1) + 1, 2)="A","C",MID(A90, FIND("/", A90, FIND("/", A90) + 1) + 1, 2))</f>
        <v/>
      </c>
      <c r="I90" s="486">
        <f>TRIM(H90)</f>
        <v/>
      </c>
    </row>
    <row r="91" ht="15" customHeight="1">
      <c r="A91" s="484" t="inlineStr">
        <is>
          <t>KbFFFT/22222/EE</t>
        </is>
      </c>
      <c r="B91" s="484">
        <f>+_xlfn.CONCAT(Tabella118[[#This Row],[Composizione]], " - ", Tabella118[[#This Row],[Fornitore]])</f>
        <v/>
      </c>
      <c r="C91" s="943" t="n">
        <v>0.39</v>
      </c>
      <c r="D91" s="484" t="inlineStr">
        <is>
          <t>FEPA</t>
        </is>
      </c>
      <c r="E91" s="484">
        <f>IFERROR(IF(H91="BC",Tabella118[[#This Row],[composizione concatenata]],IF(H91="C",Tabella118[[#This Row],[composizione concatenata]],VLOOKUP(I91,$K$2:$O$7,5,FALSE))),+Tabella118[[#This Row],[composizione concatenata]])</f>
        <v/>
      </c>
      <c r="F91" s="944">
        <f>+_xlfn.IFNA(VLOOKUP(Tabella118[[#This Row],[Composizione alternativa per digitale]],Tabella118[[composizione concatenata]:[Euro/Mq]],2,FALSE),VLOOKUP(H91,digitale[[ONDA]:[Fornitore]],3,FALSE))</f>
        <v/>
      </c>
      <c r="G91" s="484" t="n"/>
      <c r="H91" s="484">
        <f>IF(MID(A91, FIND("/", A91, FIND("/", A91) + 1) + 1, 2)="A","C",MID(A91, FIND("/", A91, FIND("/", A91) + 1) + 1, 2))</f>
        <v/>
      </c>
      <c r="I91" s="486">
        <f>TRIM(H91)</f>
        <v/>
      </c>
    </row>
    <row r="92" ht="15" customHeight="1">
      <c r="A92" s="484" t="inlineStr">
        <is>
          <t>KbFFSUTb/22243/EB</t>
        </is>
      </c>
      <c r="B92" s="484">
        <f>+_xlfn.CONCAT(Tabella118[[#This Row],[Composizione]], " - ", Tabella118[[#This Row],[Fornitore]])</f>
        <v/>
      </c>
      <c r="C92" s="943" t="n">
        <v>0.441</v>
      </c>
      <c r="D92" s="484" t="inlineStr">
        <is>
          <t>FEPA</t>
        </is>
      </c>
      <c r="E92" s="484">
        <f>IFERROR(IF(H92="BC",Tabella118[[#This Row],[composizione concatenata]],IF(H92="C",Tabella118[[#This Row],[composizione concatenata]],VLOOKUP(I92,$K$2:$O$7,5,FALSE))),+Tabella118[[#This Row],[composizione concatenata]])</f>
        <v/>
      </c>
      <c r="F92" s="944">
        <f>+_xlfn.IFNA(VLOOKUP(Tabella118[[#This Row],[Composizione alternativa per digitale]],Tabella118[[composizione concatenata]:[Euro/Mq]],2,FALSE),VLOOKUP(H92,digitale[[ONDA]:[Fornitore]],3,FALSE))</f>
        <v/>
      </c>
      <c r="G92" s="484" t="n"/>
      <c r="H92" s="484">
        <f>IF(MID(A92, FIND("/", A92, FIND("/", A92) + 1) + 1, 2)="A","C",MID(A92, FIND("/", A92, FIND("/", A92) + 1) + 1, 2))</f>
        <v/>
      </c>
      <c r="I92" s="486">
        <f>TRIM(H92)</f>
        <v/>
      </c>
    </row>
    <row r="93" ht="15" customHeight="1">
      <c r="A93" s="484" t="inlineStr">
        <is>
          <t>KbFT/222/B</t>
        </is>
      </c>
      <c r="B93" s="484">
        <f>+_xlfn.CONCAT(Tabella118[[#This Row],[Composizione]], " - ", Tabella118[[#This Row],[Fornitore]])</f>
        <v/>
      </c>
      <c r="C93" s="943" t="n">
        <v>0.265</v>
      </c>
      <c r="D93" s="484" t="inlineStr">
        <is>
          <t>FEPA</t>
        </is>
      </c>
      <c r="E93" s="484">
        <f>IFERROR(IF(H93="BC",Tabella118[[#This Row],[composizione concatenata]],IF(H93="C",Tabella118[[#This Row],[composizione concatenata]],VLOOKUP(I93,$K$2:$O$7,5,FALSE))),+Tabella118[[#This Row],[composizione concatenata]])</f>
        <v/>
      </c>
      <c r="F93" s="944">
        <f>+_xlfn.IFNA(VLOOKUP(Tabella118[[#This Row],[Composizione alternativa per digitale]],Tabella118[[composizione concatenata]:[Euro/Mq]],2,FALSE),VLOOKUP(H93,digitale[[ONDA]:[Fornitore]],3,FALSE))</f>
        <v/>
      </c>
      <c r="G93" s="484" t="n"/>
      <c r="H93" s="484">
        <f>IF(MID(A93, FIND("/", A93, FIND("/", A93) + 1) + 1, 2)="A","C",MID(A93, FIND("/", A93, FIND("/", A93) + 1) + 1, 2))</f>
        <v/>
      </c>
      <c r="I93" s="486">
        <f>TRIM(H93)</f>
        <v/>
      </c>
    </row>
    <row r="94" ht="15" customHeight="1">
      <c r="A94" s="484" t="inlineStr">
        <is>
          <t>KbFT/222/E</t>
        </is>
      </c>
      <c r="B94" s="484">
        <f>+_xlfn.CONCAT(Tabella118[[#This Row],[Composizione]], " - ", Tabella118[[#This Row],[Fornitore]])</f>
        <v/>
      </c>
      <c r="C94" s="943" t="n">
        <v>0.31</v>
      </c>
      <c r="D94" s="484" t="inlineStr">
        <is>
          <t>Giusti</t>
        </is>
      </c>
      <c r="E94" s="484">
        <f>IFERROR(IF(H94="BC",Tabella118[[#This Row],[composizione concatenata]],IF(H94="C",Tabella118[[#This Row],[composizione concatenata]],VLOOKUP(I94,$K$2:$O$7,5,FALSE))),+Tabella118[[#This Row],[composizione concatenata]])</f>
        <v/>
      </c>
      <c r="F94" s="944">
        <f>+_xlfn.IFNA(VLOOKUP(Tabella118[[#This Row],[Composizione alternativa per digitale]],Tabella118[[composizione concatenata]:[Euro/Mq]],2,FALSE),VLOOKUP(H94,digitale[[ONDA]:[Fornitore]],3,FALSE))</f>
        <v/>
      </c>
      <c r="G94" s="484" t="n"/>
      <c r="H94" s="484">
        <f>IF(MID(A94, FIND("/", A94, FIND("/", A94) + 1) + 1, 2)="A","C",MID(A94, FIND("/", A94, FIND("/", A94) + 1) + 1, 2))</f>
        <v/>
      </c>
      <c r="I94" s="486">
        <f>TRIM(H94)</f>
        <v/>
      </c>
    </row>
    <row r="95" ht="15" customHeight="1">
      <c r="A95" s="484" t="inlineStr">
        <is>
          <t>KbFT/222/E</t>
        </is>
      </c>
      <c r="B95" s="484">
        <f>+_xlfn.CONCAT(Tabella118[[#This Row],[Composizione]], " - ", Tabella118[[#This Row],[Fornitore]])</f>
        <v/>
      </c>
      <c r="C95" s="943" t="n">
        <v>0.305</v>
      </c>
      <c r="D95" s="484" t="inlineStr">
        <is>
          <t xml:space="preserve">Ds Smith </t>
        </is>
      </c>
      <c r="E95" s="484">
        <f>IFERROR(IF(H95="BC",Tabella118[[#This Row],[composizione concatenata]],IF(H95="C",Tabella118[[#This Row],[composizione concatenata]],VLOOKUP(I95,$K$2:$O$7,5,FALSE))),+Tabella118[[#This Row],[composizione concatenata]])</f>
        <v/>
      </c>
      <c r="F95" s="943">
        <f>+_xlfn.IFNA(VLOOKUP(Tabella118[[#This Row],[Composizione alternativa per digitale]],Tabella118[[composizione concatenata]:[Euro/Mq]],2,FALSE),VLOOKUP(H95,digitale[[ONDA]:[Fornitore]],3,FALSE))</f>
        <v/>
      </c>
      <c r="G95" s="484" t="n"/>
      <c r="H95" s="484">
        <f>IF(MID(A95, FIND("/", A95, FIND("/", A95) + 1) + 1, 2)="A","C",MID(A95, FIND("/", A95, FIND("/", A95) + 1) + 1, 2))</f>
        <v/>
      </c>
      <c r="I95" s="486">
        <f>TRIM(H95)</f>
        <v/>
      </c>
    </row>
    <row r="96" ht="15" customHeight="1">
      <c r="A96" s="483" t="inlineStr">
        <is>
          <t>KbFT/222/E</t>
        </is>
      </c>
      <c r="B96" s="484">
        <f>+_xlfn.CONCAT(Tabella118[[#This Row],[Composizione]], " - ", Tabella118[[#This Row],[Fornitore]])</f>
        <v/>
      </c>
      <c r="C96" s="950" t="n">
        <v>0.26</v>
      </c>
      <c r="D96" s="484" t="inlineStr">
        <is>
          <t>Cartstrong</t>
        </is>
      </c>
      <c r="E96" s="484">
        <f>IFERROR(IF(H96="BC",Tabella118[[#This Row],[composizione concatenata]],IF(H96="C",Tabella118[[#This Row],[composizione concatenata]],VLOOKUP(I96,$K$2:$O$7,5,FALSE))),+Tabella118[[#This Row],[composizione concatenata]])</f>
        <v/>
      </c>
      <c r="F96" s="943">
        <f>+_xlfn.IFNA(VLOOKUP(Tabella118[[#This Row],[Composizione alternativa per digitale]],Tabella118[[composizione concatenata]:[Euro/Mq]],2,FALSE),VLOOKUP(H96,digitale[[ONDA]:[Fornitore]],3,FALSE))</f>
        <v/>
      </c>
      <c r="G96" s="484" t="n"/>
      <c r="H96" s="484">
        <f>IF(MID(A96, FIND("/", A96, FIND("/", A96) + 1) + 1, 2)="A","C",MID(A96, FIND("/", A96, FIND("/", A96) + 1) + 1, 2))</f>
        <v/>
      </c>
      <c r="I96" s="486">
        <f>TRIM(H96)</f>
        <v/>
      </c>
    </row>
    <row r="97" ht="15" customHeight="1">
      <c r="A97" s="491" t="inlineStr">
        <is>
          <t>KbKbKb/222/E</t>
        </is>
      </c>
      <c r="B97" s="484">
        <f>+_xlfn.CONCAT(Tabella118[[#This Row],[Composizione]], " - ", Tabella118[[#This Row],[Fornitore]])</f>
        <v/>
      </c>
      <c r="C97" s="943" t="n">
        <v>0.5</v>
      </c>
      <c r="D97" s="484" t="inlineStr">
        <is>
          <t>Santerno</t>
        </is>
      </c>
      <c r="E97" s="484">
        <f>IFERROR(IF(H97="BC",Tabella118[[#This Row],[composizione concatenata]],IF(H97="C",Tabella118[[#This Row],[composizione concatenata]],VLOOKUP(I97,$K$2:$O$7,5,FALSE))),+Tabella118[[#This Row],[composizione concatenata]])</f>
        <v/>
      </c>
      <c r="F97" s="943">
        <f>+_xlfn.IFNA(VLOOKUP(Tabella118[[#This Row],[Composizione alternativa per digitale]],Tabella118[[composizione concatenata]:[Euro/Mq]],2,FALSE),VLOOKUP(H97,digitale[[ONDA]:[Fornitore]],3,FALSE))</f>
        <v/>
      </c>
      <c r="G97" s="484" t="n"/>
      <c r="H97" s="484">
        <f>IF(MID(A97, FIND("/", A97, FIND("/", A97) + 1) + 1, 2)="A","C",MID(A97, FIND("/", A97, FIND("/", A97) + 1) + 1, 2))</f>
        <v/>
      </c>
      <c r="I97" s="486">
        <f>TRIM(H97)</f>
        <v/>
      </c>
    </row>
    <row r="98" ht="15" customHeight="1">
      <c r="A98" s="491" t="inlineStr">
        <is>
          <t>KbKbKb/222/E + ACC.</t>
        </is>
      </c>
      <c r="B98" s="484">
        <f>+_xlfn.CONCAT(Tabella118[[#This Row],[Composizione]], " - ", Tabella118[[#This Row],[Fornitore]])</f>
        <v/>
      </c>
      <c r="C98" s="943" t="n">
        <v>0.5600000000000001</v>
      </c>
      <c r="D98" s="484" t="inlineStr">
        <is>
          <t>Santerno</t>
        </is>
      </c>
      <c r="E98" s="484">
        <f>IFERROR(IF(H98="BC",Tabella118[[#This Row],[composizione concatenata]],IF(H98="C",Tabella118[[#This Row],[composizione concatenata]],VLOOKUP(I98,$K$2:$O$7,5,FALSE))),+Tabella118[[#This Row],[composizione concatenata]])</f>
        <v/>
      </c>
      <c r="F98" s="943">
        <f>+_xlfn.IFNA(VLOOKUP(Tabella118[[#This Row],[Composizione alternativa per digitale]],Tabella118[[composizione concatenata]:[Euro/Mq]],2,FALSE),VLOOKUP(H98,digitale[[ONDA]:[Fornitore]],3,FALSE))</f>
        <v/>
      </c>
      <c r="G98" s="484" t="n"/>
      <c r="H98" s="484">
        <f>IF(MID(A98, FIND("/", A98, FIND("/", A98) + 1) + 1, 2)="A","C",MID(A98, FIND("/", A98, FIND("/", A98) + 1) + 1, 2))</f>
        <v/>
      </c>
      <c r="I98" s="486">
        <f>TRIM(H98)</f>
        <v/>
      </c>
    </row>
    <row r="99" ht="15" customHeight="1">
      <c r="A99" s="491" t="inlineStr">
        <is>
          <t>KbM/24/b</t>
        </is>
      </c>
      <c r="B99" s="484">
        <f>+_xlfn.CONCAT(Tabella118[[#This Row],[Composizione]], " - ", Tabella118[[#This Row],[Fornitore]])</f>
        <v/>
      </c>
      <c r="C99" s="943" t="n">
        <v>0.286</v>
      </c>
      <c r="D99" s="484" t="inlineStr">
        <is>
          <t>Santerno</t>
        </is>
      </c>
      <c r="E99" s="484">
        <f>IFERROR(IF(H99="BC",Tabella118[[#This Row],[composizione concatenata]],IF(H99="C",Tabella118[[#This Row],[composizione concatenata]],VLOOKUP(I99,$K$2:$O$7,5,FALSE))),+Tabella118[[#This Row],[composizione concatenata]])</f>
        <v/>
      </c>
      <c r="F99" s="943">
        <f>+_xlfn.IFNA(VLOOKUP(Tabella118[[#This Row],[Composizione alternativa per digitale]],Tabella118[[composizione concatenata]:[Euro/Mq]],2,FALSE),VLOOKUP(H99,digitale[[ONDA]:[Fornitore]],3,FALSE))</f>
        <v/>
      </c>
      <c r="G99" s="484" t="n"/>
      <c r="H99" s="484">
        <f>IF(MID(A99, FIND("/", A99, FIND("/", A99) + 1) + 1, 2)="A","C",MID(A99, FIND("/", A99, FIND("/", A99) + 1) + 1, 2))</f>
        <v/>
      </c>
      <c r="I99" s="486">
        <f>TRIM(H99)</f>
        <v/>
      </c>
    </row>
    <row r="100" ht="15" customHeight="1">
      <c r="A100" s="490" t="inlineStr">
        <is>
          <t>KbM/24/b</t>
        </is>
      </c>
      <c r="B100" s="484">
        <f>+_xlfn.CONCAT(Tabella118[[#This Row],[Composizione]], " - ", Tabella118[[#This Row],[Fornitore]])</f>
        <v/>
      </c>
      <c r="C100" s="943" t="n">
        <v>0.245</v>
      </c>
      <c r="D100" s="484" t="inlineStr">
        <is>
          <t>Italbox</t>
        </is>
      </c>
      <c r="E100" s="484">
        <f>IFERROR(IF(H100="BC",Tabella118[[#This Row],[composizione concatenata]],IF(H100="C",Tabella118[[#This Row],[composizione concatenata]],VLOOKUP(I100,$K$2:$O$7,5,FALSE))),+Tabella118[[#This Row],[composizione concatenata]])</f>
        <v/>
      </c>
      <c r="F100" s="944">
        <f>+_xlfn.IFNA(VLOOKUP(Tabella118[[#This Row],[Composizione alternativa per digitale]],Tabella118[[composizione concatenata]:[Euro/Mq]],2,FALSE),VLOOKUP(H100,digitale[[ONDA]:[Fornitore]],3,FALSE))</f>
        <v/>
      </c>
      <c r="G100" s="484" t="n"/>
      <c r="H100" s="484">
        <f>IF(MID(A100, FIND("/", A100, FIND("/", A100) + 1) + 1, 2)="A","C",MID(A100, FIND("/", A100, FIND("/", A100) + 1) + 1, 2))</f>
        <v/>
      </c>
      <c r="I100" s="486">
        <f>TRIM(H100)</f>
        <v/>
      </c>
    </row>
    <row r="101" ht="15" customHeight="1">
      <c r="A101" s="491" t="inlineStr">
        <is>
          <t>KbM/24/b + ACC.</t>
        </is>
      </c>
      <c r="B101" s="484">
        <f>+_xlfn.CONCAT(Tabella118[[#This Row],[Composizione]], " - ", Tabella118[[#This Row],[Fornitore]])</f>
        <v/>
      </c>
      <c r="C101" s="943" t="n">
        <v>0.341</v>
      </c>
      <c r="D101" s="484" t="inlineStr">
        <is>
          <t>Santerno</t>
        </is>
      </c>
      <c r="E101" s="484">
        <f>IFERROR(IF(H101="BC",Tabella118[[#This Row],[composizione concatenata]],IF(H101="C",Tabella118[[#This Row],[composizione concatenata]],VLOOKUP(I101,$K$2:$O$7,5,FALSE))),+Tabella118[[#This Row],[composizione concatenata]])</f>
        <v/>
      </c>
      <c r="F101" s="943">
        <f>+_xlfn.IFNA(VLOOKUP(Tabella118[[#This Row],[Composizione alternativa per digitale]],Tabella118[[composizione concatenata]:[Euro/Mq]],2,FALSE),VLOOKUP(H101,digitale[[ONDA]:[Fornitore]],3,FALSE))</f>
        <v/>
      </c>
      <c r="G101" s="484" t="n"/>
      <c r="H101" s="484">
        <f>IF(MID(A101, FIND("/", A101, FIND("/", A101) + 1) + 1, 2)="A","C",MID(A101, FIND("/", A101, FIND("/", A101) + 1) + 1, 2))</f>
        <v/>
      </c>
      <c r="I101" s="486">
        <f>TRIM(H101)</f>
        <v/>
      </c>
    </row>
    <row r="102" ht="15" customHeight="1">
      <c r="A102" s="491" t="inlineStr">
        <is>
          <t>KbM/24/e</t>
        </is>
      </c>
      <c r="B102" s="484">
        <f>+_xlfn.CONCAT(Tabella118[[#This Row],[Composizione]], " - ", Tabella118[[#This Row],[Fornitore]])</f>
        <v/>
      </c>
      <c r="C102" s="943" t="n">
        <v>0.272</v>
      </c>
      <c r="D102" s="484" t="inlineStr">
        <is>
          <t>Santerno</t>
        </is>
      </c>
      <c r="E102" s="484">
        <f>IFERROR(IF(H102="BC",Tabella118[[#This Row],[composizione concatenata]],IF(H102="C",Tabella118[[#This Row],[composizione concatenata]],VLOOKUP(I102,$K$2:$O$7,5,FALSE))),+Tabella118[[#This Row],[composizione concatenata]])</f>
        <v/>
      </c>
      <c r="F102" s="943">
        <f>+_xlfn.IFNA(VLOOKUP(Tabella118[[#This Row],[Composizione alternativa per digitale]],Tabella118[[composizione concatenata]:[Euro/Mq]],2,FALSE),VLOOKUP(H102,digitale[[ONDA]:[Fornitore]],3,FALSE))</f>
        <v/>
      </c>
      <c r="G102" s="484" t="n"/>
      <c r="H102" s="484">
        <f>IF(MID(A102, FIND("/", A102, FIND("/", A102) + 1) + 1, 2)="A","C",MID(A102, FIND("/", A102, FIND("/", A102) + 1) + 1, 2))</f>
        <v/>
      </c>
      <c r="I102" s="486">
        <f>TRIM(H102)</f>
        <v/>
      </c>
    </row>
    <row r="103" ht="15" customHeight="1">
      <c r="A103" s="490" t="inlineStr">
        <is>
          <t>KbM/24/e</t>
        </is>
      </c>
      <c r="B103" s="484">
        <f>+_xlfn.CONCAT(Tabella118[[#This Row],[Composizione]], " - ", Tabella118[[#This Row],[Fornitore]])</f>
        <v/>
      </c>
      <c r="C103" s="943" t="n">
        <v>0.235</v>
      </c>
      <c r="D103" s="484" t="inlineStr">
        <is>
          <t>Italbox</t>
        </is>
      </c>
      <c r="E103" s="484">
        <f>IFERROR(IF(H103="BC",Tabella118[[#This Row],[composizione concatenata]],IF(H103="C",Tabella118[[#This Row],[composizione concatenata]],VLOOKUP(I103,$K$2:$O$7,5,FALSE))),+Tabella118[[#This Row],[composizione concatenata]])</f>
        <v/>
      </c>
      <c r="F103" s="944">
        <f>+_xlfn.IFNA(VLOOKUP(Tabella118[[#This Row],[Composizione alternativa per digitale]],Tabella118[[composizione concatenata]:[Euro/Mq]],2,FALSE),VLOOKUP(H103,digitale[[ONDA]:[Fornitore]],3,FALSE))</f>
        <v/>
      </c>
      <c r="G103" s="484" t="n"/>
      <c r="H103" s="484">
        <f>IF(MID(A103, FIND("/", A103, FIND("/", A103) + 1) + 1, 2)="A","C",MID(A103, FIND("/", A103, FIND("/", A103) + 1) + 1, 2))</f>
        <v/>
      </c>
      <c r="I103" s="486">
        <f>TRIM(H103)</f>
        <v/>
      </c>
    </row>
    <row r="104" ht="15" customHeight="1">
      <c r="A104" s="491" t="inlineStr">
        <is>
          <t>KbM/24/e + ACC.</t>
        </is>
      </c>
      <c r="B104" s="484">
        <f>+_xlfn.CONCAT(Tabella118[[#This Row],[Composizione]], " - ", Tabella118[[#This Row],[Fornitore]])</f>
        <v/>
      </c>
      <c r="C104" s="943" t="n">
        <v>0.327</v>
      </c>
      <c r="D104" s="484" t="inlineStr">
        <is>
          <t>Santerno</t>
        </is>
      </c>
      <c r="E104" s="484">
        <f>IFERROR(IF(H104="BC",Tabella118[[#This Row],[composizione concatenata]],IF(H104="C",Tabella118[[#This Row],[composizione concatenata]],VLOOKUP(I104,$K$2:$O$7,5,FALSE))),+Tabella118[[#This Row],[composizione concatenata]])</f>
        <v/>
      </c>
      <c r="F104" s="943">
        <f>+_xlfn.IFNA(VLOOKUP(Tabella118[[#This Row],[Composizione alternativa per digitale]],Tabella118[[composizione concatenata]:[Euro/Mq]],2,FALSE),VLOOKUP(H104,digitale[[ONDA]:[Fornitore]],3,FALSE))</f>
        <v/>
      </c>
      <c r="G104" s="484" t="n"/>
      <c r="H104" s="484">
        <f>IF(MID(A104, FIND("/", A104, FIND("/", A104) + 1) + 1, 2)="A","C",MID(A104, FIND("/", A104, FIND("/", A104) + 1) + 1, 2))</f>
        <v/>
      </c>
      <c r="I104" s="486">
        <f>TRIM(H104)</f>
        <v/>
      </c>
    </row>
    <row r="105" ht="15" customHeight="1">
      <c r="A105" s="491" t="inlineStr">
        <is>
          <t>KbM/24/f</t>
        </is>
      </c>
      <c r="B105" s="484">
        <f>+_xlfn.CONCAT(Tabella118[[#This Row],[Composizione]], " - ", Tabella118[[#This Row],[Fornitore]])</f>
        <v/>
      </c>
      <c r="C105" s="943" t="n">
        <v>0.286</v>
      </c>
      <c r="D105" s="484" t="inlineStr">
        <is>
          <t>Santerno</t>
        </is>
      </c>
      <c r="E105" s="484">
        <f>IFERROR(IF(H105="BC",Tabella118[[#This Row],[composizione concatenata]],IF(H105="C",Tabella118[[#This Row],[composizione concatenata]],VLOOKUP(I105,$K$2:$O$7,5,FALSE))),+Tabella118[[#This Row],[composizione concatenata]])</f>
        <v/>
      </c>
      <c r="F105" s="943">
        <f>+_xlfn.IFNA(VLOOKUP(Tabella118[[#This Row],[Composizione alternativa per digitale]],Tabella118[[composizione concatenata]:[Euro/Mq]],2,FALSE),VLOOKUP(H105,digitale[[ONDA]:[Fornitore]],3,FALSE))</f>
        <v/>
      </c>
      <c r="G105" s="484" t="n"/>
      <c r="H105" s="484">
        <f>IF(MID(A105, FIND("/", A105, FIND("/", A105) + 1) + 1, 2)="A","C",MID(A105, FIND("/", A105, FIND("/", A105) + 1) + 1, 2))</f>
        <v/>
      </c>
      <c r="I105" s="486">
        <f>TRIM(H105)</f>
        <v/>
      </c>
    </row>
    <row r="106" ht="15" customHeight="1">
      <c r="A106" s="491" t="inlineStr">
        <is>
          <t>KbM/24/f + ACC.</t>
        </is>
      </c>
      <c r="B106" s="484">
        <f>+_xlfn.CONCAT(Tabella118[[#This Row],[Composizione]], " - ", Tabella118[[#This Row],[Fornitore]])</f>
        <v/>
      </c>
      <c r="C106" s="943" t="n">
        <v>0.341</v>
      </c>
      <c r="D106" s="484" t="inlineStr">
        <is>
          <t>Santerno</t>
        </is>
      </c>
      <c r="E106" s="484">
        <f>IFERROR(IF(H106="BC",Tabella118[[#This Row],[composizione concatenata]],IF(H106="C",Tabella118[[#This Row],[composizione concatenata]],VLOOKUP(I106,$K$2:$O$7,5,FALSE))),+Tabella118[[#This Row],[composizione concatenata]])</f>
        <v/>
      </c>
      <c r="F106" s="943">
        <f>+_xlfn.IFNA(VLOOKUP(Tabella118[[#This Row],[Composizione alternativa per digitale]],Tabella118[[composizione concatenata]:[Euro/Mq]],2,FALSE),VLOOKUP(H106,digitale[[ONDA]:[Fornitore]],3,FALSE))</f>
        <v/>
      </c>
      <c r="G106" s="484" t="n"/>
      <c r="H106" s="484">
        <f>IF(MID(A106, FIND("/", A106, FIND("/", A106) + 1) + 1, 2)="A","C",MID(A106, FIND("/", A106, FIND("/", A106) + 1) + 1, 2))</f>
        <v/>
      </c>
      <c r="I106" s="486">
        <f>TRIM(H106)</f>
        <v/>
      </c>
    </row>
    <row r="107" ht="15" customHeight="1">
      <c r="A107" s="491" t="inlineStr">
        <is>
          <t>KbM/26/b</t>
        </is>
      </c>
      <c r="B107" s="484">
        <f>+_xlfn.CONCAT(Tabella118[[#This Row],[Composizione]], " - ", Tabella118[[#This Row],[Fornitore]])</f>
        <v/>
      </c>
      <c r="C107" s="943" t="n">
        <v>0.298</v>
      </c>
      <c r="D107" s="484" t="inlineStr">
        <is>
          <t>Santerno</t>
        </is>
      </c>
      <c r="E107" s="484">
        <f>IFERROR(IF(H107="BC",Tabella118[[#This Row],[composizione concatenata]],IF(H107="C",Tabella118[[#This Row],[composizione concatenata]],VLOOKUP(I107,$K$2:$O$7,5,FALSE))),+Tabella118[[#This Row],[composizione concatenata]])</f>
        <v/>
      </c>
      <c r="F107" s="943">
        <f>+_xlfn.IFNA(VLOOKUP(Tabella118[[#This Row],[Composizione alternativa per digitale]],Tabella118[[composizione concatenata]:[Euro/Mq]],2,FALSE),VLOOKUP(H107,digitale[[ONDA]:[Fornitore]],3,FALSE))</f>
        <v/>
      </c>
      <c r="G107" s="484" t="n"/>
      <c r="H107" s="484">
        <f>IF(MID(A107, FIND("/", A107, FIND("/", A107) + 1) + 1, 2)="A","C",MID(A107, FIND("/", A107, FIND("/", A107) + 1) + 1, 2))</f>
        <v/>
      </c>
      <c r="I107" s="486">
        <f>TRIM(H107)</f>
        <v/>
      </c>
    </row>
    <row r="108" ht="15" customHeight="1">
      <c r="A108" s="491" t="inlineStr">
        <is>
          <t>KbM/26/b + ACC.</t>
        </is>
      </c>
      <c r="B108" s="484">
        <f>+_xlfn.CONCAT(Tabella118[[#This Row],[Composizione]], " - ", Tabella118[[#This Row],[Fornitore]])</f>
        <v/>
      </c>
      <c r="C108" s="943" t="n">
        <v>0.353</v>
      </c>
      <c r="D108" s="484" t="inlineStr">
        <is>
          <t>Santerno</t>
        </is>
      </c>
      <c r="E108" s="484">
        <f>IFERROR(IF(H108="BC",Tabella118[[#This Row],[composizione concatenata]],IF(H108="C",Tabella118[[#This Row],[composizione concatenata]],VLOOKUP(I108,$K$2:$O$7,5,FALSE))),+Tabella118[[#This Row],[composizione concatenata]])</f>
        <v/>
      </c>
      <c r="F108" s="943">
        <f>+_xlfn.IFNA(VLOOKUP(Tabella118[[#This Row],[Composizione alternativa per digitale]],Tabella118[[composizione concatenata]:[Euro/Mq]],2,FALSE),VLOOKUP(H108,digitale[[ONDA]:[Fornitore]],3,FALSE))</f>
        <v/>
      </c>
      <c r="G108" s="484" t="n"/>
      <c r="H108" s="484">
        <f>IF(MID(A108, FIND("/", A108, FIND("/", A108) + 1) + 1, 2)="A","C",MID(A108, FIND("/", A108, FIND("/", A108) + 1) + 1, 2))</f>
        <v/>
      </c>
      <c r="I108" s="486">
        <f>TRIM(H108)</f>
        <v/>
      </c>
    </row>
    <row r="109" ht="15" customHeight="1">
      <c r="A109" s="491" t="inlineStr">
        <is>
          <t>KbM/26/e</t>
        </is>
      </c>
      <c r="B109" s="484">
        <f>+_xlfn.CONCAT(Tabella118[[#This Row],[Composizione]], " - ", Tabella118[[#This Row],[Fornitore]])</f>
        <v/>
      </c>
      <c r="C109" s="943" t="n">
        <v>0.283</v>
      </c>
      <c r="D109" s="484" t="inlineStr">
        <is>
          <t>Santerno</t>
        </is>
      </c>
      <c r="E109" s="484">
        <f>IFERROR(IF(H109="BC",Tabella118[[#This Row],[composizione concatenata]],IF(H109="C",Tabella118[[#This Row],[composizione concatenata]],VLOOKUP(I109,$K$2:$O$7,5,FALSE))),+Tabella118[[#This Row],[composizione concatenata]])</f>
        <v/>
      </c>
      <c r="F109" s="943">
        <f>+_xlfn.IFNA(VLOOKUP(Tabella118[[#This Row],[Composizione alternativa per digitale]],Tabella118[[composizione concatenata]:[Euro/Mq]],2,FALSE),VLOOKUP(H109,digitale[[ONDA]:[Fornitore]],3,FALSE))</f>
        <v/>
      </c>
      <c r="G109" s="484" t="n"/>
      <c r="H109" s="484">
        <f>IF(MID(A109, FIND("/", A109, FIND("/", A109) + 1) + 1, 2)="A","C",MID(A109, FIND("/", A109, FIND("/", A109) + 1) + 1, 2))</f>
        <v/>
      </c>
      <c r="I109" s="486">
        <f>TRIM(H109)</f>
        <v/>
      </c>
    </row>
    <row r="110" ht="15" customHeight="1">
      <c r="A110" s="491" t="inlineStr">
        <is>
          <t>KbM/26/e + ACC.</t>
        </is>
      </c>
      <c r="B110" s="484">
        <f>+_xlfn.CONCAT(Tabella118[[#This Row],[Composizione]], " - ", Tabella118[[#This Row],[Fornitore]])</f>
        <v/>
      </c>
      <c r="C110" s="943" t="n">
        <v>0.338</v>
      </c>
      <c r="D110" s="484" t="inlineStr">
        <is>
          <t>Santerno</t>
        </is>
      </c>
      <c r="E110" s="484">
        <f>IFERROR(IF(H110="BC",Tabella118[[#This Row],[composizione concatenata]],IF(H110="C",Tabella118[[#This Row],[composizione concatenata]],VLOOKUP(I110,$K$2:$O$7,5,FALSE))),+Tabella118[[#This Row],[composizione concatenata]])</f>
        <v/>
      </c>
      <c r="F110" s="943">
        <f>+_xlfn.IFNA(VLOOKUP(Tabella118[[#This Row],[Composizione alternativa per digitale]],Tabella118[[composizione concatenata]:[Euro/Mq]],2,FALSE),VLOOKUP(H110,digitale[[ONDA]:[Fornitore]],3,FALSE))</f>
        <v/>
      </c>
      <c r="G110" s="484" t="n"/>
      <c r="H110" s="484">
        <f>IF(MID(A110, FIND("/", A110, FIND("/", A110) + 1) + 1, 2)="A","C",MID(A110, FIND("/", A110, FIND("/", A110) + 1) + 1, 2))</f>
        <v/>
      </c>
      <c r="I110" s="486">
        <f>TRIM(H110)</f>
        <v/>
      </c>
    </row>
    <row r="111" ht="15" customHeight="1">
      <c r="A111" s="491" t="inlineStr">
        <is>
          <t>KbMFM/2424/Be</t>
        </is>
      </c>
      <c r="B111" s="484">
        <f>+_xlfn.CONCAT(Tabella118[[#This Row],[Composizione]], " - ", Tabella118[[#This Row],[Fornitore]])</f>
        <v/>
      </c>
      <c r="C111" s="943" t="n">
        <v>0.466</v>
      </c>
      <c r="D111" s="484" t="inlineStr">
        <is>
          <t>Santerno</t>
        </is>
      </c>
      <c r="E111" s="484">
        <f>IFERROR(IF(H111="BC",Tabella118[[#This Row],[composizione concatenata]],IF(H111="C",Tabella118[[#This Row],[composizione concatenata]],VLOOKUP(I111,$K$2:$O$7,5,FALSE))),+Tabella118[[#This Row],[composizione concatenata]])</f>
        <v/>
      </c>
      <c r="F111" s="943">
        <f>+_xlfn.IFNA(VLOOKUP(Tabella118[[#This Row],[Composizione alternativa per digitale]],Tabella118[[composizione concatenata]:[Euro/Mq]],2,FALSE),VLOOKUP(H111,digitale[[ONDA]:[Fornitore]],3,FALSE))</f>
        <v/>
      </c>
      <c r="G111" s="484" t="n"/>
      <c r="H111" s="484">
        <f>IF(MID(A111, FIND("/", A111, FIND("/", A111) + 1) + 1, 2)="A","C",MID(A111, FIND("/", A111, FIND("/", A111) + 1) + 1, 2))</f>
        <v/>
      </c>
      <c r="I111" s="486">
        <f>TRIM(H111)</f>
        <v/>
      </c>
    </row>
    <row r="112" ht="15" customHeight="1">
      <c r="A112" s="491" t="inlineStr">
        <is>
          <t>KbMFM/2424/Be + ACC.</t>
        </is>
      </c>
      <c r="B112" s="484">
        <f>+_xlfn.CONCAT(Tabella118[[#This Row],[Composizione]], " - ", Tabella118[[#This Row],[Fornitore]])</f>
        <v/>
      </c>
      <c r="C112" s="943" t="n">
        <v>0.531</v>
      </c>
      <c r="D112" s="484" t="inlineStr">
        <is>
          <t>Santerno</t>
        </is>
      </c>
      <c r="E112" s="484">
        <f>IFERROR(IF(H112="BC",Tabella118[[#This Row],[composizione concatenata]],IF(H112="C",Tabella118[[#This Row],[composizione concatenata]],VLOOKUP(I112,$K$2:$O$7,5,FALSE))),+Tabella118[[#This Row],[composizione concatenata]])</f>
        <v/>
      </c>
      <c r="F112" s="943">
        <f>+_xlfn.IFNA(VLOOKUP(Tabella118[[#This Row],[Composizione alternativa per digitale]],Tabella118[[composizione concatenata]:[Euro/Mq]],2,FALSE),VLOOKUP(H112,digitale[[ONDA]:[Fornitore]],3,FALSE))</f>
        <v/>
      </c>
      <c r="G112" s="484" t="n"/>
      <c r="H112" s="484">
        <f>IF(MID(A112, FIND("/", A112, FIND("/", A112) + 1) + 1, 2)="A","C",MID(A112, FIND("/", A112, FIND("/", A112) + 1) + 1, 2))</f>
        <v/>
      </c>
      <c r="I112" s="486">
        <f>TRIM(H112)</f>
        <v/>
      </c>
    </row>
    <row r="113" ht="15" customHeight="1">
      <c r="A113" s="491" t="inlineStr">
        <is>
          <t>KbMFM/2626/Be</t>
        </is>
      </c>
      <c r="B113" s="484">
        <f>+_xlfn.CONCAT(Tabella118[[#This Row],[Composizione]], " - ", Tabella118[[#This Row],[Fornitore]])</f>
        <v/>
      </c>
      <c r="C113" s="943" t="n">
        <v>0.49</v>
      </c>
      <c r="D113" s="484" t="inlineStr">
        <is>
          <t>Santerno</t>
        </is>
      </c>
      <c r="E113" s="484">
        <f>IFERROR(IF(H113="BC",Tabella118[[#This Row],[composizione concatenata]],IF(H113="C",Tabella118[[#This Row],[composizione concatenata]],VLOOKUP(I113,$K$2:$O$7,5,FALSE))),+Tabella118[[#This Row],[composizione concatenata]])</f>
        <v/>
      </c>
      <c r="F113" s="943">
        <f>+_xlfn.IFNA(VLOOKUP(Tabella118[[#This Row],[Composizione alternativa per digitale]],Tabella118[[composizione concatenata]:[Euro/Mq]],2,FALSE),VLOOKUP(H113,digitale[[ONDA]:[Fornitore]],3,FALSE))</f>
        <v/>
      </c>
      <c r="G113" s="484" t="n"/>
      <c r="H113" s="484">
        <f>IF(MID(A113, FIND("/", A113, FIND("/", A113) + 1) + 1, 2)="A","C",MID(A113, FIND("/", A113, FIND("/", A113) + 1) + 1, 2))</f>
        <v/>
      </c>
      <c r="I113" s="486">
        <f>TRIM(H113)</f>
        <v/>
      </c>
    </row>
    <row r="114" ht="15" customHeight="1">
      <c r="A114" s="491" t="inlineStr">
        <is>
          <t>KbMFM/2626/Be + ACC.</t>
        </is>
      </c>
      <c r="B114" s="484">
        <f>+_xlfn.CONCAT(Tabella118[[#This Row],[Composizione]], " - ", Tabella118[[#This Row],[Fornitore]])</f>
        <v/>
      </c>
      <c r="C114" s="943" t="n">
        <v>0.5549999999999999</v>
      </c>
      <c r="D114" s="484" t="inlineStr">
        <is>
          <t>Santerno</t>
        </is>
      </c>
      <c r="E114" s="484">
        <f>IFERROR(IF(H114="BC",Tabella118[[#This Row],[composizione concatenata]],IF(H114="C",Tabella118[[#This Row],[composizione concatenata]],VLOOKUP(I114,$K$2:$O$7,5,FALSE))),+Tabella118[[#This Row],[composizione concatenata]])</f>
        <v/>
      </c>
      <c r="F114" s="943">
        <f>+_xlfn.IFNA(VLOOKUP(Tabella118[[#This Row],[Composizione alternativa per digitale]],Tabella118[[composizione concatenata]:[Euro/Mq]],2,FALSE),VLOOKUP(H114,digitale[[ONDA]:[Fornitore]],3,FALSE))</f>
        <v/>
      </c>
      <c r="G114" s="484" t="n"/>
      <c r="H114" s="484">
        <f>IF(MID(A114, FIND("/", A114, FIND("/", A114) + 1) + 1, 2)="A","C",MID(A114, FIND("/", A114, FIND("/", A114) + 1) + 1, 2))</f>
        <v/>
      </c>
      <c r="I114" s="486">
        <f>TRIM(H114)</f>
        <v/>
      </c>
    </row>
    <row r="115" ht="15" customHeight="1">
      <c r="A115" s="491" t="inlineStr">
        <is>
          <t>KbMFM/2626/Ee</t>
        </is>
      </c>
      <c r="B115" s="484">
        <f>+_xlfn.CONCAT(Tabella118[[#This Row],[Composizione]], " - ", Tabella118[[#This Row],[Fornitore]])</f>
        <v/>
      </c>
      <c r="C115" s="943" t="n">
        <v>0.494</v>
      </c>
      <c r="D115" s="484" t="inlineStr">
        <is>
          <t>Santerno</t>
        </is>
      </c>
      <c r="E115" s="484">
        <f>IFERROR(IF(H115="BC",Tabella118[[#This Row],[composizione concatenata]],IF(H115="C",Tabella118[[#This Row],[composizione concatenata]],VLOOKUP(I115,$K$2:$O$7,5,FALSE))),+Tabella118[[#This Row],[composizione concatenata]])</f>
        <v/>
      </c>
      <c r="F115" s="943">
        <f>+_xlfn.IFNA(VLOOKUP(Tabella118[[#This Row],[Composizione alternativa per digitale]],Tabella118[[composizione concatenata]:[Euro/Mq]],2,FALSE),VLOOKUP(H115,digitale[[ONDA]:[Fornitore]],3,FALSE))</f>
        <v/>
      </c>
      <c r="G115" s="484" t="n"/>
      <c r="H115" s="484">
        <f>IF(MID(A115, FIND("/", A115, FIND("/", A115) + 1) + 1, 2)="A","C",MID(A115, FIND("/", A115, FIND("/", A115) + 1) + 1, 2))</f>
        <v/>
      </c>
      <c r="I115" s="486">
        <f>TRIM(H115)</f>
        <v/>
      </c>
    </row>
    <row r="116" ht="15" customHeight="1">
      <c r="A116" s="491" t="inlineStr">
        <is>
          <t>KbMFM/2626/Ee + ACC.</t>
        </is>
      </c>
      <c r="B116" s="484">
        <f>+_xlfn.CONCAT(Tabella118[[#This Row],[Composizione]], " - ", Tabella118[[#This Row],[Fornitore]])</f>
        <v/>
      </c>
      <c r="C116" s="943" t="n">
        <v>0.5589999999999999</v>
      </c>
      <c r="D116" s="484" t="inlineStr">
        <is>
          <t>Santerno</t>
        </is>
      </c>
      <c r="E116" s="484">
        <f>IFERROR(IF(H116="BC",Tabella118[[#This Row],[composizione concatenata]],IF(H116="C",Tabella118[[#This Row],[composizione concatenata]],VLOOKUP(I116,$K$2:$O$7,5,FALSE))),+Tabella118[[#This Row],[composizione concatenata]])</f>
        <v/>
      </c>
      <c r="F116" s="943">
        <f>+_xlfn.IFNA(VLOOKUP(Tabella118[[#This Row],[Composizione alternativa per digitale]],Tabella118[[composizione concatenata]:[Euro/Mq]],2,FALSE),VLOOKUP(H116,digitale[[ONDA]:[Fornitore]],3,FALSE))</f>
        <v/>
      </c>
      <c r="G116" s="484" t="n"/>
      <c r="H116" s="484">
        <f>IF(MID(A116, FIND("/", A116, FIND("/", A116) + 1) + 1, 2)="A","C",MID(A116, FIND("/", A116, FIND("/", A116) + 1) + 1, 2))</f>
        <v/>
      </c>
      <c r="I116" s="486">
        <f>TRIM(H116)</f>
        <v/>
      </c>
    </row>
    <row r="117" ht="15" customHeight="1">
      <c r="A117" s="491" t="inlineStr">
        <is>
          <t>KbMFM/2626/Ef</t>
        </is>
      </c>
      <c r="B117" s="484">
        <f>+_xlfn.CONCAT(Tabella118[[#This Row],[Composizione]], " - ", Tabella118[[#This Row],[Fornitore]])</f>
        <v/>
      </c>
      <c r="C117" s="943" t="n">
        <v>0.5800000000000001</v>
      </c>
      <c r="D117" s="484" t="inlineStr">
        <is>
          <t>Santerno</t>
        </is>
      </c>
      <c r="E117" s="484">
        <f>IFERROR(IF(H117="BC",Tabella118[[#This Row],[composizione concatenata]],IF(H117="C",Tabella118[[#This Row],[composizione concatenata]],VLOOKUP(I117,$K$2:$O$7,5,FALSE))),+Tabella118[[#This Row],[composizione concatenata]])</f>
        <v/>
      </c>
      <c r="F117" s="943">
        <f>+_xlfn.IFNA(VLOOKUP(Tabella118[[#This Row],[Composizione alternativa per digitale]],Tabella118[[composizione concatenata]:[Euro/Mq]],2,FALSE),VLOOKUP(H117,digitale[[ONDA]:[Fornitore]],3,FALSE))</f>
        <v/>
      </c>
      <c r="G117" s="484" t="n"/>
      <c r="H117" s="484">
        <f>IF(MID(A117, FIND("/", A117, FIND("/", A117) + 1) + 1, 2)="A","C",MID(A117, FIND("/", A117, FIND("/", A117) + 1) + 1, 2))</f>
        <v/>
      </c>
      <c r="I117" s="486">
        <f>TRIM(H117)</f>
        <v/>
      </c>
    </row>
    <row r="118" ht="15" customHeight="1">
      <c r="A118" s="491" t="inlineStr">
        <is>
          <t>KbMFM/2626/Ef + ACC.</t>
        </is>
      </c>
      <c r="B118" s="484">
        <f>+_xlfn.CONCAT(Tabella118[[#This Row],[Composizione]], " - ", Tabella118[[#This Row],[Fornitore]])</f>
        <v/>
      </c>
      <c r="C118" s="943" t="n">
        <v>0.645</v>
      </c>
      <c r="D118" s="484" t="inlineStr">
        <is>
          <t>Santerno</t>
        </is>
      </c>
      <c r="E118" s="484">
        <f>IFERROR(IF(H118="BC",Tabella118[[#This Row],[composizione concatenata]],IF(H118="C",Tabella118[[#This Row],[composizione concatenata]],VLOOKUP(I118,$K$2:$O$7,5,FALSE))),+Tabella118[[#This Row],[composizione concatenata]])</f>
        <v/>
      </c>
      <c r="F118" s="943">
        <f>+_xlfn.IFNA(VLOOKUP(Tabella118[[#This Row],[Composizione alternativa per digitale]],Tabella118[[composizione concatenata]:[Euro/Mq]],2,FALSE),VLOOKUP(H118,digitale[[ONDA]:[Fornitore]],3,FALSE))</f>
        <v/>
      </c>
      <c r="G118" s="484" t="n"/>
      <c r="H118" s="484">
        <f>IF(MID(A118, FIND("/", A118, FIND("/", A118) + 1) + 1, 2)="A","C",MID(A118, FIND("/", A118, FIND("/", A118) + 1) + 1, 2))</f>
        <v/>
      </c>
      <c r="I118" s="486">
        <f>TRIM(H118)</f>
        <v/>
      </c>
    </row>
    <row r="119" ht="15" customHeight="1">
      <c r="A119" s="484" t="inlineStr">
        <is>
          <t>KbMFMK/24242/BC</t>
        </is>
      </c>
      <c r="B119" s="484">
        <f>+_xlfn.CONCAT(Tabella118[[#This Row],[Composizione]], " - ", Tabella118[[#This Row],[Fornitore]])</f>
        <v/>
      </c>
      <c r="C119" s="943" t="n">
        <v>0.498</v>
      </c>
      <c r="D119" s="484" t="inlineStr">
        <is>
          <t>Giusti</t>
        </is>
      </c>
      <c r="E119" s="484">
        <f>IFERROR(IF(H119="BC",Tabella118[[#This Row],[composizione concatenata]],IF(H119="C",Tabella118[[#This Row],[composizione concatenata]],VLOOKUP(I119,$K$2:$O$7,5,FALSE))),+Tabella118[[#This Row],[composizione concatenata]])</f>
        <v/>
      </c>
      <c r="F119" s="944">
        <f>+_xlfn.IFNA(VLOOKUP(Tabella118[[#This Row],[Composizione alternativa per digitale]],Tabella118[[composizione concatenata]:[Euro/Mq]],2,FALSE),VLOOKUP(H119,digitale[[ONDA]:[Fornitore]],3,FALSE))</f>
        <v/>
      </c>
      <c r="G119" s="484" t="n"/>
      <c r="H119" s="484">
        <f>IF(MID(A119, FIND("/", A119, FIND("/", A119) + 1) + 1, 2)="A","C",MID(A119, FIND("/", A119, FIND("/", A119) + 1) + 1, 2))</f>
        <v/>
      </c>
      <c r="I119" s="486">
        <f>TRIM(H119)</f>
        <v/>
      </c>
    </row>
    <row r="120" ht="15" customHeight="1">
      <c r="A120" s="484" t="inlineStr">
        <is>
          <t>KbMFMK/24242/EB</t>
        </is>
      </c>
      <c r="B120" s="484">
        <f>+_xlfn.CONCAT(Tabella118[[#This Row],[Composizione]], " - ", Tabella118[[#This Row],[Fornitore]])</f>
        <v/>
      </c>
      <c r="C120" s="943" t="n">
        <v>0.468</v>
      </c>
      <c r="D120" s="484" t="inlineStr">
        <is>
          <t>Giusti</t>
        </is>
      </c>
      <c r="E120" s="484">
        <f>IFERROR(IF(H120="BC",Tabella118[[#This Row],[composizione concatenata]],IF(H120="C",Tabella118[[#This Row],[composizione concatenata]],VLOOKUP(I120,$K$2:$O$7,5,FALSE))),+Tabella118[[#This Row],[composizione concatenata]])</f>
        <v/>
      </c>
      <c r="F120" s="944">
        <f>+_xlfn.IFNA(VLOOKUP(Tabella118[[#This Row],[Composizione alternativa per digitale]],Tabella118[[composizione concatenata]:[Euro/Mq]],2,FALSE),VLOOKUP(H120,digitale[[ONDA]:[Fornitore]],3,FALSE))</f>
        <v/>
      </c>
      <c r="G120" s="484" t="n"/>
      <c r="H120" s="484">
        <f>IF(MID(A120, FIND("/", A120, FIND("/", A120) + 1) + 1, 2)="A","C",MID(A120, FIND("/", A120, FIND("/", A120) + 1) + 1, 2))</f>
        <v/>
      </c>
      <c r="I120" s="486">
        <f>TRIM(H120)</f>
        <v/>
      </c>
    </row>
    <row r="121" ht="15" customHeight="1">
      <c r="A121" s="491" t="inlineStr">
        <is>
          <t>KbMFMK/24242/EE</t>
        </is>
      </c>
      <c r="B121" s="484">
        <f>+_xlfn.CONCAT(Tabella118[[#This Row],[Composizione]], " - ", Tabella118[[#This Row],[Fornitore]])</f>
        <v/>
      </c>
      <c r="C121" s="943" t="n">
        <v>0.5600000000000001</v>
      </c>
      <c r="D121" s="484" t="inlineStr">
        <is>
          <t>Santerno</t>
        </is>
      </c>
      <c r="E121" s="484">
        <f>IFERROR(IF(H121="BC",Tabella118[[#This Row],[composizione concatenata]],IF(H121="C",Tabella118[[#This Row],[composizione concatenata]],VLOOKUP(I121,$K$2:$O$7,5,FALSE))),+Tabella118[[#This Row],[composizione concatenata]])</f>
        <v/>
      </c>
      <c r="F121" s="943">
        <f>+_xlfn.IFNA(VLOOKUP(Tabella118[[#This Row],[Composizione alternativa per digitale]],Tabella118[[composizione concatenata]:[Euro/Mq]],2,FALSE),VLOOKUP(H121,digitale[[ONDA]:[Fornitore]],3,FALSE))</f>
        <v/>
      </c>
      <c r="G121" s="484" t="n"/>
      <c r="H121" s="484">
        <f>IF(MID(A121, FIND("/", A121, FIND("/", A121) + 1) + 1, 2)="A","C",MID(A121, FIND("/", A121, FIND("/", A121) + 1) + 1, 2))</f>
        <v/>
      </c>
      <c r="I121" s="486">
        <f>TRIM(H121)</f>
        <v/>
      </c>
    </row>
    <row r="122" ht="15" customHeight="1">
      <c r="A122" s="484" t="inlineStr">
        <is>
          <t>KbMFMK/24242/EE</t>
        </is>
      </c>
      <c r="B122" s="484">
        <f>+_xlfn.CONCAT(Tabella118[[#This Row],[Composizione]], " - ", Tabella118[[#This Row],[Fornitore]])</f>
        <v/>
      </c>
      <c r="C122" s="943" t="n">
        <v>0.459</v>
      </c>
      <c r="D122" s="484" t="inlineStr">
        <is>
          <t>Giusti</t>
        </is>
      </c>
      <c r="E122" s="484">
        <f>IFERROR(IF(H122="BC",Tabella118[[#This Row],[composizione concatenata]],IF(H122="C",Tabella118[[#This Row],[composizione concatenata]],VLOOKUP(I122,$K$2:$O$7,5,FALSE))),+Tabella118[[#This Row],[composizione concatenata]])</f>
        <v/>
      </c>
      <c r="F122" s="944">
        <f>+_xlfn.IFNA(VLOOKUP(Tabella118[[#This Row],[Composizione alternativa per digitale]],Tabella118[[composizione concatenata]:[Euro/Mq]],2,FALSE),VLOOKUP(H122,digitale[[ONDA]:[Fornitore]],3,FALSE))</f>
        <v/>
      </c>
      <c r="G122" s="484" t="n"/>
      <c r="H122" s="484">
        <f>IF(MID(A122, FIND("/", A122, FIND("/", A122) + 1) + 1, 2)="A","C",MID(A122, FIND("/", A122, FIND("/", A122) + 1) + 1, 2))</f>
        <v/>
      </c>
      <c r="I122" s="486">
        <f>TRIM(H122)</f>
        <v/>
      </c>
    </row>
    <row r="123" ht="15" customHeight="1">
      <c r="A123" s="484" t="inlineStr">
        <is>
          <t>KbMFMK/24242/EE</t>
        </is>
      </c>
      <c r="B123" s="484">
        <f>+_xlfn.CONCAT(Tabella118[[#This Row],[Composizione]], " - ", Tabella118[[#This Row],[Fornitore]])</f>
        <v/>
      </c>
      <c r="C123" s="943" t="n">
        <v>0.455</v>
      </c>
      <c r="D123" s="484" t="inlineStr">
        <is>
          <t>FEPA</t>
        </is>
      </c>
      <c r="E123" s="484">
        <f>IFERROR(IF(H123="BC",Tabella118[[#This Row],[composizione concatenata]],IF(H123="C",Tabella118[[#This Row],[composizione concatenata]],VLOOKUP(I123,$K$2:$O$7,5,FALSE))),+Tabella118[[#This Row],[composizione concatenata]])</f>
        <v/>
      </c>
      <c r="F123" s="944">
        <f>+_xlfn.IFNA(VLOOKUP(Tabella118[[#This Row],[Composizione alternativa per digitale]],Tabella118[[composizione concatenata]:[Euro/Mq]],2,FALSE),VLOOKUP(H123,digitale[[ONDA]:[Fornitore]],3,FALSE))</f>
        <v/>
      </c>
      <c r="G123" s="484" t="n"/>
      <c r="H123" s="484">
        <f>IF(MID(A123, FIND("/", A123, FIND("/", A123) + 1) + 1, 2)="A","C",MID(A123, FIND("/", A123, FIND("/", A123) + 1) + 1, 2))</f>
        <v/>
      </c>
      <c r="I123" s="486">
        <f>TRIM(H123)</f>
        <v/>
      </c>
    </row>
    <row r="124" ht="15" customHeight="1">
      <c r="A124" s="491" t="inlineStr">
        <is>
          <t>KbMFMK/24242/EE + ACC.</t>
        </is>
      </c>
      <c r="B124" s="484">
        <f>+_xlfn.CONCAT(Tabella118[[#This Row],[Composizione]], " - ", Tabella118[[#This Row],[Fornitore]])</f>
        <v/>
      </c>
      <c r="C124" s="943" t="n">
        <v>0.6300000000000001</v>
      </c>
      <c r="D124" s="484" t="inlineStr">
        <is>
          <t>Santerno</t>
        </is>
      </c>
      <c r="E124" s="484">
        <f>IFERROR(IF(H124="BC",Tabella118[[#This Row],[composizione concatenata]],IF(H124="C",Tabella118[[#This Row],[composizione concatenata]],VLOOKUP(I124,$K$2:$O$7,5,FALSE))),+Tabella118[[#This Row],[composizione concatenata]])</f>
        <v/>
      </c>
      <c r="F124" s="943">
        <f>+_xlfn.IFNA(VLOOKUP(Tabella118[[#This Row],[Composizione alternativa per digitale]],Tabella118[[composizione concatenata]:[Euro/Mq]],2,FALSE),VLOOKUP(H124,digitale[[ONDA]:[Fornitore]],3,FALSE))</f>
        <v/>
      </c>
      <c r="G124" s="484" t="n"/>
      <c r="H124" s="484">
        <f>IF(MID(A124, FIND("/", A124, FIND("/", A124) + 1) + 1, 2)="A","C",MID(A124, FIND("/", A124, FIND("/", A124) + 1) + 1, 2))</f>
        <v/>
      </c>
      <c r="I124" s="486">
        <f>TRIM(H124)</f>
        <v/>
      </c>
    </row>
    <row r="125" ht="15" customHeight="1">
      <c r="A125" s="491" t="inlineStr">
        <is>
          <t>KbMFMK/26262/EB</t>
        </is>
      </c>
      <c r="B125" s="484">
        <f>+_xlfn.CONCAT(Tabella118[[#This Row],[Composizione]], " - ", Tabella118[[#This Row],[Fornitore]])</f>
        <v/>
      </c>
      <c r="C125" s="943" t="n">
        <v>0.588</v>
      </c>
      <c r="D125" s="484" t="inlineStr">
        <is>
          <t>Santerno</t>
        </is>
      </c>
      <c r="E125" s="484">
        <f>IFERROR(IF(H125="BC",Tabella118[[#This Row],[composizione concatenata]],IF(H125="C",Tabella118[[#This Row],[composizione concatenata]],VLOOKUP(I125,$K$2:$O$7,5,FALSE))),+Tabella118[[#This Row],[composizione concatenata]])</f>
        <v/>
      </c>
      <c r="F125" s="943">
        <f>+_xlfn.IFNA(VLOOKUP(Tabella118[[#This Row],[Composizione alternativa per digitale]],Tabella118[[composizione concatenata]:[Euro/Mq]],2,FALSE),VLOOKUP(H125,digitale[[ONDA]:[Fornitore]],3,FALSE))</f>
        <v/>
      </c>
      <c r="G125" s="484" t="n"/>
      <c r="H125" s="484">
        <f>IF(MID(A125, FIND("/", A125, FIND("/", A125) + 1) + 1, 2)="A","C",MID(A125, FIND("/", A125, FIND("/", A125) + 1) + 1, 2))</f>
        <v/>
      </c>
      <c r="I125" s="486">
        <f>TRIM(H125)</f>
        <v/>
      </c>
    </row>
    <row r="126" ht="15" customHeight="1">
      <c r="A126" s="491" t="inlineStr">
        <is>
          <t>KbMFMK/26262/EB + ACC.</t>
        </is>
      </c>
      <c r="B126" s="484">
        <f>+_xlfn.CONCAT(Tabella118[[#This Row],[Composizione]], " - ", Tabella118[[#This Row],[Fornitore]])</f>
        <v/>
      </c>
      <c r="C126" s="943" t="n">
        <v>0.6579999999999999</v>
      </c>
      <c r="D126" s="484" t="inlineStr">
        <is>
          <t>Santerno</t>
        </is>
      </c>
      <c r="E126" s="484">
        <f>IFERROR(IF(H126="BC",Tabella118[[#This Row],[composizione concatenata]],IF(H126="C",Tabella118[[#This Row],[composizione concatenata]],VLOOKUP(I126,$K$2:$O$7,5,FALSE))),+Tabella118[[#This Row],[composizione concatenata]])</f>
        <v/>
      </c>
      <c r="F126" s="943">
        <f>+_xlfn.IFNA(VLOOKUP(Tabella118[[#This Row],[Composizione alternativa per digitale]],Tabella118[[composizione concatenata]:[Euro/Mq]],2,FALSE),VLOOKUP(H126,digitale[[ONDA]:[Fornitore]],3,FALSE))</f>
        <v/>
      </c>
      <c r="G126" s="484" t="n"/>
      <c r="H126" s="484">
        <f>IF(MID(A126, FIND("/", A126, FIND("/", A126) + 1) + 1, 2)="A","C",MID(A126, FIND("/", A126, FIND("/", A126) + 1) + 1, 2))</f>
        <v/>
      </c>
      <c r="I126" s="486">
        <f>TRIM(H126)</f>
        <v/>
      </c>
    </row>
    <row r="127" ht="15" customHeight="1">
      <c r="A127" s="484" t="inlineStr">
        <is>
          <t>KbMFMK/26262/EE</t>
        </is>
      </c>
      <c r="B127" s="484">
        <f>+_xlfn.CONCAT(Tabella118[[#This Row],[Composizione]], " - ", Tabella118[[#This Row],[Fornitore]])</f>
        <v/>
      </c>
      <c r="C127" s="943" t="n">
        <v>0.488</v>
      </c>
      <c r="D127" s="484" t="inlineStr">
        <is>
          <t>Giusti</t>
        </is>
      </c>
      <c r="E127" s="484">
        <f>IFERROR(IF(H127="BC",Tabella118[[#This Row],[composizione concatenata]],IF(H127="C",Tabella118[[#This Row],[composizione concatenata]],VLOOKUP(I127,$K$2:$O$7,5,FALSE))),+Tabella118[[#This Row],[composizione concatenata]])</f>
        <v/>
      </c>
      <c r="F127" s="944">
        <f>+_xlfn.IFNA(VLOOKUP(Tabella118[[#This Row],[Composizione alternativa per digitale]],Tabella118[[composizione concatenata]:[Euro/Mq]],2,FALSE),VLOOKUP(H127,digitale[[ONDA]:[Fornitore]],3,FALSE))</f>
        <v/>
      </c>
      <c r="G127" s="484" t="n"/>
      <c r="H127" s="484">
        <f>IF(MID(A127, FIND("/", A127, FIND("/", A127) + 1) + 1, 2)="A","C",MID(A127, FIND("/", A127, FIND("/", A127) + 1) + 1, 2))</f>
        <v/>
      </c>
      <c r="I127" s="486">
        <f>TRIM(H127)</f>
        <v/>
      </c>
    </row>
    <row r="128" ht="15" customHeight="1">
      <c r="A128" s="483" t="inlineStr">
        <is>
          <t>KbMFMK/34242/EB</t>
        </is>
      </c>
      <c r="B128" s="484">
        <f>+_xlfn.CONCAT(Tabella118[[#This Row],[Composizione]], " - ", Tabella118[[#This Row],[Fornitore]])</f>
        <v/>
      </c>
      <c r="C128" s="950" t="n">
        <v>0.435</v>
      </c>
      <c r="D128" s="484" t="inlineStr">
        <is>
          <t>Cartstrong</t>
        </is>
      </c>
      <c r="E128" s="484">
        <f>IFERROR(IF(H128="BC",Tabella118[[#This Row],[composizione concatenata]],IF(H128="C",Tabella118[[#This Row],[composizione concatenata]],VLOOKUP(I128,$K$2:$O$7,5,FALSE))),+Tabella118[[#This Row],[composizione concatenata]])</f>
        <v/>
      </c>
      <c r="F128" s="943">
        <f>+_xlfn.IFNA(VLOOKUP(Tabella118[[#This Row],[Composizione alternativa per digitale]],Tabella118[[composizione concatenata]:[Euro/Mq]],2,FALSE),VLOOKUP(H128,digitale[[ONDA]:[Fornitore]],3,FALSE))</f>
        <v/>
      </c>
      <c r="G128" s="484" t="n"/>
      <c r="H128" s="484">
        <f>IF(MID(A128, FIND("/", A128, FIND("/", A128) + 1) + 1, 2)="A","C",MID(A128, FIND("/", A128, FIND("/", A128) + 1) + 1, 2))</f>
        <v/>
      </c>
      <c r="I128" s="486">
        <f>TRIM(H128)</f>
        <v/>
      </c>
    </row>
    <row r="129" ht="15" customHeight="1">
      <c r="A129" s="484" t="inlineStr">
        <is>
          <t>KbMFMK/34243/EB</t>
        </is>
      </c>
      <c r="B129" s="484">
        <f>+_xlfn.CONCAT(Tabella118[[#This Row],[Composizione]], " - ", Tabella118[[#This Row],[Fornitore]])</f>
        <v/>
      </c>
      <c r="C129" s="943" t="n">
        <v>0.511</v>
      </c>
      <c r="D129" s="484" t="inlineStr">
        <is>
          <t>Giusti</t>
        </is>
      </c>
      <c r="E129" s="484">
        <f>IFERROR(IF(H129="BC",Tabella118[[#This Row],[composizione concatenata]],IF(H129="C",Tabella118[[#This Row],[composizione concatenata]],VLOOKUP(I129,$K$2:$O$7,5,FALSE))),+Tabella118[[#This Row],[composizione concatenata]])</f>
        <v/>
      </c>
      <c r="F129" s="944">
        <f>+_xlfn.IFNA(VLOOKUP(Tabella118[[#This Row],[Composizione alternativa per digitale]],Tabella118[[composizione concatenata]:[Euro/Mq]],2,FALSE),VLOOKUP(H129,digitale[[ONDA]:[Fornitore]],3,FALSE))</f>
        <v/>
      </c>
      <c r="G129" s="484" t="n"/>
      <c r="H129" s="484">
        <f>IF(MID(A129, FIND("/", A129, FIND("/", A129) + 1) + 1, 2)="A","C",MID(A129, FIND("/", A129, FIND("/", A129) + 1) + 1, 2))</f>
        <v/>
      </c>
      <c r="I129" s="486">
        <f>TRIM(H129)</f>
        <v/>
      </c>
    </row>
    <row r="130" ht="15" customHeight="1">
      <c r="A130" s="484" t="inlineStr">
        <is>
          <t>KbMFMKb/24242/EB</t>
        </is>
      </c>
      <c r="B130" s="484">
        <f>+_xlfn.CONCAT(Tabella118[[#This Row],[Composizione]], " - ", Tabella118[[#This Row],[Fornitore]])</f>
        <v/>
      </c>
      <c r="C130" s="943" t="n">
        <v>0.501</v>
      </c>
      <c r="D130" s="484" t="inlineStr">
        <is>
          <t>Giusti</t>
        </is>
      </c>
      <c r="E130" s="484">
        <f>IFERROR(IF(H130="BC",Tabella118[[#This Row],[composizione concatenata]],IF(H130="C",Tabella118[[#This Row],[composizione concatenata]],VLOOKUP(I130,$K$2:$O$7,5,FALSE))),+Tabella118[[#This Row],[composizione concatenata]])</f>
        <v/>
      </c>
      <c r="F130" s="944">
        <f>+_xlfn.IFNA(VLOOKUP(Tabella118[[#This Row],[Composizione alternativa per digitale]],Tabella118[[composizione concatenata]:[Euro/Mq]],2,FALSE),VLOOKUP(H130,digitale[[ONDA]:[Fornitore]],3,FALSE))</f>
        <v/>
      </c>
      <c r="G130" s="484" t="n"/>
      <c r="H130" s="484">
        <f>IF(MID(A130, FIND("/", A130, FIND("/", A130) + 1) + 1, 2)="A","C",MID(A130, FIND("/", A130, FIND("/", A130) + 1) + 1, 2))</f>
        <v/>
      </c>
      <c r="I130" s="486">
        <f>TRIM(H130)</f>
        <v/>
      </c>
    </row>
    <row r="131" ht="15" customHeight="1">
      <c r="A131" s="491" t="inlineStr">
        <is>
          <t>KbMFMKb/24242/EE</t>
        </is>
      </c>
      <c r="B131" s="484">
        <f>+_xlfn.CONCAT(Tabella118[[#This Row],[Composizione]], " - ", Tabella118[[#This Row],[Fornitore]])</f>
        <v/>
      </c>
      <c r="C131" s="943" t="n">
        <v>0.583</v>
      </c>
      <c r="D131" s="484" t="inlineStr">
        <is>
          <t>Santerno</t>
        </is>
      </c>
      <c r="E131" s="484">
        <f>IFERROR(IF(H131="BC",Tabella118[[#This Row],[composizione concatenata]],IF(H131="C",Tabella118[[#This Row],[composizione concatenata]],VLOOKUP(I131,$K$2:$O$7,5,FALSE))),+Tabella118[[#This Row],[composizione concatenata]])</f>
        <v/>
      </c>
      <c r="F131" s="943">
        <f>+_xlfn.IFNA(VLOOKUP(Tabella118[[#This Row],[Composizione alternativa per digitale]],Tabella118[[composizione concatenata]:[Euro/Mq]],2,FALSE),VLOOKUP(H131,digitale[[ONDA]:[Fornitore]],3,FALSE))</f>
        <v/>
      </c>
      <c r="G131" s="484" t="n"/>
      <c r="H131" s="484">
        <f>IF(MID(A131, FIND("/", A131, FIND("/", A131) + 1) + 1, 2)="A","C",MID(A131, FIND("/", A131, FIND("/", A131) + 1) + 1, 2))</f>
        <v/>
      </c>
      <c r="I131" s="486">
        <f>TRIM(H131)</f>
        <v/>
      </c>
    </row>
    <row r="132" ht="15" customHeight="1">
      <c r="A132" s="491" t="inlineStr">
        <is>
          <t>KbMFMKb/24242/EE + ACC.</t>
        </is>
      </c>
      <c r="B132" s="484">
        <f>+_xlfn.CONCAT(Tabella118[[#This Row],[Composizione]], " - ", Tabella118[[#This Row],[Fornitore]])</f>
        <v/>
      </c>
      <c r="C132" s="943" t="n">
        <v>0.653</v>
      </c>
      <c r="D132" s="484" t="inlineStr">
        <is>
          <t>Santerno</t>
        </is>
      </c>
      <c r="E132" s="484">
        <f>IFERROR(IF(H132="BC",Tabella118[[#This Row],[composizione concatenata]],IF(H132="C",Tabella118[[#This Row],[composizione concatenata]],VLOOKUP(I132,$K$2:$O$7,5,FALSE))),+Tabella118[[#This Row],[composizione concatenata]])</f>
        <v/>
      </c>
      <c r="F132" s="943">
        <f>+_xlfn.IFNA(VLOOKUP(Tabella118[[#This Row],[Composizione alternativa per digitale]],Tabella118[[composizione concatenata]:[Euro/Mq]],2,FALSE),VLOOKUP(H132,digitale[[ONDA]:[Fornitore]],3,FALSE))</f>
        <v/>
      </c>
      <c r="G132" s="484" t="n"/>
      <c r="H132" s="484">
        <f>IF(MID(A132, FIND("/", A132, FIND("/", A132) + 1) + 1, 2)="A","C",MID(A132, FIND("/", A132, FIND("/", A132) + 1) + 1, 2))</f>
        <v/>
      </c>
      <c r="I132" s="486">
        <f>TRIM(H132)</f>
        <v/>
      </c>
    </row>
    <row r="133" ht="15" customHeight="1">
      <c r="A133" s="491" t="inlineStr">
        <is>
          <t>KbMFMKb/24242/FF</t>
        </is>
      </c>
      <c r="B133" s="484">
        <f>+_xlfn.CONCAT(Tabella118[[#This Row],[Composizione]], " - ", Tabella118[[#This Row],[Fornitore]])</f>
        <v/>
      </c>
      <c r="C133" s="943" t="n">
        <v>0.65</v>
      </c>
      <c r="D133" s="484" t="inlineStr">
        <is>
          <t>Santerno</t>
        </is>
      </c>
      <c r="E133" s="484">
        <f>IFERROR(IF(H133="BC",Tabella118[[#This Row],[composizione concatenata]],IF(H133="C",Tabella118[[#This Row],[composizione concatenata]],VLOOKUP(I133,$K$2:$O$7,5,FALSE))),+Tabella118[[#This Row],[composizione concatenata]])</f>
        <v/>
      </c>
      <c r="F133" s="943">
        <f>+_xlfn.IFNA(VLOOKUP(Tabella118[[#This Row],[Composizione alternativa per digitale]],Tabella118[[composizione concatenata]:[Euro/Mq]],2,FALSE),VLOOKUP(H133,digitale[[ONDA]:[Fornitore]],3,FALSE))</f>
        <v/>
      </c>
      <c r="G133" s="484" t="n"/>
      <c r="H133" s="484">
        <f>IF(MID(A133, FIND("/", A133, FIND("/", A133) + 1) + 1, 2)="A","C",MID(A133, FIND("/", A133, FIND("/", A133) + 1) + 1, 2))</f>
        <v/>
      </c>
      <c r="I133" s="486">
        <f>TRIM(H133)</f>
        <v/>
      </c>
    </row>
    <row r="134" ht="15" customHeight="1">
      <c r="A134" s="491" t="inlineStr">
        <is>
          <t>KbMFMKb/24242/FF + ACC.</t>
        </is>
      </c>
      <c r="B134" s="484">
        <f>+_xlfn.CONCAT(Tabella118[[#This Row],[Composizione]], " - ", Tabella118[[#This Row],[Fornitore]])</f>
        <v/>
      </c>
      <c r="C134" s="943" t="n">
        <v>0.72</v>
      </c>
      <c r="D134" s="484" t="inlineStr">
        <is>
          <t>Santerno</t>
        </is>
      </c>
      <c r="E134" s="484">
        <f>IFERROR(IF(H134="BC",Tabella118[[#This Row],[composizione concatenata]],IF(H134="C",Tabella118[[#This Row],[composizione concatenata]],VLOOKUP(I134,$K$2:$O$7,5,FALSE))),+Tabella118[[#This Row],[composizione concatenata]])</f>
        <v/>
      </c>
      <c r="F134" s="943">
        <f>+_xlfn.IFNA(VLOOKUP(Tabella118[[#This Row],[Composizione alternativa per digitale]],Tabella118[[composizione concatenata]:[Euro/Mq]],2,FALSE),VLOOKUP(H134,digitale[[ONDA]:[Fornitore]],3,FALSE))</f>
        <v/>
      </c>
      <c r="G134" s="484" t="n"/>
      <c r="H134" s="484">
        <f>IF(MID(A134, FIND("/", A134, FIND("/", A134) + 1) + 1, 2)="A","C",MID(A134, FIND("/", A134, FIND("/", A134) + 1) + 1, 2))</f>
        <v/>
      </c>
      <c r="I134" s="486">
        <f>TRIM(H134)</f>
        <v/>
      </c>
    </row>
    <row r="135" ht="15" customHeight="1">
      <c r="A135" s="484" t="inlineStr">
        <is>
          <t>KbMFMKb/26262/EB</t>
        </is>
      </c>
      <c r="B135" s="484">
        <f>+_xlfn.CONCAT(Tabella118[[#This Row],[Composizione]], " - ", Tabella118[[#This Row],[Fornitore]])</f>
        <v/>
      </c>
      <c r="C135" s="943" t="n">
        <v>0.546</v>
      </c>
      <c r="D135" s="484" t="inlineStr">
        <is>
          <t>Giusti</t>
        </is>
      </c>
      <c r="E135" s="484">
        <f>IFERROR(IF(H135="BC",Tabella118[[#This Row],[composizione concatenata]],IF(H135="C",Tabella118[[#This Row],[composizione concatenata]],VLOOKUP(I135,$K$2:$O$7,5,FALSE))),+Tabella118[[#This Row],[composizione concatenata]])</f>
        <v/>
      </c>
      <c r="F135" s="944">
        <f>+_xlfn.IFNA(VLOOKUP(Tabella118[[#This Row],[Composizione alternativa per digitale]],Tabella118[[composizione concatenata]:[Euro/Mq]],2,FALSE),VLOOKUP(H135,digitale[[ONDA]:[Fornitore]],3,FALSE))</f>
        <v/>
      </c>
      <c r="G135" s="484" t="n"/>
      <c r="H135" s="484">
        <f>IF(MID(A135, FIND("/", A135, FIND("/", A135) + 1) + 1, 2)="A","C",MID(A135, FIND("/", A135, FIND("/", A135) + 1) + 1, 2))</f>
        <v/>
      </c>
      <c r="I135" s="486">
        <f>TRIM(H135)</f>
        <v/>
      </c>
    </row>
    <row r="136" ht="15" customHeight="1">
      <c r="A136" s="484" t="inlineStr">
        <is>
          <t>KbMFMKb/26262/EE</t>
        </is>
      </c>
      <c r="B136" s="484">
        <f>+_xlfn.CONCAT(Tabella118[[#This Row],[Composizione]], " - ", Tabella118[[#This Row],[Fornitore]])</f>
        <v/>
      </c>
      <c r="C136" s="943" t="n">
        <v>0.52</v>
      </c>
      <c r="D136" s="484" t="inlineStr">
        <is>
          <t>Giusti</t>
        </is>
      </c>
      <c r="E136" s="484">
        <f>IFERROR(IF(H136="BC",Tabella118[[#This Row],[composizione concatenata]],IF(H136="C",Tabella118[[#This Row],[composizione concatenata]],VLOOKUP(I136,$K$2:$O$7,5,FALSE))),+Tabella118[[#This Row],[composizione concatenata]])</f>
        <v/>
      </c>
      <c r="F136" s="944">
        <f>+_xlfn.IFNA(VLOOKUP(Tabella118[[#This Row],[Composizione alternativa per digitale]],Tabella118[[composizione concatenata]:[Euro/Mq]],2,FALSE),VLOOKUP(H136,digitale[[ONDA]:[Fornitore]],3,FALSE))</f>
        <v/>
      </c>
      <c r="G136" s="484" t="n"/>
      <c r="H136" s="484">
        <f>IF(MID(A136, FIND("/", A136, FIND("/", A136) + 1) + 1, 2)="A","C",MID(A136, FIND("/", A136, FIND("/", A136) + 1) + 1, 2))</f>
        <v/>
      </c>
      <c r="I136" s="486">
        <f>TRIM(H136)</f>
        <v/>
      </c>
    </row>
    <row r="137" ht="15" customHeight="1">
      <c r="A137" s="484" t="inlineStr">
        <is>
          <t>KbMFMKb/34242/EB</t>
        </is>
      </c>
      <c r="B137" s="484">
        <f>+_xlfn.CONCAT(Tabella118[[#This Row],[Composizione]], " - ", Tabella118[[#This Row],[Fornitore]])</f>
        <v/>
      </c>
      <c r="C137" s="943" t="n">
        <v>0.519</v>
      </c>
      <c r="D137" s="484" t="inlineStr">
        <is>
          <t>Giusti</t>
        </is>
      </c>
      <c r="E137" s="484">
        <f>IFERROR(IF(H137="BC",Tabella118[[#This Row],[composizione concatenata]],IF(H137="C",Tabella118[[#This Row],[composizione concatenata]],VLOOKUP(I137,$K$2:$O$7,5,FALSE))),+Tabella118[[#This Row],[composizione concatenata]])</f>
        <v/>
      </c>
      <c r="F137" s="944">
        <f>+_xlfn.IFNA(VLOOKUP(Tabella118[[#This Row],[Composizione alternativa per digitale]],Tabella118[[composizione concatenata]:[Euro/Mq]],2,FALSE),VLOOKUP(H137,digitale[[ONDA]:[Fornitore]],3,FALSE))</f>
        <v/>
      </c>
      <c r="G137" s="484" t="n"/>
      <c r="H137" s="484">
        <f>IF(MID(A137, FIND("/", A137, FIND("/", A137) + 1) + 1, 2)="A","C",MID(A137, FIND("/", A137, FIND("/", A137) + 1) + 1, 2))</f>
        <v/>
      </c>
      <c r="I137" s="486">
        <f>TRIM(H137)</f>
        <v/>
      </c>
    </row>
    <row r="138" ht="15" customHeight="1">
      <c r="A138" s="484" t="inlineStr">
        <is>
          <t>KbMFMKb/34243/EB</t>
        </is>
      </c>
      <c r="B138" s="484">
        <f>+_xlfn.CONCAT(Tabella118[[#This Row],[Composizione]], " - ", Tabella118[[#This Row],[Fornitore]])</f>
        <v/>
      </c>
      <c r="C138" s="943" t="n">
        <v>0.5629999999999999</v>
      </c>
      <c r="D138" s="484" t="inlineStr">
        <is>
          <t>Giusti</t>
        </is>
      </c>
      <c r="E138" s="484">
        <f>IFERROR(IF(H138="BC",Tabella118[[#This Row],[composizione concatenata]],IF(H138="C",Tabella118[[#This Row],[composizione concatenata]],VLOOKUP(I138,$K$2:$O$7,5,FALSE))),+Tabella118[[#This Row],[composizione concatenata]])</f>
        <v/>
      </c>
      <c r="F138" s="944">
        <f>+_xlfn.IFNA(VLOOKUP(Tabella118[[#This Row],[Composizione alternativa per digitale]],Tabella118[[composizione concatenata]:[Euro/Mq]],2,FALSE),VLOOKUP(H138,digitale[[ONDA]:[Fornitore]],3,FALSE))</f>
        <v/>
      </c>
      <c r="G138" s="484" t="n"/>
      <c r="H138" s="484">
        <f>IF(MID(A138, FIND("/", A138, FIND("/", A138) + 1) + 1, 2)="A","C",MID(A138, FIND("/", A138, FIND("/", A138) + 1) + 1, 2))</f>
        <v/>
      </c>
      <c r="I138" s="486">
        <f>TRIM(H138)</f>
        <v/>
      </c>
    </row>
    <row r="139" ht="15" customHeight="1">
      <c r="A139" s="484" t="inlineStr">
        <is>
          <t>KbMFMT/24242/BC</t>
        </is>
      </c>
      <c r="B139" s="484">
        <f>+_xlfn.CONCAT(Tabella118[[#This Row],[Composizione]], " - ", Tabella118[[#This Row],[Fornitore]])</f>
        <v/>
      </c>
      <c r="C139" s="943" t="n">
        <v>0.471</v>
      </c>
      <c r="D139" s="484" t="inlineStr">
        <is>
          <t>Giusti</t>
        </is>
      </c>
      <c r="E139" s="484">
        <f>IFERROR(IF(H139="BC",Tabella118[[#This Row],[composizione concatenata]],IF(H139="C",Tabella118[[#This Row],[composizione concatenata]],VLOOKUP(I139,$K$2:$O$7,5,FALSE))),+Tabella118[[#This Row],[composizione concatenata]])</f>
        <v/>
      </c>
      <c r="F139" s="944">
        <f>+_xlfn.IFNA(VLOOKUP(Tabella118[[#This Row],[Composizione alternativa per digitale]],Tabella118[[composizione concatenata]:[Euro/Mq]],2,FALSE),VLOOKUP(H139,digitale[[ONDA]:[Fornitore]],3,FALSE))</f>
        <v/>
      </c>
      <c r="G139" s="484" t="n"/>
      <c r="H139" s="484">
        <f>IF(MID(A139, FIND("/", A139, FIND("/", A139) + 1) + 1, 2)="A","C",MID(A139, FIND("/", A139, FIND("/", A139) + 1) + 1, 2))</f>
        <v/>
      </c>
      <c r="I139" s="486">
        <f>TRIM(H139)</f>
        <v/>
      </c>
    </row>
    <row r="140" ht="15" customHeight="1">
      <c r="A140" s="484" t="inlineStr">
        <is>
          <t>KbMFMT/24242/BC</t>
        </is>
      </c>
      <c r="B140" s="484">
        <f>+_xlfn.CONCAT(Tabella118[[#This Row],[Composizione]], " - ", Tabella118[[#This Row],[Fornitore]])</f>
        <v/>
      </c>
      <c r="C140" s="943" t="n">
        <v>0.465</v>
      </c>
      <c r="D140" s="484" t="inlineStr">
        <is>
          <t xml:space="preserve">Ds Smith </t>
        </is>
      </c>
      <c r="E140" s="484">
        <f>IFERROR(IF(H140="BC",Tabella118[[#This Row],[composizione concatenata]],IF(H140="C",Tabella118[[#This Row],[composizione concatenata]],VLOOKUP(I140,$K$2:$O$7,5,FALSE))),+Tabella118[[#This Row],[composizione concatenata]])</f>
        <v/>
      </c>
      <c r="F140" s="943">
        <f>+_xlfn.IFNA(VLOOKUP(Tabella118[[#This Row],[Composizione alternativa per digitale]],Tabella118[[composizione concatenata]:[Euro/Mq]],2,FALSE),VLOOKUP(H140,digitale[[ONDA]:[Fornitore]],3,FALSE))</f>
        <v/>
      </c>
      <c r="G140" s="484" t="n"/>
      <c r="H140" s="484">
        <f>IF(MID(A140, FIND("/", A140, FIND("/", A140) + 1) + 1, 2)="A","C",MID(A140, FIND("/", A140, FIND("/", A140) + 1) + 1, 2))</f>
        <v/>
      </c>
      <c r="I140" s="486">
        <f>TRIM(H140)</f>
        <v/>
      </c>
    </row>
    <row r="141" ht="15" customHeight="1">
      <c r="A141" s="491" t="inlineStr">
        <is>
          <t>KbMFMT/24242/EB</t>
        </is>
      </c>
      <c r="B141" s="484">
        <f>+_xlfn.CONCAT(Tabella118[[#This Row],[Composizione]], " - ", Tabella118[[#This Row],[Fornitore]])</f>
        <v/>
      </c>
      <c r="C141" s="943" t="n">
        <v>0.515</v>
      </c>
      <c r="D141" s="484" t="inlineStr">
        <is>
          <t>Santerno</t>
        </is>
      </c>
      <c r="E141" s="484">
        <f>IFERROR(IF(H141="BC",Tabella118[[#This Row],[composizione concatenata]],IF(H141="C",Tabella118[[#This Row],[composizione concatenata]],VLOOKUP(I141,$K$2:$O$7,5,FALSE))),+Tabella118[[#This Row],[composizione concatenata]])</f>
        <v/>
      </c>
      <c r="F141" s="943">
        <f>+_xlfn.IFNA(VLOOKUP(Tabella118[[#This Row],[Composizione alternativa per digitale]],Tabella118[[composizione concatenata]:[Euro/Mq]],2,FALSE),VLOOKUP(H141,digitale[[ONDA]:[Fornitore]],3,FALSE))</f>
        <v/>
      </c>
      <c r="G141" s="484" t="n"/>
      <c r="H141" s="484">
        <f>IF(MID(A141, FIND("/", A141, FIND("/", A141) + 1) + 1, 2)="A","C",MID(A141, FIND("/", A141, FIND("/", A141) + 1) + 1, 2))</f>
        <v/>
      </c>
      <c r="I141" s="486">
        <f>TRIM(H141)</f>
        <v/>
      </c>
    </row>
    <row r="142" ht="15" customHeight="1">
      <c r="A142" s="484" t="inlineStr">
        <is>
          <t>KbMFMT/24242/EB</t>
        </is>
      </c>
      <c r="B142" s="484">
        <f>+_xlfn.CONCAT(Tabella118[[#This Row],[Composizione]], " - ", Tabella118[[#This Row],[Fornitore]])</f>
        <v/>
      </c>
      <c r="C142" s="943" t="n">
        <v>0.441</v>
      </c>
      <c r="D142" s="484" t="inlineStr">
        <is>
          <t>Giusti</t>
        </is>
      </c>
      <c r="E142" s="484">
        <f>IFERROR(IF(H142="BC",Tabella118[[#This Row],[composizione concatenata]],IF(H142="C",Tabella118[[#This Row],[composizione concatenata]],VLOOKUP(I142,$K$2:$O$7,5,FALSE))),+Tabella118[[#This Row],[composizione concatenata]])</f>
        <v/>
      </c>
      <c r="F142" s="944">
        <f>+_xlfn.IFNA(VLOOKUP(Tabella118[[#This Row],[Composizione alternativa per digitale]],Tabella118[[composizione concatenata]:[Euro/Mq]],2,FALSE),VLOOKUP(H142,digitale[[ONDA]:[Fornitore]],3,FALSE))</f>
        <v/>
      </c>
      <c r="G142" s="484" t="n"/>
      <c r="H142" s="484">
        <f>IF(MID(A142, FIND("/", A142, FIND("/", A142) + 1) + 1, 2)="A","C",MID(A142, FIND("/", A142, FIND("/", A142) + 1) + 1, 2))</f>
        <v/>
      </c>
      <c r="I142" s="486">
        <f>TRIM(H142)</f>
        <v/>
      </c>
    </row>
    <row r="143" ht="15" customHeight="1">
      <c r="A143" s="484" t="inlineStr">
        <is>
          <t>KbMFMT/24242/EB</t>
        </is>
      </c>
      <c r="B143" s="484">
        <f>+_xlfn.CONCAT(Tabella118[[#This Row],[Composizione]], " - ", Tabella118[[#This Row],[Fornitore]])</f>
        <v/>
      </c>
      <c r="C143" s="943" t="n">
        <v>0.44</v>
      </c>
      <c r="D143" s="484" t="inlineStr">
        <is>
          <t xml:space="preserve">Ds Smith </t>
        </is>
      </c>
      <c r="E143" s="484">
        <f>IFERROR(IF(H143="BC",Tabella118[[#This Row],[composizione concatenata]],IF(H143="C",Tabella118[[#This Row],[composizione concatenata]],VLOOKUP(I143,$K$2:$O$7,5,FALSE))),+Tabella118[[#This Row],[composizione concatenata]])</f>
        <v/>
      </c>
      <c r="F143" s="943">
        <f>+_xlfn.IFNA(VLOOKUP(Tabella118[[#This Row],[Composizione alternativa per digitale]],Tabella118[[composizione concatenata]:[Euro/Mq]],2,FALSE),VLOOKUP(H143,digitale[[ONDA]:[Fornitore]],3,FALSE))</f>
        <v/>
      </c>
      <c r="G143" s="484" t="n"/>
      <c r="H143" s="484">
        <f>IF(MID(A143, FIND("/", A143, FIND("/", A143) + 1) + 1, 2)="A","C",MID(A143, FIND("/", A143, FIND("/", A143) + 1) + 1, 2))</f>
        <v/>
      </c>
      <c r="I143" s="486">
        <f>TRIM(H143)</f>
        <v/>
      </c>
    </row>
    <row r="144" ht="15" customHeight="1">
      <c r="A144" s="483" t="inlineStr">
        <is>
          <t>KbMFMT/24242/EB</t>
        </is>
      </c>
      <c r="B144" s="484">
        <f>+_xlfn.CONCAT(Tabella118[[#This Row],[Composizione]], " - ", Tabella118[[#This Row],[Fornitore]])</f>
        <v/>
      </c>
      <c r="C144" s="950" t="n">
        <v>0.406</v>
      </c>
      <c r="D144" s="484" t="inlineStr">
        <is>
          <t>Cartstrong</t>
        </is>
      </c>
      <c r="E144" s="484">
        <f>IFERROR(IF(H144="BC",Tabella118[[#This Row],[composizione concatenata]],IF(H144="C",Tabella118[[#This Row],[composizione concatenata]],VLOOKUP(I144,$K$2:$O$7,5,FALSE))),+Tabella118[[#This Row],[composizione concatenata]])</f>
        <v/>
      </c>
      <c r="F144" s="943">
        <f>+_xlfn.IFNA(VLOOKUP(Tabella118[[#This Row],[Composizione alternativa per digitale]],Tabella118[[composizione concatenata]:[Euro/Mq]],2,FALSE),VLOOKUP(H144,digitale[[ONDA]:[Fornitore]],3,FALSE))</f>
        <v/>
      </c>
      <c r="G144" s="484" t="n"/>
      <c r="H144" s="484">
        <f>IF(MID(A144, FIND("/", A144, FIND("/", A144) + 1) + 1, 2)="A","C",MID(A144, FIND("/", A144, FIND("/", A144) + 1) + 1, 2))</f>
        <v/>
      </c>
      <c r="I144" s="486">
        <f>TRIM(H144)</f>
        <v/>
      </c>
    </row>
    <row r="145" ht="15" customHeight="1">
      <c r="A145" s="491" t="inlineStr">
        <is>
          <t>KbMFMT/24242/EB + ACC.</t>
        </is>
      </c>
      <c r="B145" s="484">
        <f>+_xlfn.CONCAT(Tabella118[[#This Row],[Composizione]], " - ", Tabella118[[#This Row],[Fornitore]])</f>
        <v/>
      </c>
      <c r="C145" s="943" t="n">
        <v>0.585</v>
      </c>
      <c r="D145" s="484" t="inlineStr">
        <is>
          <t>Santerno</t>
        </is>
      </c>
      <c r="E145" s="484">
        <f>IFERROR(IF(H145="BC",Tabella118[[#This Row],[composizione concatenata]],IF(H145="C",Tabella118[[#This Row],[composizione concatenata]],VLOOKUP(I145,$K$2:$O$7,5,FALSE))),+Tabella118[[#This Row],[composizione concatenata]])</f>
        <v/>
      </c>
      <c r="F145" s="943">
        <f>+_xlfn.IFNA(VLOOKUP(Tabella118[[#This Row],[Composizione alternativa per digitale]],Tabella118[[composizione concatenata]:[Euro/Mq]],2,FALSE),VLOOKUP(H145,digitale[[ONDA]:[Fornitore]],3,FALSE))</f>
        <v/>
      </c>
      <c r="G145" s="484" t="n"/>
      <c r="H145" s="484">
        <f>IF(MID(A145, FIND("/", A145, FIND("/", A145) + 1) + 1, 2)="A","C",MID(A145, FIND("/", A145, FIND("/", A145) + 1) + 1, 2))</f>
        <v/>
      </c>
      <c r="I145" s="486">
        <f>TRIM(H145)</f>
        <v/>
      </c>
    </row>
    <row r="146" ht="15" customHeight="1">
      <c r="A146" s="491" t="inlineStr">
        <is>
          <t>KbMFMT/24242/EE</t>
        </is>
      </c>
      <c r="B146" s="484">
        <f>+_xlfn.CONCAT(Tabella118[[#This Row],[Composizione]], " - ", Tabella118[[#This Row],[Fornitore]])</f>
        <v/>
      </c>
      <c r="C146" s="943" t="n">
        <v>0.51</v>
      </c>
      <c r="D146" s="484" t="inlineStr">
        <is>
          <t>Santerno</t>
        </is>
      </c>
      <c r="E146" s="484">
        <f>IFERROR(IF(H146="BC",Tabella118[[#This Row],[composizione concatenata]],IF(H146="C",Tabella118[[#This Row],[composizione concatenata]],VLOOKUP(I146,$K$2:$O$7,5,FALSE))),+Tabella118[[#This Row],[composizione concatenata]])</f>
        <v/>
      </c>
      <c r="F146" s="943">
        <f>+_xlfn.IFNA(VLOOKUP(Tabella118[[#This Row],[Composizione alternativa per digitale]],Tabella118[[composizione concatenata]:[Euro/Mq]],2,FALSE),VLOOKUP(H146,digitale[[ONDA]:[Fornitore]],3,FALSE))</f>
        <v/>
      </c>
      <c r="G146" s="484" t="n"/>
      <c r="H146" s="484">
        <f>IF(MID(A146, FIND("/", A146, FIND("/", A146) + 1) + 1, 2)="A","C",MID(A146, FIND("/", A146, FIND("/", A146) + 1) + 1, 2))</f>
        <v/>
      </c>
      <c r="I146" s="486">
        <f>TRIM(H146)</f>
        <v/>
      </c>
    </row>
    <row r="147" ht="15" customHeight="1">
      <c r="A147" s="491" t="inlineStr">
        <is>
          <t>KbMFMT/24242/EE + ACC.</t>
        </is>
      </c>
      <c r="B147" s="484">
        <f>+_xlfn.CONCAT(Tabella118[[#This Row],[Composizione]], " - ", Tabella118[[#This Row],[Fornitore]])</f>
        <v/>
      </c>
      <c r="C147" s="943" t="n">
        <v>0.5800000000000001</v>
      </c>
      <c r="D147" s="484" t="inlineStr">
        <is>
          <t>Santerno</t>
        </is>
      </c>
      <c r="E147" s="484">
        <f>IFERROR(IF(H147="BC",Tabella118[[#This Row],[composizione concatenata]],IF(H147="C",Tabella118[[#This Row],[composizione concatenata]],VLOOKUP(I147,$K$2:$O$7,5,FALSE))),+Tabella118[[#This Row],[composizione concatenata]])</f>
        <v/>
      </c>
      <c r="F147" s="943">
        <f>+_xlfn.IFNA(VLOOKUP(Tabella118[[#This Row],[Composizione alternativa per digitale]],Tabella118[[composizione concatenata]:[Euro/Mq]],2,FALSE),VLOOKUP(H147,digitale[[ONDA]:[Fornitore]],3,FALSE))</f>
        <v/>
      </c>
      <c r="G147" s="484" t="n"/>
      <c r="H147" s="484">
        <f>IF(MID(A147, FIND("/", A147, FIND("/", A147) + 1) + 1, 2)="A","C",MID(A147, FIND("/", A147, FIND("/", A147) + 1) + 1, 2))</f>
        <v/>
      </c>
      <c r="I147" s="486">
        <f>TRIM(H147)</f>
        <v/>
      </c>
    </row>
    <row r="148" ht="15" customHeight="1">
      <c r="A148" s="484" t="inlineStr">
        <is>
          <t>KbMFMT/26262/EB</t>
        </is>
      </c>
      <c r="B148" s="484">
        <f>+_xlfn.CONCAT(Tabella118[[#This Row],[Composizione]], " - ", Tabella118[[#This Row],[Fornitore]])</f>
        <v/>
      </c>
      <c r="C148" s="943" t="n">
        <v>0.476</v>
      </c>
      <c r="D148" s="484" t="inlineStr">
        <is>
          <t>Giusti</t>
        </is>
      </c>
      <c r="E148" s="484">
        <f>IFERROR(IF(H148="BC",Tabella118[[#This Row],[composizione concatenata]],IF(H148="C",Tabella118[[#This Row],[composizione concatenata]],VLOOKUP(I148,$K$2:$O$7,5,FALSE))),+Tabella118[[#This Row],[composizione concatenata]])</f>
        <v/>
      </c>
      <c r="F148" s="944">
        <f>+_xlfn.IFNA(VLOOKUP(Tabella118[[#This Row],[Composizione alternativa per digitale]],Tabella118[[composizione concatenata]:[Euro/Mq]],2,FALSE),VLOOKUP(H148,digitale[[ONDA]:[Fornitore]],3,FALSE))</f>
        <v/>
      </c>
      <c r="G148" s="484" t="n"/>
      <c r="H148" s="484">
        <f>IF(MID(A148, FIND("/", A148, FIND("/", A148) + 1) + 1, 2)="A","C",MID(A148, FIND("/", A148, FIND("/", A148) + 1) + 1, 2))</f>
        <v/>
      </c>
      <c r="I148" s="486">
        <f>TRIM(H148)</f>
        <v/>
      </c>
    </row>
    <row r="149" ht="15" customHeight="1">
      <c r="A149" s="483" t="inlineStr">
        <is>
          <t>KbMFMT/26262/EB</t>
        </is>
      </c>
      <c r="B149" s="484">
        <f>+_xlfn.CONCAT(Tabella118[[#This Row],[Composizione]], " - ", Tabella118[[#This Row],[Fornitore]])</f>
        <v/>
      </c>
      <c r="C149" s="950" t="n">
        <v>0.441</v>
      </c>
      <c r="D149" s="484" t="inlineStr">
        <is>
          <t>Cartstrong</t>
        </is>
      </c>
      <c r="E149" s="484">
        <f>IFERROR(IF(H149="BC",Tabella118[[#This Row],[composizione concatenata]],IF(H149="C",Tabella118[[#This Row],[composizione concatenata]],VLOOKUP(I149,$K$2:$O$7,5,FALSE))),+Tabella118[[#This Row],[composizione concatenata]])</f>
        <v/>
      </c>
      <c r="F149" s="943">
        <f>+_xlfn.IFNA(VLOOKUP(Tabella118[[#This Row],[Composizione alternativa per digitale]],Tabella118[[composizione concatenata]:[Euro/Mq]],2,FALSE),VLOOKUP(H149,digitale[[ONDA]:[Fornitore]],3,FALSE))</f>
        <v/>
      </c>
      <c r="G149" s="484" t="n"/>
      <c r="H149" s="484">
        <f>IF(MID(A149, FIND("/", A149, FIND("/", A149) + 1) + 1, 2)="A","C",MID(A149, FIND("/", A149, FIND("/", A149) + 1) + 1, 2))</f>
        <v/>
      </c>
      <c r="I149" s="486">
        <f>TRIM(H149)</f>
        <v/>
      </c>
    </row>
    <row r="150" ht="15" customHeight="1">
      <c r="A150" s="491" t="inlineStr">
        <is>
          <t>KbMFMT/26262/EE</t>
        </is>
      </c>
      <c r="B150" s="484">
        <f>+_xlfn.CONCAT(Tabella118[[#This Row],[Composizione]], " - ", Tabella118[[#This Row],[Fornitore]])</f>
        <v/>
      </c>
      <c r="C150" s="943" t="n">
        <v>0.533</v>
      </c>
      <c r="D150" s="484" t="inlineStr">
        <is>
          <t>Santerno</t>
        </is>
      </c>
      <c r="E150" s="484">
        <f>IFERROR(IF(H150="BC",Tabella118[[#This Row],[composizione concatenata]],IF(H150="C",Tabella118[[#This Row],[composizione concatenata]],VLOOKUP(I150,$K$2:$O$7,5,FALSE))),+Tabella118[[#This Row],[composizione concatenata]])</f>
        <v/>
      </c>
      <c r="F150" s="943">
        <f>+_xlfn.IFNA(VLOOKUP(Tabella118[[#This Row],[Composizione alternativa per digitale]],Tabella118[[composizione concatenata]:[Euro/Mq]],2,FALSE),VLOOKUP(H150,digitale[[ONDA]:[Fornitore]],3,FALSE))</f>
        <v/>
      </c>
      <c r="G150" s="484" t="n"/>
      <c r="H150" s="484">
        <f>IF(MID(A150, FIND("/", A150, FIND("/", A150) + 1) + 1, 2)="A","C",MID(A150, FIND("/", A150, FIND("/", A150) + 1) + 1, 2))</f>
        <v/>
      </c>
      <c r="I150" s="486">
        <f>TRIM(H150)</f>
        <v/>
      </c>
    </row>
    <row r="151" ht="15" customHeight="1">
      <c r="A151" s="491" t="inlineStr">
        <is>
          <t>KbMFMT/26262/EE + ACC.</t>
        </is>
      </c>
      <c r="B151" s="484">
        <f>+_xlfn.CONCAT(Tabella118[[#This Row],[Composizione]], " - ", Tabella118[[#This Row],[Fornitore]])</f>
        <v/>
      </c>
      <c r="C151" s="943" t="n">
        <v>0.603</v>
      </c>
      <c r="D151" s="484" t="inlineStr">
        <is>
          <t>Santerno</t>
        </is>
      </c>
      <c r="E151" s="484">
        <f>IFERROR(IF(H151="BC",Tabella118[[#This Row],[composizione concatenata]],IF(H151="C",Tabella118[[#This Row],[composizione concatenata]],VLOOKUP(I151,$K$2:$O$7,5,FALSE))),+Tabella118[[#This Row],[composizione concatenata]])</f>
        <v/>
      </c>
      <c r="F151" s="943">
        <f>+_xlfn.IFNA(VLOOKUP(Tabella118[[#This Row],[Composizione alternativa per digitale]],Tabella118[[composizione concatenata]:[Euro/Mq]],2,FALSE),VLOOKUP(H151,digitale[[ONDA]:[Fornitore]],3,FALSE))</f>
        <v/>
      </c>
      <c r="G151" s="484" t="n"/>
      <c r="H151" s="484">
        <f>IF(MID(A151, FIND("/", A151, FIND("/", A151) + 1) + 1, 2)="A","C",MID(A151, FIND("/", A151, FIND("/", A151) + 1) + 1, 2))</f>
        <v/>
      </c>
      <c r="I151" s="486">
        <f>TRIM(H151)</f>
        <v/>
      </c>
    </row>
    <row r="152" ht="15" customHeight="1">
      <c r="A152" s="484" t="inlineStr">
        <is>
          <t>KbMFMT/34242/EB</t>
        </is>
      </c>
      <c r="B152" s="484">
        <f>+_xlfn.CONCAT(Tabella118[[#This Row],[Composizione]], " - ", Tabella118[[#This Row],[Fornitore]])</f>
        <v/>
      </c>
      <c r="C152" s="943" t="n">
        <v>0.46</v>
      </c>
      <c r="D152" s="484" t="inlineStr">
        <is>
          <t>Giusti</t>
        </is>
      </c>
      <c r="E152" s="484">
        <f>IFERROR(IF(H152="BC",Tabella118[[#This Row],[composizione concatenata]],IF(H152="C",Tabella118[[#This Row],[composizione concatenata]],VLOOKUP(I152,$K$2:$O$7,5,FALSE))),+Tabella118[[#This Row],[composizione concatenata]])</f>
        <v/>
      </c>
      <c r="F152" s="944">
        <f>+_xlfn.IFNA(VLOOKUP(Tabella118[[#This Row],[Composizione alternativa per digitale]],Tabella118[[composizione concatenata]:[Euro/Mq]],2,FALSE),VLOOKUP(H152,digitale[[ONDA]:[Fornitore]],3,FALSE))</f>
        <v/>
      </c>
      <c r="G152" s="484" t="n"/>
      <c r="H152" s="484">
        <f>IF(MID(A152, FIND("/", A152, FIND("/", A152) + 1) + 1, 2)="A","C",MID(A152, FIND("/", A152, FIND("/", A152) + 1) + 1, 2))</f>
        <v/>
      </c>
      <c r="I152" s="486">
        <f>TRIM(H152)</f>
        <v/>
      </c>
    </row>
    <row r="153" ht="15" customHeight="1">
      <c r="A153" s="483" t="inlineStr">
        <is>
          <t>KbMFMT/34242/EB</t>
        </is>
      </c>
      <c r="B153" s="484">
        <f>+_xlfn.CONCAT(Tabella118[[#This Row],[Composizione]], " - ", Tabella118[[#This Row],[Fornitore]])</f>
        <v/>
      </c>
      <c r="C153" s="950" t="n">
        <v>0.413</v>
      </c>
      <c r="D153" s="484" t="inlineStr">
        <is>
          <t>Cartstrong</t>
        </is>
      </c>
      <c r="E153" s="484">
        <f>IFERROR(IF(H153="BC",Tabella118[[#This Row],[composizione concatenata]],IF(H153="C",Tabella118[[#This Row],[composizione concatenata]],VLOOKUP(I153,$K$2:$O$7,5,FALSE))),+Tabella118[[#This Row],[composizione concatenata]])</f>
        <v/>
      </c>
      <c r="F153" s="943">
        <f>+_xlfn.IFNA(VLOOKUP(Tabella118[[#This Row],[Composizione alternativa per digitale]],Tabella118[[composizione concatenata]:[Euro/Mq]],2,FALSE),VLOOKUP(H153,digitale[[ONDA]:[Fornitore]],3,FALSE))</f>
        <v/>
      </c>
      <c r="G153" s="484" t="n"/>
      <c r="H153" s="484">
        <f>IF(MID(A153, FIND("/", A153, FIND("/", A153) + 1) + 1, 2)="A","C",MID(A153, FIND("/", A153, FIND("/", A153) + 1) + 1, 2))</f>
        <v/>
      </c>
      <c r="I153" s="486">
        <f>TRIM(H153)</f>
        <v/>
      </c>
    </row>
    <row r="154" ht="15" customHeight="1">
      <c r="A154" s="484" t="inlineStr">
        <is>
          <t>KbMFMT/34243/BC</t>
        </is>
      </c>
      <c r="B154" s="484">
        <f>+_xlfn.CONCAT(Tabella118[[#This Row],[Composizione]], " - ", Tabella118[[#This Row],[Fornitore]])</f>
        <v/>
      </c>
      <c r="C154" s="943" t="n">
        <v>0.497</v>
      </c>
      <c r="D154" s="484" t="inlineStr">
        <is>
          <t>Giusti</t>
        </is>
      </c>
      <c r="E154" s="484">
        <f>IFERROR(IF(H154="BC",Tabella118[[#This Row],[composizione concatenata]],IF(H154="C",Tabella118[[#This Row],[composizione concatenata]],VLOOKUP(I154,$K$2:$O$7,5,FALSE))),+Tabella118[[#This Row],[composizione concatenata]])</f>
        <v/>
      </c>
      <c r="F154" s="944">
        <f>+_xlfn.IFNA(VLOOKUP(Tabella118[[#This Row],[Composizione alternativa per digitale]],Tabella118[[composizione concatenata]:[Euro/Mq]],2,FALSE),VLOOKUP(H154,digitale[[ONDA]:[Fornitore]],3,FALSE))</f>
        <v/>
      </c>
      <c r="G154" s="484" t="n"/>
      <c r="H154" s="484">
        <f>IF(MID(A154, FIND("/", A154, FIND("/", A154) + 1) + 1, 2)="A","C",MID(A154, FIND("/", A154, FIND("/", A154) + 1) + 1, 2))</f>
        <v/>
      </c>
      <c r="I154" s="486">
        <f>TRIM(H154)</f>
        <v/>
      </c>
    </row>
    <row r="155" ht="15" customHeight="1">
      <c r="A155" s="484" t="inlineStr">
        <is>
          <t>KbMFMT/36263/EB</t>
        </is>
      </c>
      <c r="B155" s="484">
        <f>+_xlfn.CONCAT(Tabella118[[#This Row],[Composizione]], " - ", Tabella118[[#This Row],[Fornitore]])</f>
        <v/>
      </c>
      <c r="C155" s="943" t="n">
        <v>0.508</v>
      </c>
      <c r="D155" s="484" t="inlineStr">
        <is>
          <t>Giusti</t>
        </is>
      </c>
      <c r="E155" s="484">
        <f>IFERROR(IF(H155="BC",Tabella118[[#This Row],[composizione concatenata]],IF(H155="C",Tabella118[[#This Row],[composizione concatenata]],VLOOKUP(I155,$K$2:$O$7,5,FALSE))),+Tabella118[[#This Row],[composizione concatenata]])</f>
        <v/>
      </c>
      <c r="F155" s="944">
        <f>+_xlfn.IFNA(VLOOKUP(Tabella118[[#This Row],[Composizione alternativa per digitale]],Tabella118[[composizione concatenata]:[Euro/Mq]],2,FALSE),VLOOKUP(H155,digitale[[ONDA]:[Fornitore]],3,FALSE))</f>
        <v/>
      </c>
      <c r="G155" s="484" t="n"/>
      <c r="H155" s="484">
        <f>IF(MID(A155, FIND("/", A155, FIND("/", A155) + 1) + 1, 2)="A","C",MID(A155, FIND("/", A155, FIND("/", A155) + 1) + 1, 2))</f>
        <v/>
      </c>
      <c r="I155" s="486">
        <f>TRIM(H155)</f>
        <v/>
      </c>
    </row>
    <row r="156" ht="15" customHeight="1">
      <c r="A156" s="491" t="inlineStr">
        <is>
          <t>KbMFMTb/24243/EB</t>
        </is>
      </c>
      <c r="B156" s="484">
        <f>+_xlfn.CONCAT(Tabella118[[#This Row],[Composizione]], " - ", Tabella118[[#This Row],[Fornitore]])</f>
        <v/>
      </c>
      <c r="C156" s="943" t="n">
        <v>0.554</v>
      </c>
      <c r="D156" s="484" t="inlineStr">
        <is>
          <t>Santerno</t>
        </is>
      </c>
      <c r="E156" s="484">
        <f>IFERROR(IF(H156="BC",Tabella118[[#This Row],[composizione concatenata]],IF(H156="C",Tabella118[[#This Row],[composizione concatenata]],VLOOKUP(I156,$K$2:$O$7,5,FALSE))),+Tabella118[[#This Row],[composizione concatenata]])</f>
        <v/>
      </c>
      <c r="F156" s="943">
        <f>+_xlfn.IFNA(VLOOKUP(Tabella118[[#This Row],[Composizione alternativa per digitale]],Tabella118[[composizione concatenata]:[Euro/Mq]],2,FALSE),VLOOKUP(H156,digitale[[ONDA]:[Fornitore]],3,FALSE))</f>
        <v/>
      </c>
      <c r="G156" s="484" t="n"/>
      <c r="H156" s="484">
        <f>IF(MID(A156, FIND("/", A156, FIND("/", A156) + 1) + 1, 2)="A","C",MID(A156, FIND("/", A156, FIND("/", A156) + 1) + 1, 2))</f>
        <v/>
      </c>
      <c r="I156" s="486">
        <f>TRIM(H156)</f>
        <v/>
      </c>
    </row>
    <row r="157" ht="15" customHeight="1">
      <c r="A157" s="484" t="inlineStr">
        <is>
          <t>KbMFMTb/24243/EB</t>
        </is>
      </c>
      <c r="B157" s="484">
        <f>+_xlfn.CONCAT(Tabella118[[#This Row],[Composizione]], " - ", Tabella118[[#This Row],[Fornitore]])</f>
        <v/>
      </c>
      <c r="C157" s="943" t="n">
        <v>0.488</v>
      </c>
      <c r="D157" s="484" t="inlineStr">
        <is>
          <t>Giusti</t>
        </is>
      </c>
      <c r="E157" s="484">
        <f>IFERROR(IF(H157="BC",Tabella118[[#This Row],[composizione concatenata]],IF(H157="C",Tabella118[[#This Row],[composizione concatenata]],VLOOKUP(I157,$K$2:$O$7,5,FALSE))),+Tabella118[[#This Row],[composizione concatenata]])</f>
        <v/>
      </c>
      <c r="F157" s="944">
        <f>+_xlfn.IFNA(VLOOKUP(Tabella118[[#This Row],[Composizione alternativa per digitale]],Tabella118[[composizione concatenata]:[Euro/Mq]],2,FALSE),VLOOKUP(H157,digitale[[ONDA]:[Fornitore]],3,FALSE))</f>
        <v/>
      </c>
      <c r="G157" s="484" t="n"/>
      <c r="H157" s="484">
        <f>IF(MID(A157, FIND("/", A157, FIND("/", A157) + 1) + 1, 2)="A","C",MID(A157, FIND("/", A157, FIND("/", A157) + 1) + 1, 2))</f>
        <v/>
      </c>
      <c r="I157" s="486">
        <f>TRIM(H157)</f>
        <v/>
      </c>
    </row>
    <row r="158" ht="15" customHeight="1">
      <c r="A158" s="483" t="inlineStr">
        <is>
          <t>KbMFMTb/24243/EB</t>
        </is>
      </c>
      <c r="B158" s="484">
        <f>+_xlfn.CONCAT(Tabella118[[#This Row],[Composizione]], " - ", Tabella118[[#This Row],[Fornitore]])</f>
        <v/>
      </c>
      <c r="C158" s="950" t="n">
        <v>0.434</v>
      </c>
      <c r="D158" s="484" t="inlineStr">
        <is>
          <t>Cartstrong</t>
        </is>
      </c>
      <c r="E158" s="484">
        <f>IFERROR(IF(H158="BC",Tabella118[[#This Row],[composizione concatenata]],IF(H158="C",Tabella118[[#This Row],[composizione concatenata]],VLOOKUP(I158,$K$2:$O$7,5,FALSE))),+Tabella118[[#This Row],[composizione concatenata]])</f>
        <v/>
      </c>
      <c r="F158" s="943">
        <f>+_xlfn.IFNA(VLOOKUP(Tabella118[[#This Row],[Composizione alternativa per digitale]],Tabella118[[composizione concatenata]:[Euro/Mq]],2,FALSE),VLOOKUP(H158,digitale[[ONDA]:[Fornitore]],3,FALSE))</f>
        <v/>
      </c>
      <c r="G158" s="484" t="n"/>
      <c r="H158" s="484">
        <f>IF(MID(A158, FIND("/", A158, FIND("/", A158) + 1) + 1, 2)="A","C",MID(A158, FIND("/", A158, FIND("/", A158) + 1) + 1, 2))</f>
        <v/>
      </c>
      <c r="I158" s="486">
        <f>TRIM(H158)</f>
        <v/>
      </c>
    </row>
    <row r="159" ht="15" customHeight="1">
      <c r="A159" s="491" t="inlineStr">
        <is>
          <t>KbMFMTb/24243/EB + ACC.</t>
        </is>
      </c>
      <c r="B159" s="484">
        <f>+_xlfn.CONCAT(Tabella118[[#This Row],[Composizione]], " - ", Tabella118[[#This Row],[Fornitore]])</f>
        <v/>
      </c>
      <c r="C159" s="943" t="n">
        <v>0.6240000000000001</v>
      </c>
      <c r="D159" s="484" t="inlineStr">
        <is>
          <t>Santerno</t>
        </is>
      </c>
      <c r="E159" s="484">
        <f>IFERROR(IF(H159="BC",Tabella118[[#This Row],[composizione concatenata]],IF(H159="C",Tabella118[[#This Row],[composizione concatenata]],VLOOKUP(I159,$K$2:$O$7,5,FALSE))),+Tabella118[[#This Row],[composizione concatenata]])</f>
        <v/>
      </c>
      <c r="F159" s="943">
        <f>+_xlfn.IFNA(VLOOKUP(Tabella118[[#This Row],[Composizione alternativa per digitale]],Tabella118[[composizione concatenata]:[Euro/Mq]],2,FALSE),VLOOKUP(H159,digitale[[ONDA]:[Fornitore]],3,FALSE))</f>
        <v/>
      </c>
      <c r="G159" s="484" t="n"/>
      <c r="H159" s="484">
        <f>IF(MID(A159, FIND("/", A159, FIND("/", A159) + 1) + 1, 2)="A","C",MID(A159, FIND("/", A159, FIND("/", A159) + 1) + 1, 2))</f>
        <v/>
      </c>
      <c r="I159" s="486">
        <f>TRIM(H159)</f>
        <v/>
      </c>
    </row>
    <row r="160" ht="15" customHeight="1">
      <c r="A160" s="491" t="inlineStr">
        <is>
          <t>KbMFMTb/24243/EE</t>
        </is>
      </c>
      <c r="B160" s="484">
        <f>+_xlfn.CONCAT(Tabella118[[#This Row],[Composizione]], " - ", Tabella118[[#This Row],[Fornitore]])</f>
        <v/>
      </c>
      <c r="C160" s="943" t="n">
        <v>0.549</v>
      </c>
      <c r="D160" s="484" t="inlineStr">
        <is>
          <t>Santerno</t>
        </is>
      </c>
      <c r="E160" s="484">
        <f>IFERROR(IF(H160="BC",Tabella118[[#This Row],[composizione concatenata]],IF(H160="C",Tabella118[[#This Row],[composizione concatenata]],VLOOKUP(I160,$K$2:$O$7,5,FALSE))),+Tabella118[[#This Row],[composizione concatenata]])</f>
        <v/>
      </c>
      <c r="F160" s="943">
        <f>+_xlfn.IFNA(VLOOKUP(Tabella118[[#This Row],[Composizione alternativa per digitale]],Tabella118[[composizione concatenata]:[Euro/Mq]],2,FALSE),VLOOKUP(H160,digitale[[ONDA]:[Fornitore]],3,FALSE))</f>
        <v/>
      </c>
      <c r="G160" s="484" t="n"/>
      <c r="H160" s="484">
        <f>IF(MID(A160, FIND("/", A160, FIND("/", A160) + 1) + 1, 2)="A","C",MID(A160, FIND("/", A160, FIND("/", A160) + 1) + 1, 2))</f>
        <v/>
      </c>
      <c r="I160" s="486">
        <f>TRIM(H160)</f>
        <v/>
      </c>
    </row>
    <row r="161" ht="15" customHeight="1">
      <c r="A161" s="491" t="inlineStr">
        <is>
          <t>KbMFMTb/24243/EE + ACC.</t>
        </is>
      </c>
      <c r="B161" s="484">
        <f>+_xlfn.CONCAT(Tabella118[[#This Row],[Composizione]], " - ", Tabella118[[#This Row],[Fornitore]])</f>
        <v/>
      </c>
      <c r="C161" s="943" t="n">
        <v>0.619</v>
      </c>
      <c r="D161" s="484" t="inlineStr">
        <is>
          <t>Santerno</t>
        </is>
      </c>
      <c r="E161" s="484">
        <f>IFERROR(IF(H161="BC",Tabella118[[#This Row],[composizione concatenata]],IF(H161="C",Tabella118[[#This Row],[composizione concatenata]],VLOOKUP(I161,$K$2:$O$7,5,FALSE))),+Tabella118[[#This Row],[composizione concatenata]])</f>
        <v/>
      </c>
      <c r="F161" s="943">
        <f>+_xlfn.IFNA(VLOOKUP(Tabella118[[#This Row],[Composizione alternativa per digitale]],Tabella118[[composizione concatenata]:[Euro/Mq]],2,FALSE),VLOOKUP(H161,digitale[[ONDA]:[Fornitore]],3,FALSE))</f>
        <v/>
      </c>
      <c r="G161" s="484" t="n"/>
      <c r="H161" s="484">
        <f>IF(MID(A161, FIND("/", A161, FIND("/", A161) + 1) + 1, 2)="A","C",MID(A161, FIND("/", A161, FIND("/", A161) + 1) + 1, 2))</f>
        <v/>
      </c>
      <c r="I161" s="486">
        <f>TRIM(H161)</f>
        <v/>
      </c>
    </row>
    <row r="162" ht="15" customHeight="1">
      <c r="A162" s="491" t="inlineStr">
        <is>
          <t>KbMFMTb/26263/EB</t>
        </is>
      </c>
      <c r="B162" s="484">
        <f>+_xlfn.CONCAT(Tabella118[[#This Row],[Composizione]], " - ", Tabella118[[#This Row],[Fornitore]])</f>
        <v/>
      </c>
      <c r="C162" s="943" t="n">
        <v>0.5770000000000001</v>
      </c>
      <c r="D162" s="484" t="inlineStr">
        <is>
          <t>Santerno</t>
        </is>
      </c>
      <c r="E162" s="484">
        <f>IFERROR(IF(H162="BC",Tabella118[[#This Row],[composizione concatenata]],IF(H162="C",Tabella118[[#This Row],[composizione concatenata]],VLOOKUP(I162,$K$2:$O$7,5,FALSE))),+Tabella118[[#This Row],[composizione concatenata]])</f>
        <v/>
      </c>
      <c r="F162" s="943">
        <f>+_xlfn.IFNA(VLOOKUP(Tabella118[[#This Row],[Composizione alternativa per digitale]],Tabella118[[composizione concatenata]:[Euro/Mq]],2,FALSE),VLOOKUP(H162,digitale[[ONDA]:[Fornitore]],3,FALSE))</f>
        <v/>
      </c>
      <c r="G162" s="484" t="n"/>
      <c r="H162" s="484">
        <f>IF(MID(A162, FIND("/", A162, FIND("/", A162) + 1) + 1, 2)="A","C",MID(A162, FIND("/", A162, FIND("/", A162) + 1) + 1, 2))</f>
        <v/>
      </c>
      <c r="I162" s="486">
        <f>TRIM(H162)</f>
        <v/>
      </c>
    </row>
    <row r="163" ht="15" customHeight="1">
      <c r="A163" s="491" t="inlineStr">
        <is>
          <t>KbMFMTb/26263/EB + ACC.</t>
        </is>
      </c>
      <c r="B163" s="484">
        <f>+_xlfn.CONCAT(Tabella118[[#This Row],[Composizione]], " - ", Tabella118[[#This Row],[Fornitore]])</f>
        <v/>
      </c>
      <c r="C163" s="943" t="n">
        <v>0.647</v>
      </c>
      <c r="D163" s="484" t="inlineStr">
        <is>
          <t>Santerno</t>
        </is>
      </c>
      <c r="E163" s="484">
        <f>IFERROR(IF(H163="BC",Tabella118[[#This Row],[composizione concatenata]],IF(H163="C",Tabella118[[#This Row],[composizione concatenata]],VLOOKUP(I163,$K$2:$O$7,5,FALSE))),+Tabella118[[#This Row],[composizione concatenata]])</f>
        <v/>
      </c>
      <c r="F163" s="943">
        <f>+_xlfn.IFNA(VLOOKUP(Tabella118[[#This Row],[Composizione alternativa per digitale]],Tabella118[[composizione concatenata]:[Euro/Mq]],2,FALSE),VLOOKUP(H163,digitale[[ONDA]:[Fornitore]],3,FALSE))</f>
        <v/>
      </c>
      <c r="G163" s="484" t="n"/>
      <c r="H163" s="484">
        <f>IF(MID(A163, FIND("/", A163, FIND("/", A163) + 1) + 1, 2)="A","C",MID(A163, FIND("/", A163, FIND("/", A163) + 1) + 1, 2))</f>
        <v/>
      </c>
      <c r="I163" s="486">
        <f>TRIM(H163)</f>
        <v/>
      </c>
    </row>
    <row r="164" ht="15" customHeight="1">
      <c r="A164" s="484" t="inlineStr">
        <is>
          <t>KbMK/242/C</t>
        </is>
      </c>
      <c r="B164" s="484">
        <f>+_xlfn.CONCAT(Tabella118[[#This Row],[Composizione]], " - ", Tabella118[[#This Row],[Fornitore]])</f>
        <v/>
      </c>
      <c r="C164" s="943" t="n">
        <v>0.37</v>
      </c>
      <c r="D164" s="484" t="inlineStr">
        <is>
          <t xml:space="preserve">Ds Smith </t>
        </is>
      </c>
      <c r="E164" s="484">
        <f>IFERROR(IF(H164="BC",Tabella118[[#This Row],[composizione concatenata]],IF(H164="C",Tabella118[[#This Row],[composizione concatenata]],VLOOKUP(I164,$K$2:$O$7,5,FALSE))),+Tabella118[[#This Row],[composizione concatenata]])</f>
        <v/>
      </c>
      <c r="F164" s="943">
        <f>+_xlfn.IFNA(VLOOKUP(Tabella118[[#This Row],[Composizione alternativa per digitale]],Tabella118[[composizione concatenata]:[Euro/Mq]],2,FALSE),VLOOKUP(H164,digitale[[ONDA]:[Fornitore]],3,FALSE))</f>
        <v/>
      </c>
      <c r="G164" s="484" t="n"/>
      <c r="H164" s="484">
        <f>IF(MID(A164, FIND("/", A164, FIND("/", A164) + 1) + 1, 2)="A","C",MID(A164, FIND("/", A164, FIND("/", A164) + 1) + 1, 2))</f>
        <v/>
      </c>
      <c r="I164" s="486">
        <f>TRIM(H164)</f>
        <v/>
      </c>
    </row>
    <row r="165" ht="15" customHeight="1">
      <c r="A165" s="484" t="inlineStr">
        <is>
          <t>KbMK/242/E</t>
        </is>
      </c>
      <c r="B165" s="484">
        <f>+_xlfn.CONCAT(Tabella118[[#This Row],[Composizione]], " - ", Tabella118[[#This Row],[Fornitore]])</f>
        <v/>
      </c>
      <c r="C165" s="943" t="n">
        <v>0.355</v>
      </c>
      <c r="D165" s="484" t="inlineStr">
        <is>
          <t xml:space="preserve">Ds Smith </t>
        </is>
      </c>
      <c r="E165" s="484">
        <f>IFERROR(IF(H165="BC",Tabella118[[#This Row],[composizione concatenata]],IF(H165="C",Tabella118[[#This Row],[composizione concatenata]],VLOOKUP(I165,$K$2:$O$7,5,FALSE))),+Tabella118[[#This Row],[composizione concatenata]])</f>
        <v/>
      </c>
      <c r="F165" s="943">
        <f>+_xlfn.IFNA(VLOOKUP(Tabella118[[#This Row],[Composizione alternativa per digitale]],Tabella118[[composizione concatenata]:[Euro/Mq]],2,FALSE),VLOOKUP(H165,digitale[[ONDA]:[Fornitore]],3,FALSE))</f>
        <v/>
      </c>
      <c r="G165" s="484" t="n"/>
      <c r="H165" s="484">
        <f>IF(MID(A165, FIND("/", A165, FIND("/", A165) + 1) + 1, 2)="A","C",MID(A165, FIND("/", A165, FIND("/", A165) + 1) + 1, 2))</f>
        <v/>
      </c>
      <c r="I165" s="486">
        <f>TRIM(H165)</f>
        <v/>
      </c>
    </row>
    <row r="166" ht="15" customHeight="1">
      <c r="A166" s="484" t="inlineStr">
        <is>
          <t>KbMK/242/E</t>
        </is>
      </c>
      <c r="B166" s="484">
        <f>+_xlfn.CONCAT(Tabella118[[#This Row],[Composizione]], " - ", Tabella118[[#This Row],[Fornitore]])</f>
        <v/>
      </c>
      <c r="C166" s="943" t="n">
        <v>0.319</v>
      </c>
      <c r="D166" s="484" t="inlineStr">
        <is>
          <t>Giusti</t>
        </is>
      </c>
      <c r="E166" s="484">
        <f>IFERROR(IF(H166="BC",Tabella118[[#This Row],[composizione concatenata]],IF(H166="C",Tabella118[[#This Row],[composizione concatenata]],VLOOKUP(I166,$K$2:$O$7,5,FALSE))),+Tabella118[[#This Row],[composizione concatenata]])</f>
        <v/>
      </c>
      <c r="F166" s="944">
        <f>+_xlfn.IFNA(VLOOKUP(Tabella118[[#This Row],[Composizione alternativa per digitale]],Tabella118[[composizione concatenata]:[Euro/Mq]],2,FALSE),VLOOKUP(H166,digitale[[ONDA]:[Fornitore]],3,FALSE))</f>
        <v/>
      </c>
      <c r="G166" s="484" t="n"/>
      <c r="H166" s="484">
        <f>IF(MID(A166, FIND("/", A166, FIND("/", A166) + 1) + 1, 2)="A","C",MID(A166, FIND("/", A166, FIND("/", A166) + 1) + 1, 2))</f>
        <v/>
      </c>
      <c r="I166" s="486">
        <f>TRIM(H166)</f>
        <v/>
      </c>
    </row>
    <row r="167" ht="15" customHeight="1">
      <c r="A167" s="484" t="inlineStr">
        <is>
          <t>KbMK/262/B</t>
        </is>
      </c>
      <c r="B167" s="484">
        <f>+_xlfn.CONCAT(Tabella118[[#This Row],[Composizione]], " - ", Tabella118[[#This Row],[Fornitore]])</f>
        <v/>
      </c>
      <c r="C167" s="943" t="n">
        <v>0.37</v>
      </c>
      <c r="D167" s="484" t="inlineStr">
        <is>
          <t xml:space="preserve">Ds Smith </t>
        </is>
      </c>
      <c r="E167" s="484">
        <f>IFERROR(IF(H167="BC",Tabella118[[#This Row],[composizione concatenata]],IF(H167="C",Tabella118[[#This Row],[composizione concatenata]],VLOOKUP(I167,$K$2:$O$7,5,FALSE))),+Tabella118[[#This Row],[composizione concatenata]])</f>
        <v/>
      </c>
      <c r="F167" s="943">
        <f>+_xlfn.IFNA(VLOOKUP(Tabella118[[#This Row],[Composizione alternativa per digitale]],Tabella118[[composizione concatenata]:[Euro/Mq]],2,FALSE),VLOOKUP(H167,digitale[[ONDA]:[Fornitore]],3,FALSE))</f>
        <v/>
      </c>
      <c r="G167" s="484" t="n"/>
      <c r="H167" s="484">
        <f>IF(MID(A167, FIND("/", A167, FIND("/", A167) + 1) + 1, 2)="A","C",MID(A167, FIND("/", A167, FIND("/", A167) + 1) + 1, 2))</f>
        <v/>
      </c>
      <c r="I167" s="486">
        <f>TRIM(H167)</f>
        <v/>
      </c>
    </row>
    <row r="168" ht="15" customHeight="1">
      <c r="A168" s="491" t="inlineStr">
        <is>
          <t>KbMK/262/E</t>
        </is>
      </c>
      <c r="B168" s="484">
        <f>+_xlfn.CONCAT(Tabella118[[#This Row],[Composizione]], " - ", Tabella118[[#This Row],[Fornitore]])</f>
        <v/>
      </c>
      <c r="C168" s="943" t="n">
        <v>0.401</v>
      </c>
      <c r="D168" s="484" t="inlineStr">
        <is>
          <t>Santerno</t>
        </is>
      </c>
      <c r="E168" s="484">
        <f>IFERROR(IF(H168="BC",Tabella118[[#This Row],[composizione concatenata]],IF(H168="C",Tabella118[[#This Row],[composizione concatenata]],VLOOKUP(I168,$K$2:$O$7,5,FALSE))),+Tabella118[[#This Row],[composizione concatenata]])</f>
        <v/>
      </c>
      <c r="F168" s="943">
        <f>+_xlfn.IFNA(VLOOKUP(Tabella118[[#This Row],[Composizione alternativa per digitale]],Tabella118[[composizione concatenata]:[Euro/Mq]],2,FALSE),VLOOKUP(H168,digitale[[ONDA]:[Fornitore]],3,FALSE))</f>
        <v/>
      </c>
      <c r="G168" s="484" t="n"/>
      <c r="H168" s="484">
        <f>IF(MID(A168, FIND("/", A168, FIND("/", A168) + 1) + 1, 2)="A","C",MID(A168, FIND("/", A168, FIND("/", A168) + 1) + 1, 2))</f>
        <v/>
      </c>
      <c r="I168" s="486">
        <f>TRIM(H168)</f>
        <v/>
      </c>
    </row>
    <row r="169" ht="15" customHeight="1">
      <c r="A169" s="491" t="inlineStr">
        <is>
          <t>KbMK/262/E + ACC.</t>
        </is>
      </c>
      <c r="B169" s="484">
        <f>+_xlfn.CONCAT(Tabella118[[#This Row],[Composizione]], " - ", Tabella118[[#This Row],[Fornitore]])</f>
        <v/>
      </c>
      <c r="C169" s="943" t="n">
        <v>0.461</v>
      </c>
      <c r="D169" s="484" t="inlineStr">
        <is>
          <t>Santerno</t>
        </is>
      </c>
      <c r="E169" s="484">
        <f>IFERROR(IF(H169="BC",Tabella118[[#This Row],[composizione concatenata]],IF(H169="C",Tabella118[[#This Row],[composizione concatenata]],VLOOKUP(I169,$K$2:$O$7,5,FALSE))),+Tabella118[[#This Row],[composizione concatenata]])</f>
        <v/>
      </c>
      <c r="F169" s="943">
        <f>+_xlfn.IFNA(VLOOKUP(Tabella118[[#This Row],[Composizione alternativa per digitale]],Tabella118[[composizione concatenata]:[Euro/Mq]],2,FALSE),VLOOKUP(H169,digitale[[ONDA]:[Fornitore]],3,FALSE))</f>
        <v/>
      </c>
      <c r="G169" s="484" t="n"/>
      <c r="H169" s="484">
        <f>IF(MID(A169, FIND("/", A169, FIND("/", A169) + 1) + 1, 2)="A","C",MID(A169, FIND("/", A169, FIND("/", A169) + 1) + 1, 2))</f>
        <v/>
      </c>
      <c r="I169" s="486">
        <f>TRIM(H169)</f>
        <v/>
      </c>
    </row>
    <row r="170" ht="15" customHeight="1">
      <c r="A170" s="484" t="inlineStr">
        <is>
          <t>KbMK/363/B</t>
        </is>
      </c>
      <c r="B170" s="484">
        <f>+_xlfn.CONCAT(Tabella118[[#This Row],[Composizione]], " - ", Tabella118[[#This Row],[Fornitore]])</f>
        <v/>
      </c>
      <c r="C170" s="943" t="n">
        <v>0.372</v>
      </c>
      <c r="D170" s="484" t="inlineStr">
        <is>
          <t>Giusti</t>
        </is>
      </c>
      <c r="E170" s="484">
        <f>IFERROR(IF(H170="BC",Tabella118[[#This Row],[composizione concatenata]],IF(H170="C",Tabella118[[#This Row],[composizione concatenata]],VLOOKUP(I170,$K$2:$O$7,5,FALSE))),+Tabella118[[#This Row],[composizione concatenata]])</f>
        <v/>
      </c>
      <c r="F170" s="944">
        <f>+_xlfn.IFNA(VLOOKUP(Tabella118[[#This Row],[Composizione alternativa per digitale]],Tabella118[[composizione concatenata]:[Euro/Mq]],2,FALSE),VLOOKUP(H170,digitale[[ONDA]:[Fornitore]],3,FALSE))</f>
        <v/>
      </c>
      <c r="G170" s="484" t="n"/>
      <c r="H170" s="484">
        <f>IF(MID(A170, FIND("/", A170, FIND("/", A170) + 1) + 1, 2)="A","C",MID(A170, FIND("/", A170, FIND("/", A170) + 1) + 1, 2))</f>
        <v/>
      </c>
      <c r="I170" s="486">
        <f>TRIM(H170)</f>
        <v/>
      </c>
    </row>
    <row r="171" ht="15" customHeight="1">
      <c r="A171" s="484" t="inlineStr">
        <is>
          <t>KbMKb/242/B</t>
        </is>
      </c>
      <c r="B171" s="484">
        <f>+_xlfn.CONCAT(Tabella118[[#This Row],[Composizione]], " - ", Tabella118[[#This Row],[Fornitore]])</f>
        <v/>
      </c>
      <c r="C171" s="943" t="n">
        <v>0.36</v>
      </c>
      <c r="D171" s="484" t="inlineStr">
        <is>
          <t>Giusti</t>
        </is>
      </c>
      <c r="E171" s="484">
        <f>IFERROR(IF(H171="BC",Tabella118[[#This Row],[composizione concatenata]],IF(H171="C",Tabella118[[#This Row],[composizione concatenata]],VLOOKUP(I171,$K$2:$O$7,5,FALSE))),+Tabella118[[#This Row],[composizione concatenata]])</f>
        <v/>
      </c>
      <c r="F171" s="944">
        <f>+_xlfn.IFNA(VLOOKUP(Tabella118[[#This Row],[Composizione alternativa per digitale]],Tabella118[[composizione concatenata]:[Euro/Mq]],2,FALSE),VLOOKUP(H171,digitale[[ONDA]:[Fornitore]],3,FALSE))</f>
        <v/>
      </c>
      <c r="G171" s="484" t="n"/>
      <c r="H171" s="484">
        <f>IF(MID(A171, FIND("/", A171, FIND("/", A171) + 1) + 1, 2)="A","C",MID(A171, FIND("/", A171, FIND("/", A171) + 1) + 1, 2))</f>
        <v/>
      </c>
      <c r="I171" s="486">
        <f>TRIM(H171)</f>
        <v/>
      </c>
    </row>
    <row r="172" ht="15" customHeight="1">
      <c r="A172" s="491" t="inlineStr">
        <is>
          <t>KbMKb/242/E</t>
        </is>
      </c>
      <c r="B172" s="484">
        <f>+_xlfn.CONCAT(Tabella118[[#This Row],[Composizione]], " - ", Tabella118[[#This Row],[Fornitore]])</f>
        <v/>
      </c>
      <c r="C172" s="943" t="n">
        <v>0.412</v>
      </c>
      <c r="D172" s="484" t="inlineStr">
        <is>
          <t>Santerno</t>
        </is>
      </c>
      <c r="E172" s="484">
        <f>IFERROR(IF(H172="BC",Tabella118[[#This Row],[composizione concatenata]],IF(H172="C",Tabella118[[#This Row],[composizione concatenata]],VLOOKUP(I172,$K$2:$O$7,5,FALSE))),+Tabella118[[#This Row],[composizione concatenata]])</f>
        <v/>
      </c>
      <c r="F172" s="943">
        <f>+_xlfn.IFNA(VLOOKUP(Tabella118[[#This Row],[Composizione alternativa per digitale]],Tabella118[[composizione concatenata]:[Euro/Mq]],2,FALSE),VLOOKUP(H172,digitale[[ONDA]:[Fornitore]],3,FALSE))</f>
        <v/>
      </c>
      <c r="G172" s="484" t="n"/>
      <c r="H172" s="484">
        <f>IF(MID(A172, FIND("/", A172, FIND("/", A172) + 1) + 1, 2)="A","C",MID(A172, FIND("/", A172, FIND("/", A172) + 1) + 1, 2))</f>
        <v/>
      </c>
      <c r="I172" s="486">
        <f>TRIM(H172)</f>
        <v/>
      </c>
    </row>
    <row r="173" ht="15" customHeight="1">
      <c r="A173" s="491" t="inlineStr">
        <is>
          <t>KbMKb/242/E + ACC.</t>
        </is>
      </c>
      <c r="B173" s="484">
        <f>+_xlfn.CONCAT(Tabella118[[#This Row],[Composizione]], " - ", Tabella118[[#This Row],[Fornitore]])</f>
        <v/>
      </c>
      <c r="C173" s="943" t="n">
        <v>0.472</v>
      </c>
      <c r="D173" s="484" t="inlineStr">
        <is>
          <t>Santerno</t>
        </is>
      </c>
      <c r="E173" s="484">
        <f>IFERROR(IF(H173="BC",Tabella118[[#This Row],[composizione concatenata]],IF(H173="C",Tabella118[[#This Row],[composizione concatenata]],VLOOKUP(I173,$K$2:$O$7,5,FALSE))),+Tabella118[[#This Row],[composizione concatenata]])</f>
        <v/>
      </c>
      <c r="F173" s="943">
        <f>+_xlfn.IFNA(VLOOKUP(Tabella118[[#This Row],[Composizione alternativa per digitale]],Tabella118[[composizione concatenata]:[Euro/Mq]],2,FALSE),VLOOKUP(H173,digitale[[ONDA]:[Fornitore]],3,FALSE))</f>
        <v/>
      </c>
      <c r="G173" s="484" t="n"/>
      <c r="H173" s="484">
        <f>IF(MID(A173, FIND("/", A173, FIND("/", A173) + 1) + 1, 2)="A","C",MID(A173, FIND("/", A173, FIND("/", A173) + 1) + 1, 2))</f>
        <v/>
      </c>
      <c r="I173" s="486">
        <f>TRIM(H173)</f>
        <v/>
      </c>
    </row>
    <row r="174" ht="15" customHeight="1">
      <c r="A174" s="484" t="inlineStr">
        <is>
          <t>KbMKb/343/E</t>
        </is>
      </c>
      <c r="B174" s="484">
        <f>+_xlfn.CONCAT(Tabella118[[#This Row],[Composizione]], " - ", Tabella118[[#This Row],[Fornitore]])</f>
        <v/>
      </c>
      <c r="C174" s="943" t="n">
        <v>0.409</v>
      </c>
      <c r="D174" s="484" t="inlineStr">
        <is>
          <t>Giusti</t>
        </is>
      </c>
      <c r="E174" s="484">
        <f>IFERROR(IF(H174="BC",Tabella118[[#This Row],[composizione concatenata]],IF(H174="C",Tabella118[[#This Row],[composizione concatenata]],VLOOKUP(I174,$K$2:$O$7,5,FALSE))),+Tabella118[[#This Row],[composizione concatenata]])</f>
        <v/>
      </c>
      <c r="F174" s="944">
        <f>+_xlfn.IFNA(VLOOKUP(Tabella118[[#This Row],[Composizione alternativa per digitale]],Tabella118[[composizione concatenata]:[Euro/Mq]],2,FALSE),VLOOKUP(H174,digitale[[ONDA]:[Fornitore]],3,FALSE))</f>
        <v/>
      </c>
      <c r="G174" s="484" t="n"/>
      <c r="H174" s="484">
        <f>IF(MID(A174, FIND("/", A174, FIND("/", A174) + 1) + 1, 2)="A","C",MID(A174, FIND("/", A174, FIND("/", A174) + 1) + 1, 2))</f>
        <v/>
      </c>
      <c r="I174" s="486">
        <f>TRIM(H174)</f>
        <v/>
      </c>
    </row>
    <row r="175" ht="15" customHeight="1">
      <c r="A175" s="484" t="inlineStr">
        <is>
          <t>KbMKb/363/E</t>
        </is>
      </c>
      <c r="B175" s="484">
        <f>+_xlfn.CONCAT(Tabella118[[#This Row],[Composizione]], " - ", Tabella118[[#This Row],[Fornitore]])</f>
        <v/>
      </c>
      <c r="C175" s="943" t="n">
        <v>0.409</v>
      </c>
      <c r="D175" s="484" t="inlineStr">
        <is>
          <t>Giusti</t>
        </is>
      </c>
      <c r="E175" s="484">
        <f>IFERROR(IF(H175="BC",Tabella118[[#This Row],[composizione concatenata]],IF(H175="C",Tabella118[[#This Row],[composizione concatenata]],VLOOKUP(I175,$K$2:$O$7,5,FALSE))),+Tabella118[[#This Row],[composizione concatenata]])</f>
        <v/>
      </c>
      <c r="F175" s="944">
        <f>+_xlfn.IFNA(VLOOKUP(Tabella118[[#This Row],[Composizione alternativa per digitale]],Tabella118[[composizione concatenata]:[Euro/Mq]],2,FALSE),VLOOKUP(H175,digitale[[ONDA]:[Fornitore]],3,FALSE))</f>
        <v/>
      </c>
      <c r="G175" s="484" t="n"/>
      <c r="H175" s="484">
        <f>IF(MID(A175, FIND("/", A175, FIND("/", A175) + 1) + 1, 2)="A","C",MID(A175, FIND("/", A175, FIND("/", A175) + 1) + 1, 2))</f>
        <v/>
      </c>
      <c r="I175" s="486">
        <f>TRIM(H175)</f>
        <v/>
      </c>
    </row>
    <row r="176" ht="15" customHeight="1">
      <c r="A176" s="484" t="inlineStr">
        <is>
          <t>KbMT/242/B</t>
        </is>
      </c>
      <c r="B176" s="484">
        <f>+_xlfn.CONCAT(Tabella118[[#This Row],[Composizione]], " - ", Tabella118[[#This Row],[Fornitore]])</f>
        <v/>
      </c>
      <c r="C176" s="943" t="n">
        <v>0.325</v>
      </c>
      <c r="D176" s="484" t="inlineStr">
        <is>
          <t xml:space="preserve">Ds Smith </t>
        </is>
      </c>
      <c r="E176" s="484">
        <f>IFERROR(IF(H176="BC",Tabella118[[#This Row],[composizione concatenata]],IF(H176="C",Tabella118[[#This Row],[composizione concatenata]],VLOOKUP(I176,$K$2:$O$7,5,FALSE))),+Tabella118[[#This Row],[composizione concatenata]])</f>
        <v/>
      </c>
      <c r="F176" s="943">
        <f>+_xlfn.IFNA(VLOOKUP(Tabella118[[#This Row],[Composizione alternativa per digitale]],Tabella118[[composizione concatenata]:[Euro/Mq]],2,FALSE),VLOOKUP(H176,digitale[[ONDA]:[Fornitore]],3,FALSE))</f>
        <v/>
      </c>
      <c r="G176" s="484" t="n"/>
      <c r="H176" s="484">
        <f>IF(MID(A176, FIND("/", A176, FIND("/", A176) + 1) + 1, 2)="A","C",MID(A176, FIND("/", A176, FIND("/", A176) + 1) + 1, 2))</f>
        <v/>
      </c>
      <c r="I176" s="486">
        <f>TRIM(H176)</f>
        <v/>
      </c>
    </row>
    <row r="177" ht="15" customHeight="1">
      <c r="A177" s="484" t="inlineStr">
        <is>
          <t>KbMT/242/B</t>
        </is>
      </c>
      <c r="B177" s="484">
        <f>+_xlfn.CONCAT(Tabella118[[#This Row],[Composizione]], " - ", Tabella118[[#This Row],[Fornitore]])</f>
        <v/>
      </c>
      <c r="C177" s="943" t="n">
        <v>0.297</v>
      </c>
      <c r="D177" s="484" t="inlineStr">
        <is>
          <t>Giusti</t>
        </is>
      </c>
      <c r="E177" s="484">
        <f>IFERROR(IF(H177="BC",Tabella118[[#This Row],[composizione concatenata]],IF(H177="C",Tabella118[[#This Row],[composizione concatenata]],VLOOKUP(I177,$K$2:$O$7,5,FALSE))),+Tabella118[[#This Row],[composizione concatenata]])</f>
        <v/>
      </c>
      <c r="F177" s="944">
        <f>+_xlfn.IFNA(VLOOKUP(Tabella118[[#This Row],[Composizione alternativa per digitale]],Tabella118[[composizione concatenata]:[Euro/Mq]],2,FALSE),VLOOKUP(H177,digitale[[ONDA]:[Fornitore]],3,FALSE))</f>
        <v/>
      </c>
      <c r="G177" s="484" t="n"/>
      <c r="H177" s="484">
        <f>IF(MID(A177, FIND("/", A177, FIND("/", A177) + 1) + 1, 2)="A","C",MID(A177, FIND("/", A177, FIND("/", A177) + 1) + 1, 2))</f>
        <v/>
      </c>
      <c r="I177" s="486">
        <f>TRIM(H177)</f>
        <v/>
      </c>
    </row>
    <row r="178" ht="15" customHeight="1">
      <c r="A178" s="483" t="inlineStr">
        <is>
          <t>KbMT/242/B</t>
        </is>
      </c>
      <c r="B178" s="484">
        <f>+_xlfn.CONCAT(Tabella118[[#This Row],[Composizione]], " - ", Tabella118[[#This Row],[Fornitore]])</f>
        <v/>
      </c>
      <c r="C178" s="950" t="n">
        <v>0.279</v>
      </c>
      <c r="D178" s="484" t="inlineStr">
        <is>
          <t>Cartstrong</t>
        </is>
      </c>
      <c r="E178" s="484">
        <f>IFERROR(IF(H178="BC",Tabella118[[#This Row],[composizione concatenata]],IF(H178="C",Tabella118[[#This Row],[composizione concatenata]],VLOOKUP(I178,$K$2:$O$7,5,FALSE))),+Tabella118[[#This Row],[composizione concatenata]])</f>
        <v/>
      </c>
      <c r="F178" s="943">
        <f>+_xlfn.IFNA(VLOOKUP(Tabella118[[#This Row],[Composizione alternativa per digitale]],Tabella118[[composizione concatenata]:[Euro/Mq]],2,FALSE),VLOOKUP(H178,digitale[[ONDA]:[Fornitore]],3,FALSE))</f>
        <v/>
      </c>
      <c r="G178" s="484" t="n"/>
      <c r="H178" s="484">
        <f>IF(MID(A178, FIND("/", A178, FIND("/", A178) + 1) + 1, 2)="A","C",MID(A178, FIND("/", A178, FIND("/", A178) + 1) + 1, 2))</f>
        <v/>
      </c>
      <c r="I178" s="486">
        <f>TRIM(H178)</f>
        <v/>
      </c>
    </row>
    <row r="179" ht="15" customHeight="1">
      <c r="A179" s="484" t="inlineStr">
        <is>
          <t>KbMT/242/B</t>
        </is>
      </c>
      <c r="B179" s="484">
        <f>+_xlfn.CONCAT(Tabella118[[#This Row],[Composizione]], " - ", Tabella118[[#This Row],[Fornitore]])</f>
        <v/>
      </c>
      <c r="C179" s="943" t="n">
        <v>0.274</v>
      </c>
      <c r="D179" s="484" t="inlineStr">
        <is>
          <t>FEPA</t>
        </is>
      </c>
      <c r="E179" s="484">
        <f>IFERROR(IF(H179="BC",Tabella118[[#This Row],[composizione concatenata]],IF(H179="C",Tabella118[[#This Row],[composizione concatenata]],VLOOKUP(I179,$K$2:$O$7,5,FALSE))),+Tabella118[[#This Row],[composizione concatenata]])</f>
        <v/>
      </c>
      <c r="F179" s="944">
        <f>+_xlfn.IFNA(VLOOKUP(Tabella118[[#This Row],[Composizione alternativa per digitale]],Tabella118[[composizione concatenata]:[Euro/Mq]],2,FALSE),VLOOKUP(H179,digitale[[ONDA]:[Fornitore]],3,FALSE))</f>
        <v/>
      </c>
      <c r="G179" s="484" t="n"/>
      <c r="H179" s="484">
        <f>IF(MID(A179, FIND("/", A179, FIND("/", A179) + 1) + 1, 2)="A","C",MID(A179, FIND("/", A179, FIND("/", A179) + 1) + 1, 2))</f>
        <v/>
      </c>
      <c r="I179" s="486">
        <f>TRIM(H179)</f>
        <v/>
      </c>
    </row>
    <row r="180" ht="15" customHeight="1">
      <c r="A180" s="484" t="inlineStr">
        <is>
          <t>KbMT/242/E</t>
        </is>
      </c>
      <c r="B180" s="484">
        <f>+_xlfn.CONCAT(Tabella118[[#This Row],[Composizione]], " - ", Tabella118[[#This Row],[Fornitore]])</f>
        <v/>
      </c>
      <c r="C180" s="943" t="n">
        <v>0.305</v>
      </c>
      <c r="D180" s="484" t="inlineStr">
        <is>
          <t xml:space="preserve">Ds Smith </t>
        </is>
      </c>
      <c r="E180" s="484">
        <f>IFERROR(IF(H180="BC",Tabella118[[#This Row],[composizione concatenata]],IF(H180="C",Tabella118[[#This Row],[composizione concatenata]],VLOOKUP(I180,$K$2:$O$7,5,FALSE))),+Tabella118[[#This Row],[composizione concatenata]])</f>
        <v/>
      </c>
      <c r="F180" s="943">
        <f>+_xlfn.IFNA(VLOOKUP(Tabella118[[#This Row],[Composizione alternativa per digitale]],Tabella118[[composizione concatenata]:[Euro/Mq]],2,FALSE),VLOOKUP(H180,digitale[[ONDA]:[Fornitore]],3,FALSE))</f>
        <v/>
      </c>
      <c r="G180" s="484" t="n"/>
      <c r="H180" s="484">
        <f>IF(MID(A180, FIND("/", A180, FIND("/", A180) + 1) + 1, 2)="A","C",MID(A180, FIND("/", A180, FIND("/", A180) + 1) + 1, 2))</f>
        <v/>
      </c>
      <c r="I180" s="486">
        <f>TRIM(H180)</f>
        <v/>
      </c>
    </row>
    <row r="181" ht="15" customHeight="1">
      <c r="A181" s="484" t="inlineStr">
        <is>
          <t>KbMT/242/E</t>
        </is>
      </c>
      <c r="B181" s="484">
        <f>+_xlfn.CONCAT(Tabella118[[#This Row],[Composizione]], " - ", Tabella118[[#This Row],[Fornitore]])</f>
        <v/>
      </c>
      <c r="C181" s="943" t="n">
        <v>0.292</v>
      </c>
      <c r="D181" s="484" t="inlineStr">
        <is>
          <t>Giusti</t>
        </is>
      </c>
      <c r="E181" s="484">
        <f>IFERROR(IF(H181="BC",Tabella118[[#This Row],[composizione concatenata]],IF(H181="C",Tabella118[[#This Row],[composizione concatenata]],VLOOKUP(I181,$K$2:$O$7,5,FALSE))),+Tabella118[[#This Row],[composizione concatenata]])</f>
        <v/>
      </c>
      <c r="F181" s="944">
        <f>+_xlfn.IFNA(VLOOKUP(Tabella118[[#This Row],[Composizione alternativa per digitale]],Tabella118[[composizione concatenata]:[Euro/Mq]],2,FALSE),VLOOKUP(H181,digitale[[ONDA]:[Fornitore]],3,FALSE))</f>
        <v/>
      </c>
      <c r="G181" s="484" t="n"/>
      <c r="H181" s="484">
        <f>IF(MID(A181, FIND("/", A181, FIND("/", A181) + 1) + 1, 2)="A","C",MID(A181, FIND("/", A181, FIND("/", A181) + 1) + 1, 2))</f>
        <v/>
      </c>
      <c r="I181" s="486">
        <f>TRIM(H181)</f>
        <v/>
      </c>
    </row>
    <row r="182" ht="15" customHeight="1">
      <c r="A182" s="483" t="inlineStr">
        <is>
          <t>KbMT/242/E</t>
        </is>
      </c>
      <c r="B182" s="484">
        <f>+_xlfn.CONCAT(Tabella118[[#This Row],[Composizione]], " - ", Tabella118[[#This Row],[Fornitore]])</f>
        <v/>
      </c>
      <c r="C182" s="950" t="n">
        <v>0.275</v>
      </c>
      <c r="D182" s="484" t="inlineStr">
        <is>
          <t>Cartstrong</t>
        </is>
      </c>
      <c r="E182" s="484">
        <f>IFERROR(IF(H182="BC",Tabella118[[#This Row],[composizione concatenata]],IF(H182="C",Tabella118[[#This Row],[composizione concatenata]],VLOOKUP(I182,$K$2:$O$7,5,FALSE))),+Tabella118[[#This Row],[composizione concatenata]])</f>
        <v/>
      </c>
      <c r="F182" s="943">
        <f>+_xlfn.IFNA(VLOOKUP(Tabella118[[#This Row],[Composizione alternativa per digitale]],Tabella118[[composizione concatenata]:[Euro/Mq]],2,FALSE),VLOOKUP(H182,digitale[[ONDA]:[Fornitore]],3,FALSE))</f>
        <v/>
      </c>
      <c r="G182" s="484" t="n"/>
      <c r="H182" s="484">
        <f>IF(MID(A182, FIND("/", A182, FIND("/", A182) + 1) + 1, 2)="A","C",MID(A182, FIND("/", A182, FIND("/", A182) + 1) + 1, 2))</f>
        <v/>
      </c>
      <c r="I182" s="486">
        <f>TRIM(H182)</f>
        <v/>
      </c>
    </row>
    <row r="183" ht="15" customHeight="1">
      <c r="A183" s="491" t="inlineStr">
        <is>
          <t>KbMT/242/F</t>
        </is>
      </c>
      <c r="B183" s="484">
        <f>+_xlfn.CONCAT(Tabella118[[#This Row],[Composizione]], " - ", Tabella118[[#This Row],[Fornitore]])</f>
        <v/>
      </c>
      <c r="C183" s="943" t="n">
        <v>0.359</v>
      </c>
      <c r="D183" s="484" t="inlineStr">
        <is>
          <t>Santerno</t>
        </is>
      </c>
      <c r="E183" s="484">
        <f>IFERROR(IF(H183="BC",Tabella118[[#This Row],[composizione concatenata]],IF(H183="C",Tabella118[[#This Row],[composizione concatenata]],VLOOKUP(I183,$K$2:$O$7,5,FALSE))),+Tabella118[[#This Row],[composizione concatenata]])</f>
        <v/>
      </c>
      <c r="F183" s="943">
        <f>+_xlfn.IFNA(VLOOKUP(Tabella118[[#This Row],[Composizione alternativa per digitale]],Tabella118[[composizione concatenata]:[Euro/Mq]],2,FALSE),VLOOKUP(H183,digitale[[ONDA]:[Fornitore]],3,FALSE))</f>
        <v/>
      </c>
      <c r="G183" s="484" t="n"/>
      <c r="H183" s="484">
        <f>IF(MID(A183, FIND("/", A183, FIND("/", A183) + 1) + 1, 2)="A","C",MID(A183, FIND("/", A183, FIND("/", A183) + 1) + 1, 2))</f>
        <v/>
      </c>
      <c r="I183" s="486">
        <f>TRIM(H183)</f>
        <v/>
      </c>
    </row>
    <row r="184" ht="15" customHeight="1">
      <c r="A184" s="491" t="inlineStr">
        <is>
          <t>KbMT/242/F + ACC.</t>
        </is>
      </c>
      <c r="B184" s="484">
        <f>+_xlfn.CONCAT(Tabella118[[#This Row],[Composizione]], " - ", Tabella118[[#This Row],[Fornitore]])</f>
        <v/>
      </c>
      <c r="C184" s="943" t="n">
        <v>0.419</v>
      </c>
      <c r="D184" s="484" t="inlineStr">
        <is>
          <t>Santerno</t>
        </is>
      </c>
      <c r="E184" s="484">
        <f>IFERROR(IF(H184="BC",Tabella118[[#This Row],[composizione concatenata]],IF(H184="C",Tabella118[[#This Row],[composizione concatenata]],VLOOKUP(I184,$K$2:$O$7,5,FALSE))),+Tabella118[[#This Row],[composizione concatenata]])</f>
        <v/>
      </c>
      <c r="F184" s="943">
        <f>+_xlfn.IFNA(VLOOKUP(Tabella118[[#This Row],[Composizione alternativa per digitale]],Tabella118[[composizione concatenata]:[Euro/Mq]],2,FALSE),VLOOKUP(H184,digitale[[ONDA]:[Fornitore]],3,FALSE))</f>
        <v/>
      </c>
      <c r="G184" s="484" t="n"/>
      <c r="H184" s="484">
        <f>IF(MID(A184, FIND("/", A184, FIND("/", A184) + 1) + 1, 2)="A","C",MID(A184, FIND("/", A184, FIND("/", A184) + 1) + 1, 2))</f>
        <v/>
      </c>
      <c r="I184" s="486">
        <f>TRIM(H184)</f>
        <v/>
      </c>
    </row>
    <row r="185" ht="15" customHeight="1">
      <c r="A185" s="484" t="inlineStr">
        <is>
          <t>KbMT/262/B</t>
        </is>
      </c>
      <c r="B185" s="484">
        <f>+_xlfn.CONCAT(Tabella118[[#This Row],[Composizione]], " - ", Tabella118[[#This Row],[Fornitore]])</f>
        <v/>
      </c>
      <c r="C185" s="943" t="n">
        <v>0.315</v>
      </c>
      <c r="D185" s="484" t="inlineStr">
        <is>
          <t>Giusti</t>
        </is>
      </c>
      <c r="E185" s="484">
        <f>IFERROR(IF(H185="BC",Tabella118[[#This Row],[composizione concatenata]],IF(H185="C",Tabella118[[#This Row],[composizione concatenata]],VLOOKUP(I185,$K$2:$O$7,5,FALSE))),+Tabella118[[#This Row],[composizione concatenata]])</f>
        <v/>
      </c>
      <c r="F185" s="944">
        <f>+_xlfn.IFNA(VLOOKUP(Tabella118[[#This Row],[Composizione alternativa per digitale]],Tabella118[[composizione concatenata]:[Euro/Mq]],2,FALSE),VLOOKUP(H185,digitale[[ONDA]:[Fornitore]],3,FALSE))</f>
        <v/>
      </c>
      <c r="G185" s="484" t="n"/>
      <c r="H185" s="484">
        <f>IF(MID(A185, FIND("/", A185, FIND("/", A185) + 1) + 1, 2)="A","C",MID(A185, FIND("/", A185, FIND("/", A185) + 1) + 1, 2))</f>
        <v/>
      </c>
      <c r="I185" s="486">
        <f>TRIM(H185)</f>
        <v/>
      </c>
    </row>
    <row r="186" ht="15" customHeight="1">
      <c r="A186" s="484" t="inlineStr">
        <is>
          <t>KbMT/262/E</t>
        </is>
      </c>
      <c r="B186" s="484">
        <f>+_xlfn.CONCAT(Tabella118[[#This Row],[Composizione]], " - ", Tabella118[[#This Row],[Fornitore]])</f>
        <v/>
      </c>
      <c r="C186" s="943" t="n">
        <v>0.317</v>
      </c>
      <c r="D186" s="484" t="inlineStr">
        <is>
          <t>Giusti</t>
        </is>
      </c>
      <c r="E186" s="484">
        <f>IFERROR(IF(H186="BC",Tabella118[[#This Row],[composizione concatenata]],IF(H186="C",Tabella118[[#This Row],[composizione concatenata]],VLOOKUP(I186,$K$2:$O$7,5,FALSE))),+Tabella118[[#This Row],[composizione concatenata]])</f>
        <v/>
      </c>
      <c r="F186" s="944">
        <f>+_xlfn.IFNA(VLOOKUP(Tabella118[[#This Row],[Composizione alternativa per digitale]],Tabella118[[composizione concatenata]:[Euro/Mq]],2,FALSE),VLOOKUP(H186,digitale[[ONDA]:[Fornitore]],3,FALSE))</f>
        <v/>
      </c>
      <c r="G186" s="484" t="n"/>
      <c r="H186" s="484">
        <f>IF(MID(A186, FIND("/", A186, FIND("/", A186) + 1) + 1, 2)="A","C",MID(A186, FIND("/", A186, FIND("/", A186) + 1) + 1, 2))</f>
        <v/>
      </c>
      <c r="I186" s="486">
        <f>TRIM(H186)</f>
        <v/>
      </c>
    </row>
    <row r="187" ht="15" customHeight="1">
      <c r="A187" s="483" t="inlineStr">
        <is>
          <t>KbMT/262/E</t>
        </is>
      </c>
      <c r="B187" s="484">
        <f>+_xlfn.CONCAT(Tabella118[[#This Row],[Composizione]], " - ", Tabella118[[#This Row],[Fornitore]])</f>
        <v/>
      </c>
      <c r="C187" s="950" t="n">
        <v>0.297</v>
      </c>
      <c r="D187" s="484" t="inlineStr">
        <is>
          <t>Cartstrong</t>
        </is>
      </c>
      <c r="E187" s="484">
        <f>IFERROR(IF(H187="BC",Tabella118[[#This Row],[composizione concatenata]],IF(H187="C",Tabella118[[#This Row],[composizione concatenata]],VLOOKUP(I187,$K$2:$O$7,5,FALSE))),+Tabella118[[#This Row],[composizione concatenata]])</f>
        <v/>
      </c>
      <c r="F187" s="943">
        <f>+_xlfn.IFNA(VLOOKUP(Tabella118[[#This Row],[Composizione alternativa per digitale]],Tabella118[[composizione concatenata]:[Euro/Mq]],2,FALSE),VLOOKUP(H187,digitale[[ONDA]:[Fornitore]],3,FALSE))</f>
        <v/>
      </c>
      <c r="G187" s="484" t="n"/>
      <c r="H187" s="484">
        <f>IF(MID(A187, FIND("/", A187, FIND("/", A187) + 1) + 1, 2)="A","C",MID(A187, FIND("/", A187, FIND("/", A187) + 1) + 1, 2))</f>
        <v/>
      </c>
      <c r="I187" s="486">
        <f>TRIM(H187)</f>
        <v/>
      </c>
    </row>
    <row r="188" ht="15" customHeight="1">
      <c r="A188" s="484" t="inlineStr">
        <is>
          <t>KbMT/342/B</t>
        </is>
      </c>
      <c r="B188" s="484">
        <f>+_xlfn.CONCAT(Tabella118[[#This Row],[Composizione]], " - ", Tabella118[[#This Row],[Fornitore]])</f>
        <v/>
      </c>
      <c r="C188" s="943" t="n">
        <v>0.321</v>
      </c>
      <c r="D188" s="484" t="inlineStr">
        <is>
          <t>Giusti</t>
        </is>
      </c>
      <c r="E188" s="484">
        <f>IFERROR(IF(H188="BC",Tabella118[[#This Row],[composizione concatenata]],IF(H188="C",Tabella118[[#This Row],[composizione concatenata]],VLOOKUP(I188,$K$2:$O$7,5,FALSE))),+Tabella118[[#This Row],[composizione concatenata]])</f>
        <v/>
      </c>
      <c r="F188" s="944">
        <f>+_xlfn.IFNA(VLOOKUP(Tabella118[[#This Row],[Composizione alternativa per digitale]],Tabella118[[composizione concatenata]:[Euro/Mq]],2,FALSE),VLOOKUP(H188,digitale[[ONDA]:[Fornitore]],3,FALSE))</f>
        <v/>
      </c>
      <c r="G188" s="484" t="n"/>
      <c r="H188" s="484">
        <f>IF(MID(A188, FIND("/", A188, FIND("/", A188) + 1) + 1, 2)="A","C",MID(A188, FIND("/", A188, FIND("/", A188) + 1) + 1, 2))</f>
        <v/>
      </c>
      <c r="I188" s="486">
        <f>TRIM(H188)</f>
        <v/>
      </c>
    </row>
    <row r="189" ht="15" customHeight="1">
      <c r="A189" s="484" t="inlineStr">
        <is>
          <t>KbMT/342/E</t>
        </is>
      </c>
      <c r="B189" s="484">
        <f>+_xlfn.CONCAT(Tabella118[[#This Row],[Composizione]], " - ", Tabella118[[#This Row],[Fornitore]])</f>
        <v/>
      </c>
      <c r="C189" s="943" t="n">
        <v>0.311</v>
      </c>
      <c r="D189" s="484" t="inlineStr">
        <is>
          <t>Giusti</t>
        </is>
      </c>
      <c r="E189" s="484">
        <f>IFERROR(IF(H189="BC",Tabella118[[#This Row],[composizione concatenata]],IF(H189="C",Tabella118[[#This Row],[composizione concatenata]],VLOOKUP(I189,$K$2:$O$7,5,FALSE))),+Tabella118[[#This Row],[composizione concatenata]])</f>
        <v/>
      </c>
      <c r="F189" s="944">
        <f>+_xlfn.IFNA(VLOOKUP(Tabella118[[#This Row],[Composizione alternativa per digitale]],Tabella118[[composizione concatenata]:[Euro/Mq]],2,FALSE),VLOOKUP(H189,digitale[[ONDA]:[Fornitore]],3,FALSE))</f>
        <v/>
      </c>
      <c r="G189" s="484" t="n"/>
      <c r="H189" s="484">
        <f>IF(MID(A189, FIND("/", A189, FIND("/", A189) + 1) + 1, 2)="A","C",MID(A189, FIND("/", A189, FIND("/", A189) + 1) + 1, 2))</f>
        <v/>
      </c>
      <c r="I189" s="486">
        <f>TRIM(H189)</f>
        <v/>
      </c>
    </row>
    <row r="190" ht="15" customHeight="1">
      <c r="A190" s="484" t="inlineStr">
        <is>
          <t>KbMT/343/E</t>
        </is>
      </c>
      <c r="B190" s="484">
        <f>+_xlfn.CONCAT(Tabella118[[#This Row],[Composizione]], " - ", Tabella118[[#This Row],[Fornitore]])</f>
        <v/>
      </c>
      <c r="C190" s="943" t="n">
        <v>0.334</v>
      </c>
      <c r="D190" s="484" t="inlineStr">
        <is>
          <t>Giusti</t>
        </is>
      </c>
      <c r="E190" s="484">
        <f>IFERROR(IF(H190="BC",Tabella118[[#This Row],[composizione concatenata]],IF(H190="C",Tabella118[[#This Row],[composizione concatenata]],VLOOKUP(I190,$K$2:$O$7,5,FALSE))),+Tabella118[[#This Row],[composizione concatenata]])</f>
        <v/>
      </c>
      <c r="F190" s="944">
        <f>+_xlfn.IFNA(VLOOKUP(Tabella118[[#This Row],[Composizione alternativa per digitale]],Tabella118[[composizione concatenata]:[Euro/Mq]],2,FALSE),VLOOKUP(H190,digitale[[ONDA]:[Fornitore]],3,FALSE))</f>
        <v/>
      </c>
      <c r="G190" s="484" t="n"/>
      <c r="H190" s="484">
        <f>IF(MID(A190, FIND("/", A190, FIND("/", A190) + 1) + 1, 2)="A","C",MID(A190, FIND("/", A190, FIND("/", A190) + 1) + 1, 2))</f>
        <v/>
      </c>
      <c r="I190" s="486">
        <f>TRIM(H190)</f>
        <v/>
      </c>
    </row>
    <row r="191" ht="15" customHeight="1">
      <c r="A191" s="484" t="inlineStr">
        <is>
          <t>KbMTb/243/B</t>
        </is>
      </c>
      <c r="B191" s="484">
        <f>+_xlfn.CONCAT(Tabella118[[#This Row],[Composizione]], " - ", Tabella118[[#This Row],[Fornitore]])</f>
        <v/>
      </c>
      <c r="C191" s="943" t="n">
        <v>0.329</v>
      </c>
      <c r="D191" s="484" t="inlineStr">
        <is>
          <t>Giusti</t>
        </is>
      </c>
      <c r="E191" s="484">
        <f>IFERROR(IF(H191="BC",Tabella118[[#This Row],[composizione concatenata]],IF(H191="C",Tabella118[[#This Row],[composizione concatenata]],VLOOKUP(I191,$K$2:$O$7,5,FALSE))),+Tabella118[[#This Row],[composizione concatenata]])</f>
        <v/>
      </c>
      <c r="F191" s="944">
        <f>+_xlfn.IFNA(VLOOKUP(Tabella118[[#This Row],[Composizione alternativa per digitale]],Tabella118[[composizione concatenata]:[Euro/Mq]],2,FALSE),VLOOKUP(H191,digitale[[ONDA]:[Fornitore]],3,FALSE))</f>
        <v/>
      </c>
      <c r="G191" s="484" t="n"/>
      <c r="H191" s="484">
        <f>IF(MID(A191, FIND("/", A191, FIND("/", A191) + 1) + 1, 2)="A","C",MID(A191, FIND("/", A191, FIND("/", A191) + 1) + 1, 2))</f>
        <v/>
      </c>
      <c r="I191" s="486">
        <f>TRIM(H191)</f>
        <v/>
      </c>
    </row>
    <row r="192" ht="15" customHeight="1">
      <c r="A192" s="491" t="inlineStr">
        <is>
          <t>KbMTb/243/E</t>
        </is>
      </c>
      <c r="B192" s="484">
        <f>+_xlfn.CONCAT(Tabella118[[#This Row],[Composizione]], " - ", Tabella118[[#This Row],[Fornitore]])</f>
        <v/>
      </c>
      <c r="C192" s="943" t="n">
        <v>0.379</v>
      </c>
      <c r="D192" s="484" t="inlineStr">
        <is>
          <t>Santerno</t>
        </is>
      </c>
      <c r="E192" s="484">
        <f>IFERROR(IF(H192="BC",Tabella118[[#This Row],[composizione concatenata]],IF(H192="C",Tabella118[[#This Row],[composizione concatenata]],VLOOKUP(I192,$K$2:$O$7,5,FALSE))),+Tabella118[[#This Row],[composizione concatenata]])</f>
        <v/>
      </c>
      <c r="F192" s="943">
        <f>+_xlfn.IFNA(VLOOKUP(Tabella118[[#This Row],[Composizione alternativa per digitale]],Tabella118[[composizione concatenata]:[Euro/Mq]],2,FALSE),VLOOKUP(H192,digitale[[ONDA]:[Fornitore]],3,FALSE))</f>
        <v/>
      </c>
      <c r="G192" s="484" t="n"/>
      <c r="H192" s="484">
        <f>IF(MID(A192, FIND("/", A192, FIND("/", A192) + 1) + 1, 2)="A","C",MID(A192, FIND("/", A192, FIND("/", A192) + 1) + 1, 2))</f>
        <v/>
      </c>
      <c r="I192" s="486">
        <f>TRIM(H192)</f>
        <v/>
      </c>
    </row>
    <row r="193" ht="15" customHeight="1">
      <c r="A193" s="484" t="inlineStr">
        <is>
          <t>KbMTb/243/E</t>
        </is>
      </c>
      <c r="B193" s="484">
        <f>+_xlfn.CONCAT(Tabella118[[#This Row],[Composizione]], " - ", Tabella118[[#This Row],[Fornitore]])</f>
        <v/>
      </c>
      <c r="C193" s="943" t="n">
        <v>0.324</v>
      </c>
      <c r="D193" s="484" t="inlineStr">
        <is>
          <t>Giusti</t>
        </is>
      </c>
      <c r="E193" s="484">
        <f>IFERROR(IF(H193="BC",Tabella118[[#This Row],[composizione concatenata]],IF(H193="C",Tabella118[[#This Row],[composizione concatenata]],VLOOKUP(I193,$K$2:$O$7,5,FALSE))),+Tabella118[[#This Row],[composizione concatenata]])</f>
        <v/>
      </c>
      <c r="F193" s="944">
        <f>+_xlfn.IFNA(VLOOKUP(Tabella118[[#This Row],[Composizione alternativa per digitale]],Tabella118[[composizione concatenata]:[Euro/Mq]],2,FALSE),VLOOKUP(H193,digitale[[ONDA]:[Fornitore]],3,FALSE))</f>
        <v/>
      </c>
      <c r="G193" s="484" t="n"/>
      <c r="H193" s="484">
        <f>IF(MID(A193, FIND("/", A193, FIND("/", A193) + 1) + 1, 2)="A","C",MID(A193, FIND("/", A193, FIND("/", A193) + 1) + 1, 2))</f>
        <v/>
      </c>
      <c r="I193" s="486">
        <f>TRIM(H193)</f>
        <v/>
      </c>
    </row>
    <row r="194" ht="15" customHeight="1">
      <c r="A194" s="491" t="inlineStr">
        <is>
          <t>KbMTb/243/E + ACC.</t>
        </is>
      </c>
      <c r="B194" s="484">
        <f>+_xlfn.CONCAT(Tabella118[[#This Row],[Composizione]], " - ", Tabella118[[#This Row],[Fornitore]])</f>
        <v/>
      </c>
      <c r="C194" s="943" t="n">
        <v>0.439</v>
      </c>
      <c r="D194" s="484" t="inlineStr">
        <is>
          <t>Santerno</t>
        </is>
      </c>
      <c r="E194" s="484">
        <f>IFERROR(IF(H194="BC",Tabella118[[#This Row],[composizione concatenata]],IF(H194="C",Tabella118[[#This Row],[composizione concatenata]],VLOOKUP(I194,$K$2:$O$7,5,FALSE))),+Tabella118[[#This Row],[composizione concatenata]])</f>
        <v/>
      </c>
      <c r="F194" s="943">
        <f>+_xlfn.IFNA(VLOOKUP(Tabella118[[#This Row],[Composizione alternativa per digitale]],Tabella118[[composizione concatenata]:[Euro/Mq]],2,FALSE),VLOOKUP(H194,digitale[[ONDA]:[Fornitore]],3,FALSE))</f>
        <v/>
      </c>
      <c r="G194" s="484" t="n"/>
      <c r="H194" s="484">
        <f>IF(MID(A194, FIND("/", A194, FIND("/", A194) + 1) + 1, 2)="A","C",MID(A194, FIND("/", A194, FIND("/", A194) + 1) + 1, 2))</f>
        <v/>
      </c>
      <c r="I194" s="486">
        <f>TRIM(H194)</f>
        <v/>
      </c>
    </row>
    <row r="195" ht="15" customHeight="1">
      <c r="A195" s="484" t="inlineStr">
        <is>
          <t>KbMTb/263/E</t>
        </is>
      </c>
      <c r="B195" s="484">
        <f>+_xlfn.CONCAT(Tabella118[[#This Row],[Composizione]], " - ", Tabella118[[#This Row],[Fornitore]])</f>
        <v/>
      </c>
      <c r="C195" s="943" t="n">
        <v>0.359</v>
      </c>
      <c r="D195" s="484" t="inlineStr">
        <is>
          <t>Giusti</t>
        </is>
      </c>
      <c r="E195" s="484">
        <f>IFERROR(IF(H195="BC",Tabella118[[#This Row],[composizione concatenata]],IF(H195="C",Tabella118[[#This Row],[composizione concatenata]],VLOOKUP(I195,$K$2:$O$7,5,FALSE))),+Tabella118[[#This Row],[composizione concatenata]])</f>
        <v/>
      </c>
      <c r="F195" s="944">
        <f>+_xlfn.IFNA(VLOOKUP(Tabella118[[#This Row],[Composizione alternativa per digitale]],Tabella118[[composizione concatenata]:[Euro/Mq]],2,FALSE),VLOOKUP(H195,digitale[[ONDA]:[Fornitore]],3,FALSE))</f>
        <v/>
      </c>
      <c r="G195" s="484" t="n"/>
      <c r="H195" s="484">
        <f>IF(MID(A195, FIND("/", A195, FIND("/", A195) + 1) + 1, 2)="A","C",MID(A195, FIND("/", A195, FIND("/", A195) + 1) + 1, 2))</f>
        <v/>
      </c>
      <c r="I195" s="486">
        <f>TRIM(H195)</f>
        <v/>
      </c>
    </row>
    <row r="196" ht="15" customHeight="1">
      <c r="A196" s="484" t="inlineStr">
        <is>
          <t>KbMTb/343/E</t>
        </is>
      </c>
      <c r="B196" s="484">
        <f>+_xlfn.CONCAT(Tabella118[[#This Row],[Composizione]], " - ", Tabella118[[#This Row],[Fornitore]])</f>
        <v/>
      </c>
      <c r="C196" s="943" t="n">
        <v>0.368</v>
      </c>
      <c r="D196" s="484" t="inlineStr">
        <is>
          <t>Giusti</t>
        </is>
      </c>
      <c r="E196" s="484">
        <f>IFERROR(IF(H196="BC",Tabella118[[#This Row],[composizione concatenata]],IF(H196="C",Tabella118[[#This Row],[composizione concatenata]],VLOOKUP(I196,$K$2:$O$7,5,FALSE))),+Tabella118[[#This Row],[composizione concatenata]])</f>
        <v/>
      </c>
      <c r="F196" s="944">
        <f>+_xlfn.IFNA(VLOOKUP(Tabella118[[#This Row],[Composizione alternativa per digitale]],Tabella118[[composizione concatenata]:[Euro/Mq]],2,FALSE),VLOOKUP(H196,digitale[[ONDA]:[Fornitore]],3,FALSE))</f>
        <v/>
      </c>
      <c r="G196" s="484" t="n"/>
      <c r="H196" s="484">
        <f>IF(MID(A196, FIND("/", A196, FIND("/", A196) + 1) + 1, 2)="A","C",MID(A196, FIND("/", A196, FIND("/", A196) + 1) + 1, 2))</f>
        <v/>
      </c>
      <c r="I196" s="486">
        <f>TRIM(H196)</f>
        <v/>
      </c>
    </row>
    <row r="197" ht="15" customHeight="1">
      <c r="A197" s="484" t="inlineStr">
        <is>
          <t>KbMUK/242/E</t>
        </is>
      </c>
      <c r="B197" s="484">
        <f>+_xlfn.CONCAT(Tabella118[[#This Row],[Composizione]], " - ", Tabella118[[#This Row],[Fornitore]])</f>
        <v/>
      </c>
      <c r="C197" s="943" t="n">
        <v>0.325</v>
      </c>
      <c r="D197" s="484" t="inlineStr">
        <is>
          <t>FEPA</t>
        </is>
      </c>
      <c r="E197" s="484">
        <f>IFERROR(IF(H197="BC",Tabella118[[#This Row],[composizione concatenata]],IF(H197="C",Tabella118[[#This Row],[composizione concatenata]],VLOOKUP(I197,$K$2:$O$7,5,FALSE))),+Tabella118[[#This Row],[composizione concatenata]])</f>
        <v/>
      </c>
      <c r="F197" s="944">
        <f>+_xlfn.IFNA(VLOOKUP(Tabella118[[#This Row],[Composizione alternativa per digitale]],Tabella118[[composizione concatenata]:[Euro/Mq]],2,FALSE),VLOOKUP(H197,digitale[[ONDA]:[Fornitore]],3,FALSE))</f>
        <v/>
      </c>
      <c r="G197" s="484" t="n"/>
      <c r="H197" s="484">
        <f>IF(MID(A197, FIND("/", A197, FIND("/", A197) + 1) + 1, 2)="A","C",MID(A197, FIND("/", A197, FIND("/", A197) + 1) + 1, 2))</f>
        <v/>
      </c>
      <c r="I197" s="486">
        <f>TRIM(H197)</f>
        <v/>
      </c>
    </row>
    <row r="198" ht="15" customHeight="1">
      <c r="A198" s="491" t="inlineStr">
        <is>
          <t>KbS/22/e</t>
        </is>
      </c>
      <c r="B198" s="484">
        <f>+_xlfn.CONCAT(Tabella118[[#This Row],[Composizione]], " - ", Tabella118[[#This Row],[Fornitore]])</f>
        <v/>
      </c>
      <c r="C198" s="943" t="n">
        <v>0.326</v>
      </c>
      <c r="D198" s="484" t="inlineStr">
        <is>
          <t>Santerno</t>
        </is>
      </c>
      <c r="E198" s="484">
        <f>IFERROR(IF(H198="BC",Tabella118[[#This Row],[composizione concatenata]],IF(H198="C",Tabella118[[#This Row],[composizione concatenata]],VLOOKUP(I198,$K$2:$O$7,5,FALSE))),+Tabella118[[#This Row],[composizione concatenata]])</f>
        <v/>
      </c>
      <c r="F198" s="943">
        <f>+_xlfn.IFNA(VLOOKUP(Tabella118[[#This Row],[Composizione alternativa per digitale]],Tabella118[[composizione concatenata]:[Euro/Mq]],2,FALSE),VLOOKUP(H198,digitale[[ONDA]:[Fornitore]],3,FALSE))</f>
        <v/>
      </c>
      <c r="G198" s="484" t="n"/>
      <c r="H198" s="484">
        <f>IF(MID(A198, FIND("/", A198, FIND("/", A198) + 1) + 1, 2)="A","C",MID(A198, FIND("/", A198, FIND("/", A198) + 1) + 1, 2))</f>
        <v/>
      </c>
      <c r="I198" s="486">
        <f>TRIM(H198)</f>
        <v/>
      </c>
    </row>
    <row r="199" ht="15" customHeight="1">
      <c r="A199" s="491" t="inlineStr">
        <is>
          <t>KbS/22/e + ACC.</t>
        </is>
      </c>
      <c r="B199" s="484">
        <f>+_xlfn.CONCAT(Tabella118[[#This Row],[Composizione]], " - ", Tabella118[[#This Row],[Fornitore]])</f>
        <v/>
      </c>
      <c r="C199" s="943" t="n">
        <v>0.381</v>
      </c>
      <c r="D199" s="484" t="inlineStr">
        <is>
          <t>Santerno</t>
        </is>
      </c>
      <c r="E199" s="484">
        <f>IFERROR(IF(H199="BC",Tabella118[[#This Row],[composizione concatenata]],IF(H199="C",Tabella118[[#This Row],[composizione concatenata]],VLOOKUP(I199,$K$2:$O$7,5,FALSE))),+Tabella118[[#This Row],[composizione concatenata]])</f>
        <v/>
      </c>
      <c r="F199" s="943">
        <f>+_xlfn.IFNA(VLOOKUP(Tabella118[[#This Row],[Composizione alternativa per digitale]],Tabella118[[composizione concatenata]:[Euro/Mq]],2,FALSE),VLOOKUP(H199,digitale[[ONDA]:[Fornitore]],3,FALSE))</f>
        <v/>
      </c>
      <c r="G199" s="484" t="n"/>
      <c r="H199" s="484">
        <f>IF(MID(A199, FIND("/", A199, FIND("/", A199) + 1) + 1, 2)="A","C",MID(A199, FIND("/", A199, FIND("/", A199) + 1) + 1, 2))</f>
        <v/>
      </c>
      <c r="I199" s="486">
        <f>TRIM(H199)</f>
        <v/>
      </c>
    </row>
    <row r="200" ht="15" customHeight="1">
      <c r="A200" s="484" t="inlineStr">
        <is>
          <t>KbSET/262/A</t>
        </is>
      </c>
      <c r="B200" s="484">
        <f>+_xlfn.CONCAT(Tabella118[[#This Row],[Composizione]], " - ", Tabella118[[#This Row],[Fornitore]])</f>
        <v/>
      </c>
      <c r="C200" s="943" t="n">
        <v>0.318</v>
      </c>
      <c r="D200" s="484" t="inlineStr">
        <is>
          <t>FEPA</t>
        </is>
      </c>
      <c r="E200" s="484">
        <f>IFERROR(IF(H200="BC",Tabella118[[#This Row],[composizione concatenata]],IF(H200="C",Tabella118[[#This Row],[composizione concatenata]],VLOOKUP(I200,$K$2:$O$7,5,FALSE))),+Tabella118[[#This Row],[composizione concatenata]])</f>
        <v/>
      </c>
      <c r="F200" s="944">
        <f>+_xlfn.IFNA(VLOOKUP(Tabella118[[#This Row],[Composizione alternativa per digitale]],Tabella118[[composizione concatenata]:[Euro/Mq]],2,FALSE),VLOOKUP(H200,digitale[[ONDA]:[Fornitore]],3,FALSE))</f>
        <v/>
      </c>
      <c r="G200" s="484" t="n"/>
      <c r="H200" s="484">
        <f>IF(MID(A200, FIND("/", A200, FIND("/", A200) + 1) + 1, 2)="A","C",MID(A200, FIND("/", A200, FIND("/", A200) + 1) + 1, 2))</f>
        <v/>
      </c>
      <c r="I200" s="486">
        <f>TRIM(H200)</f>
        <v/>
      </c>
    </row>
    <row r="201" ht="15" customHeight="1">
      <c r="A201" s="484" t="inlineStr">
        <is>
          <t>KbSEUK/264/A</t>
        </is>
      </c>
      <c r="B201" s="484">
        <f>+_xlfn.CONCAT(Tabella118[[#This Row],[Composizione]], " - ", Tabella118[[#This Row],[Fornitore]])</f>
        <v/>
      </c>
      <c r="C201" s="943" t="n">
        <v>0.366</v>
      </c>
      <c r="D201" s="484" t="inlineStr">
        <is>
          <t>FEPA</t>
        </is>
      </c>
      <c r="E201" s="484">
        <f>IFERROR(IF(H201="BC",Tabella118[[#This Row],[composizione concatenata]],IF(H201="C",Tabella118[[#This Row],[composizione concatenata]],VLOOKUP(I201,$K$2:$O$7,5,FALSE))),+Tabella118[[#This Row],[composizione concatenata]])</f>
        <v/>
      </c>
      <c r="F201" s="944">
        <f>+_xlfn.IFNA(VLOOKUP(Tabella118[[#This Row],[Composizione alternativa per digitale]],Tabella118[[composizione concatenata]:[Euro/Mq]],2,FALSE),VLOOKUP(H201,digitale[[ONDA]:[Fornitore]],3,FALSE))</f>
        <v/>
      </c>
      <c r="G201" s="484" t="n"/>
      <c r="H201" s="484">
        <f>IF(MID(A201, FIND("/", A201, FIND("/", A201) + 1) + 1, 2)="A","C",MID(A201, FIND("/", A201, FIND("/", A201) + 1) + 1, 2))</f>
        <v/>
      </c>
      <c r="I201" s="486">
        <f>TRIM(H201)</f>
        <v/>
      </c>
    </row>
    <row r="202" ht="15" customHeight="1">
      <c r="A202" s="484" t="inlineStr">
        <is>
          <t>KbSEUK/264/B</t>
        </is>
      </c>
      <c r="B202" s="484">
        <f>+_xlfn.CONCAT(Tabella118[[#This Row],[Composizione]], " - ", Tabella118[[#This Row],[Fornitore]])</f>
        <v/>
      </c>
      <c r="C202" s="943" t="n">
        <v>0.36</v>
      </c>
      <c r="D202" s="484" t="inlineStr">
        <is>
          <t>FEPA</t>
        </is>
      </c>
      <c r="E202" s="484">
        <f>IFERROR(IF(H202="BC",Tabella118[[#This Row],[composizione concatenata]],IF(H202="C",Tabella118[[#This Row],[composizione concatenata]],VLOOKUP(I202,$K$2:$O$7,5,FALSE))),+Tabella118[[#This Row],[composizione concatenata]])</f>
        <v/>
      </c>
      <c r="F202" s="944">
        <f>+_xlfn.IFNA(VLOOKUP(Tabella118[[#This Row],[Composizione alternativa per digitale]],Tabella118[[composizione concatenata]:[Euro/Mq]],2,FALSE),VLOOKUP(H202,digitale[[ONDA]:[Fornitore]],3,FALSE))</f>
        <v/>
      </c>
      <c r="G202" s="484" t="n"/>
      <c r="H202" s="484">
        <f>IF(MID(A202, FIND("/", A202, FIND("/", A202) + 1) + 1, 2)="A","C",MID(A202, FIND("/", A202, FIND("/", A202) + 1) + 1, 2))</f>
        <v/>
      </c>
      <c r="I202" s="486">
        <f>TRIM(H202)</f>
        <v/>
      </c>
    </row>
    <row r="203" ht="15" customHeight="1">
      <c r="A203" s="484" t="inlineStr">
        <is>
          <t>KbSFSK/24242/EB</t>
        </is>
      </c>
      <c r="B203" s="484">
        <f>+_xlfn.CONCAT(Tabella118[[#This Row],[Composizione]], " - ", Tabella118[[#This Row],[Fornitore]])</f>
        <v/>
      </c>
      <c r="C203" s="943" t="n">
        <v>0.489</v>
      </c>
      <c r="D203" s="484" t="inlineStr">
        <is>
          <t>Giusti</t>
        </is>
      </c>
      <c r="E203" s="484">
        <f>IFERROR(IF(H203="BC",Tabella118[[#This Row],[composizione concatenata]],IF(H203="C",Tabella118[[#This Row],[composizione concatenata]],VLOOKUP(I203,$K$2:$O$7,5,FALSE))),+Tabella118[[#This Row],[composizione concatenata]])</f>
        <v/>
      </c>
      <c r="F203" s="944">
        <f>+_xlfn.IFNA(VLOOKUP(Tabella118[[#This Row],[Composizione alternativa per digitale]],Tabella118[[composizione concatenata]:[Euro/Mq]],2,FALSE),VLOOKUP(H203,digitale[[ONDA]:[Fornitore]],3,FALSE))</f>
        <v/>
      </c>
      <c r="G203" s="484" t="n"/>
      <c r="H203" s="484">
        <f>IF(MID(A203, FIND("/", A203, FIND("/", A203) + 1) + 1, 2)="A","C",MID(A203, FIND("/", A203, FIND("/", A203) + 1) + 1, 2))</f>
        <v/>
      </c>
      <c r="I203" s="486">
        <f>TRIM(H203)</f>
        <v/>
      </c>
    </row>
    <row r="204" ht="15" customHeight="1">
      <c r="A204" s="483" t="inlineStr">
        <is>
          <t>KbSFSK/24242/EB</t>
        </is>
      </c>
      <c r="B204" s="484">
        <f>+_xlfn.CONCAT(Tabella118[[#This Row],[Composizione]], " - ", Tabella118[[#This Row],[Fornitore]])</f>
        <v/>
      </c>
      <c r="C204" s="950" t="n">
        <v>0.442</v>
      </c>
      <c r="D204" s="484" t="inlineStr">
        <is>
          <t>Cartstrong</t>
        </is>
      </c>
      <c r="E204" s="484">
        <f>IFERROR(IF(H204="BC",Tabella118[[#This Row],[composizione concatenata]],IF(H204="C",Tabella118[[#This Row],[composizione concatenata]],VLOOKUP(I204,$K$2:$O$7,5,FALSE))),+Tabella118[[#This Row],[composizione concatenata]])</f>
        <v/>
      </c>
      <c r="F204" s="943">
        <f>+_xlfn.IFNA(VLOOKUP(Tabella118[[#This Row],[Composizione alternativa per digitale]],Tabella118[[composizione concatenata]:[Euro/Mq]],2,FALSE),VLOOKUP(H204,digitale[[ONDA]:[Fornitore]],3,FALSE))</f>
        <v/>
      </c>
      <c r="G204" s="484" t="n"/>
      <c r="H204" s="484">
        <f>IF(MID(A204, FIND("/", A204, FIND("/", A204) + 1) + 1, 2)="A","C",MID(A204, FIND("/", A204, FIND("/", A204) + 1) + 1, 2))</f>
        <v/>
      </c>
      <c r="I204" s="486">
        <f>TRIM(H204)</f>
        <v/>
      </c>
    </row>
    <row r="205" ht="15" customHeight="1">
      <c r="A205" s="484" t="inlineStr">
        <is>
          <t>KbSFSK/26262/BC</t>
        </is>
      </c>
      <c r="B205" s="484">
        <f>+_xlfn.CONCAT(Tabella118[[#This Row],[Composizione]], " - ", Tabella118[[#This Row],[Fornitore]])</f>
        <v/>
      </c>
      <c r="C205" s="943" t="n">
        <v>0.5590000000000001</v>
      </c>
      <c r="D205" s="484" t="inlineStr">
        <is>
          <t>Giusti</t>
        </is>
      </c>
      <c r="E205" s="484">
        <f>IFERROR(IF(H205="BC",Tabella118[[#This Row],[composizione concatenata]],IF(H205="C",Tabella118[[#This Row],[composizione concatenata]],VLOOKUP(I205,$K$2:$O$7,5,FALSE))),+Tabella118[[#This Row],[composizione concatenata]])</f>
        <v/>
      </c>
      <c r="F205" s="944">
        <f>+_xlfn.IFNA(VLOOKUP(Tabella118[[#This Row],[Composizione alternativa per digitale]],Tabella118[[composizione concatenata]:[Euro/Mq]],2,FALSE),VLOOKUP(H205,digitale[[ONDA]:[Fornitore]],3,FALSE))</f>
        <v/>
      </c>
      <c r="G205" s="484" t="n"/>
      <c r="H205" s="484">
        <f>IF(MID(A205, FIND("/", A205, FIND("/", A205) + 1) + 1, 2)="A","C",MID(A205, FIND("/", A205, FIND("/", A205) + 1) + 1, 2))</f>
        <v/>
      </c>
      <c r="I205" s="486">
        <f>TRIM(H205)</f>
        <v/>
      </c>
    </row>
    <row r="206" ht="15" customHeight="1">
      <c r="A206" s="484" t="inlineStr">
        <is>
          <t>KbSFSK/26262/EB</t>
        </is>
      </c>
      <c r="B206" s="484">
        <f>+_xlfn.CONCAT(Tabella118[[#This Row],[Composizione]], " - ", Tabella118[[#This Row],[Fornitore]])</f>
        <v/>
      </c>
      <c r="C206" s="943" t="n">
        <v>0.54</v>
      </c>
      <c r="D206" s="484" t="inlineStr">
        <is>
          <t>Giusti</t>
        </is>
      </c>
      <c r="E206" s="484">
        <f>IFERROR(IF(H206="BC",Tabella118[[#This Row],[composizione concatenata]],IF(H206="C",Tabella118[[#This Row],[composizione concatenata]],VLOOKUP(I206,$K$2:$O$7,5,FALSE))),+Tabella118[[#This Row],[composizione concatenata]])</f>
        <v/>
      </c>
      <c r="F206" s="944">
        <f>+_xlfn.IFNA(VLOOKUP(Tabella118[[#This Row],[Composizione alternativa per digitale]],Tabella118[[composizione concatenata]:[Euro/Mq]],2,FALSE),VLOOKUP(H206,digitale[[ONDA]:[Fornitore]],3,FALSE))</f>
        <v/>
      </c>
      <c r="G206" s="484" t="n"/>
      <c r="H206" s="484">
        <f>IF(MID(A206, FIND("/", A206, FIND("/", A206) + 1) + 1, 2)="A","C",MID(A206, FIND("/", A206, FIND("/", A206) + 1) + 1, 2))</f>
        <v/>
      </c>
      <c r="I206" s="486">
        <f>TRIM(H206)</f>
        <v/>
      </c>
    </row>
    <row r="207" ht="15" customHeight="1">
      <c r="A207" s="484" t="inlineStr">
        <is>
          <t>KbSFSK/26262/EB</t>
        </is>
      </c>
      <c r="B207" s="484">
        <f>+_xlfn.CONCAT(Tabella118[[#This Row],[Composizione]], " - ", Tabella118[[#This Row],[Fornitore]])</f>
        <v/>
      </c>
      <c r="C207" s="943" t="n">
        <v>0.525</v>
      </c>
      <c r="D207" s="484" t="inlineStr">
        <is>
          <t xml:space="preserve">Ds Smith </t>
        </is>
      </c>
      <c r="E207" s="484">
        <f>IFERROR(IF(H207="BC",Tabella118[[#This Row],[composizione concatenata]],IF(H207="C",Tabella118[[#This Row],[composizione concatenata]],VLOOKUP(I207,$K$2:$O$7,5,FALSE))),+Tabella118[[#This Row],[composizione concatenata]])</f>
        <v/>
      </c>
      <c r="F207" s="943">
        <f>+_xlfn.IFNA(VLOOKUP(Tabella118[[#This Row],[Composizione alternativa per digitale]],Tabella118[[composizione concatenata]:[Euro/Mq]],2,FALSE),VLOOKUP(H207,digitale[[ONDA]:[Fornitore]],3,FALSE))</f>
        <v/>
      </c>
      <c r="G207" s="484" t="n"/>
      <c r="H207" s="484">
        <f>IF(MID(A207, FIND("/", A207, FIND("/", A207) + 1) + 1, 2)="A","C",MID(A207, FIND("/", A207, FIND("/", A207) + 1) + 1, 2))</f>
        <v/>
      </c>
      <c r="I207" s="486">
        <f>TRIM(H207)</f>
        <v/>
      </c>
    </row>
    <row r="208" ht="15" customHeight="1">
      <c r="A208" s="484" t="inlineStr">
        <is>
          <t>KbSFSK/26263/EB</t>
        </is>
      </c>
      <c r="B208" s="484">
        <f>+_xlfn.CONCAT(Tabella118[[#This Row],[Composizione]], " - ", Tabella118[[#This Row],[Fornitore]])</f>
        <v/>
      </c>
      <c r="C208" s="943" t="n">
        <v>0.53</v>
      </c>
      <c r="D208" s="484" t="inlineStr">
        <is>
          <t xml:space="preserve">Ds Smith </t>
        </is>
      </c>
      <c r="E208" s="484">
        <f>IFERROR(IF(H208="BC",Tabella118[[#This Row],[composizione concatenata]],IF(H208="C",Tabella118[[#This Row],[composizione concatenata]],VLOOKUP(I208,$K$2:$O$7,5,FALSE))),+Tabella118[[#This Row],[composizione concatenata]])</f>
        <v/>
      </c>
      <c r="F208" s="943">
        <f>+_xlfn.IFNA(VLOOKUP(Tabella118[[#This Row],[Composizione alternativa per digitale]],Tabella118[[composizione concatenata]:[Euro/Mq]],2,FALSE),VLOOKUP(H208,digitale[[ONDA]:[Fornitore]],3,FALSE))</f>
        <v/>
      </c>
      <c r="G208" s="484" t="n"/>
      <c r="H208" s="484">
        <f>IF(MID(A208, FIND("/", A208, FIND("/", A208) + 1) + 1, 2)="A","C",MID(A208, FIND("/", A208, FIND("/", A208) + 1) + 1, 2))</f>
        <v/>
      </c>
      <c r="I208" s="486">
        <f>TRIM(H208)</f>
        <v/>
      </c>
    </row>
    <row r="209" ht="15" customHeight="1">
      <c r="A209" s="484" t="inlineStr">
        <is>
          <t>KbSFSK/34243/EB</t>
        </is>
      </c>
      <c r="B209" s="484">
        <f>+_xlfn.CONCAT(Tabella118[[#This Row],[Composizione]], " - ", Tabella118[[#This Row],[Fornitore]])</f>
        <v/>
      </c>
      <c r="C209" s="943" t="n">
        <v>0.53</v>
      </c>
      <c r="D209" s="484" t="inlineStr">
        <is>
          <t>Giusti</t>
        </is>
      </c>
      <c r="E209" s="484">
        <f>IFERROR(IF(H209="BC",Tabella118[[#This Row],[composizione concatenata]],IF(H209="C",Tabella118[[#This Row],[composizione concatenata]],VLOOKUP(I209,$K$2:$O$7,5,FALSE))),+Tabella118[[#This Row],[composizione concatenata]])</f>
        <v/>
      </c>
      <c r="F209" s="944">
        <f>+_xlfn.IFNA(VLOOKUP(Tabella118[[#This Row],[Composizione alternativa per digitale]],Tabella118[[composizione concatenata]:[Euro/Mq]],2,FALSE),VLOOKUP(H209,digitale[[ONDA]:[Fornitore]],3,FALSE))</f>
        <v/>
      </c>
      <c r="G209" s="484" t="n"/>
      <c r="H209" s="484">
        <f>IF(MID(A209, FIND("/", A209, FIND("/", A209) + 1) + 1, 2)="A","C",MID(A209, FIND("/", A209, FIND("/", A209) + 1) + 1, 2))</f>
        <v/>
      </c>
      <c r="I209" s="486">
        <f>TRIM(H209)</f>
        <v/>
      </c>
    </row>
    <row r="210" ht="15" customHeight="1">
      <c r="A210" s="484" t="inlineStr">
        <is>
          <t>KbSFSK/36262/BC</t>
        </is>
      </c>
      <c r="B210" s="484">
        <f>+_xlfn.CONCAT(Tabella118[[#This Row],[Composizione]], " - ", Tabella118[[#This Row],[Fornitore]])</f>
        <v/>
      </c>
      <c r="C210" s="943" t="n">
        <v>0.577</v>
      </c>
      <c r="D210" s="484" t="inlineStr">
        <is>
          <t>Giusti</t>
        </is>
      </c>
      <c r="E210" s="484">
        <f>IFERROR(IF(H210="BC",Tabella118[[#This Row],[composizione concatenata]],IF(H210="C",Tabella118[[#This Row],[composizione concatenata]],VLOOKUP(I210,$K$2:$O$7,5,FALSE))),+Tabella118[[#This Row],[composizione concatenata]])</f>
        <v/>
      </c>
      <c r="F210" s="944">
        <f>+_xlfn.IFNA(VLOOKUP(Tabella118[[#This Row],[Composizione alternativa per digitale]],Tabella118[[composizione concatenata]:[Euro/Mq]],2,FALSE),VLOOKUP(H210,digitale[[ONDA]:[Fornitore]],3,FALSE))</f>
        <v/>
      </c>
      <c r="G210" s="484" t="n"/>
      <c r="H210" s="484">
        <f>IF(MID(A210, FIND("/", A210, FIND("/", A210) + 1) + 1, 2)="A","C",MID(A210, FIND("/", A210, FIND("/", A210) + 1) + 1, 2))</f>
        <v/>
      </c>
      <c r="I210" s="486">
        <f>TRIM(H210)</f>
        <v/>
      </c>
    </row>
    <row r="211" ht="15" customHeight="1">
      <c r="A211" s="484" t="inlineStr">
        <is>
          <t>KbSFSK/36262/EB</t>
        </is>
      </c>
      <c r="B211" s="484">
        <f>+_xlfn.CONCAT(Tabella118[[#This Row],[Composizione]], " - ", Tabella118[[#This Row],[Fornitore]])</f>
        <v/>
      </c>
      <c r="C211" s="943" t="n">
        <v>0.553</v>
      </c>
      <c r="D211" s="484" t="inlineStr">
        <is>
          <t>Giusti</t>
        </is>
      </c>
      <c r="E211" s="484">
        <f>IFERROR(IF(H211="BC",Tabella118[[#This Row],[composizione concatenata]],IF(H211="C",Tabella118[[#This Row],[composizione concatenata]],VLOOKUP(I211,$K$2:$O$7,5,FALSE))),+Tabella118[[#This Row],[composizione concatenata]])</f>
        <v/>
      </c>
      <c r="F211" s="944">
        <f>+_xlfn.IFNA(VLOOKUP(Tabella118[[#This Row],[Composizione alternativa per digitale]],Tabella118[[composizione concatenata]:[Euro/Mq]],2,FALSE),VLOOKUP(H211,digitale[[ONDA]:[Fornitore]],3,FALSE))</f>
        <v/>
      </c>
      <c r="G211" s="484" t="n"/>
      <c r="H211" s="484">
        <f>IF(MID(A211, FIND("/", A211, FIND("/", A211) + 1) + 1, 2)="A","C",MID(A211, FIND("/", A211, FIND("/", A211) + 1) + 1, 2))</f>
        <v/>
      </c>
      <c r="I211" s="486">
        <f>TRIM(H211)</f>
        <v/>
      </c>
    </row>
    <row r="212" ht="15" customHeight="1">
      <c r="A212" s="484" t="inlineStr">
        <is>
          <t>KbSFSK/56265/BC</t>
        </is>
      </c>
      <c r="B212" s="484">
        <f>+_xlfn.CONCAT(Tabella118[[#This Row],[Composizione]], " - ", Tabella118[[#This Row],[Fornitore]])</f>
        <v/>
      </c>
      <c r="C212" s="943" t="n">
        <v>0.664</v>
      </c>
      <c r="D212" s="484" t="inlineStr">
        <is>
          <t>Giusti</t>
        </is>
      </c>
      <c r="E212" s="484">
        <f>IFERROR(IF(H212="BC",Tabella118[[#This Row],[composizione concatenata]],IF(H212="C",Tabella118[[#This Row],[composizione concatenata]],VLOOKUP(I212,$K$2:$O$7,5,FALSE))),+Tabella118[[#This Row],[composizione concatenata]])</f>
        <v/>
      </c>
      <c r="F212" s="944">
        <f>+_xlfn.IFNA(VLOOKUP(Tabella118[[#This Row],[Composizione alternativa per digitale]],Tabella118[[composizione concatenata]:[Euro/Mq]],2,FALSE),VLOOKUP(H212,digitale[[ONDA]:[Fornitore]],3,FALSE))</f>
        <v/>
      </c>
      <c r="G212" s="484" t="n"/>
      <c r="H212" s="484">
        <f>IF(MID(A212, FIND("/", A212, FIND("/", A212) + 1) + 1, 2)="A","C",MID(A212, FIND("/", A212, FIND("/", A212) + 1) + 1, 2))</f>
        <v/>
      </c>
      <c r="I212" s="486">
        <f>TRIM(H212)</f>
        <v/>
      </c>
    </row>
    <row r="213" ht="15" customHeight="1">
      <c r="A213" s="484" t="inlineStr">
        <is>
          <t>KbSFSKb/24262/EB</t>
        </is>
      </c>
      <c r="B213" s="484">
        <f>+_xlfn.CONCAT(Tabella118[[#This Row],[Composizione]], " - ", Tabella118[[#This Row],[Fornitore]])</f>
        <v/>
      </c>
      <c r="C213" s="943" t="n">
        <v>0.538</v>
      </c>
      <c r="D213" s="484" t="inlineStr">
        <is>
          <t>Giusti</t>
        </is>
      </c>
      <c r="E213" s="484">
        <f>IFERROR(IF(H213="BC",Tabella118[[#This Row],[composizione concatenata]],IF(H213="C",Tabella118[[#This Row],[composizione concatenata]],VLOOKUP(I213,$K$2:$O$7,5,FALSE))),+Tabella118[[#This Row],[composizione concatenata]])</f>
        <v/>
      </c>
      <c r="F213" s="944">
        <f>+_xlfn.IFNA(VLOOKUP(Tabella118[[#This Row],[Composizione alternativa per digitale]],Tabella118[[composizione concatenata]:[Euro/Mq]],2,FALSE),VLOOKUP(H213,digitale[[ONDA]:[Fornitore]],3,FALSE))</f>
        <v/>
      </c>
      <c r="G213" s="484" t="n"/>
      <c r="H213" s="484">
        <f>IF(MID(A213, FIND("/", A213, FIND("/", A213) + 1) + 1, 2)="A","C",MID(A213, FIND("/", A213, FIND("/", A213) + 1) + 1, 2))</f>
        <v/>
      </c>
      <c r="I213" s="486">
        <f>TRIM(H213)</f>
        <v/>
      </c>
    </row>
    <row r="214" ht="15" customHeight="1">
      <c r="A214" s="484" t="inlineStr">
        <is>
          <t>KbSFSKb/34262/EB</t>
        </is>
      </c>
      <c r="B214" s="484">
        <f>+_xlfn.CONCAT(Tabella118[[#This Row],[Composizione]], " - ", Tabella118[[#This Row],[Fornitore]])</f>
        <v/>
      </c>
      <c r="C214" s="943" t="n">
        <v>0.584</v>
      </c>
      <c r="D214" s="484" t="inlineStr">
        <is>
          <t>Giusti</t>
        </is>
      </c>
      <c r="E214" s="484">
        <f>IFERROR(IF(H214="BC",Tabella118[[#This Row],[composizione concatenata]],IF(H214="C",Tabella118[[#This Row],[composizione concatenata]],VLOOKUP(I214,$K$2:$O$7,5,FALSE))),+Tabella118[[#This Row],[composizione concatenata]])</f>
        <v/>
      </c>
      <c r="F214" s="944">
        <f>+_xlfn.IFNA(VLOOKUP(Tabella118[[#This Row],[Composizione alternativa per digitale]],Tabella118[[composizione concatenata]:[Euro/Mq]],2,FALSE),VLOOKUP(H214,digitale[[ONDA]:[Fornitore]],3,FALSE))</f>
        <v/>
      </c>
      <c r="G214" s="484" t="n"/>
      <c r="H214" s="484">
        <f>IF(MID(A214, FIND("/", A214, FIND("/", A214) + 1) + 1, 2)="A","C",MID(A214, FIND("/", A214, FIND("/", A214) + 1) + 1, 2))</f>
        <v/>
      </c>
      <c r="I214" s="486">
        <f>TRIM(H214)</f>
        <v/>
      </c>
    </row>
    <row r="215" ht="15" customHeight="1">
      <c r="A215" s="484" t="inlineStr">
        <is>
          <t>KbSFST/24242/EB</t>
        </is>
      </c>
      <c r="B215" s="484">
        <f>+_xlfn.CONCAT(Tabella118[[#This Row],[Composizione]], " - ", Tabella118[[#This Row],[Fornitore]])</f>
        <v/>
      </c>
      <c r="C215" s="943" t="n">
        <v>0.462</v>
      </c>
      <c r="D215" s="484" t="inlineStr">
        <is>
          <t>Giusti</t>
        </is>
      </c>
      <c r="E215" s="484">
        <f>IFERROR(IF(H215="BC",Tabella118[[#This Row],[composizione concatenata]],IF(H215="C",Tabella118[[#This Row],[composizione concatenata]],VLOOKUP(I215,$K$2:$O$7,5,FALSE))),+Tabella118[[#This Row],[composizione concatenata]])</f>
        <v/>
      </c>
      <c r="F215" s="944">
        <f>+_xlfn.IFNA(VLOOKUP(Tabella118[[#This Row],[Composizione alternativa per digitale]],Tabella118[[composizione concatenata]:[Euro/Mq]],2,FALSE),VLOOKUP(H215,digitale[[ONDA]:[Fornitore]],3,FALSE))</f>
        <v/>
      </c>
      <c r="G215" s="484" t="n"/>
      <c r="H215" s="484">
        <f>IF(MID(A215, FIND("/", A215, FIND("/", A215) + 1) + 1, 2)="A","C",MID(A215, FIND("/", A215, FIND("/", A215) + 1) + 1, 2))</f>
        <v/>
      </c>
      <c r="I215" s="486">
        <f>TRIM(H215)</f>
        <v/>
      </c>
    </row>
    <row r="216" ht="15" customHeight="1">
      <c r="A216" s="483" t="inlineStr">
        <is>
          <t>KbSFST/24242/EB</t>
        </is>
      </c>
      <c r="B216" s="484">
        <f>+_xlfn.CONCAT(Tabella118[[#This Row],[Composizione]], " - ", Tabella118[[#This Row],[Fornitore]])</f>
        <v/>
      </c>
      <c r="C216" s="950" t="n">
        <v>0.421</v>
      </c>
      <c r="D216" s="484" t="inlineStr">
        <is>
          <t>Cartstrong</t>
        </is>
      </c>
      <c r="E216" s="484">
        <f>IFERROR(IF(H216="BC",Tabella118[[#This Row],[composizione concatenata]],IF(H216="C",Tabella118[[#This Row],[composizione concatenata]],VLOOKUP(I216,$K$2:$O$7,5,FALSE))),+Tabella118[[#This Row],[composizione concatenata]])</f>
        <v/>
      </c>
      <c r="F216" s="943">
        <f>+_xlfn.IFNA(VLOOKUP(Tabella118[[#This Row],[Composizione alternativa per digitale]],Tabella118[[composizione concatenata]:[Euro/Mq]],2,FALSE),VLOOKUP(H216,digitale[[ONDA]:[Fornitore]],3,FALSE))</f>
        <v/>
      </c>
      <c r="G216" s="484" t="n"/>
      <c r="H216" s="484">
        <f>IF(MID(A216, FIND("/", A216, FIND("/", A216) + 1) + 1, 2)="A","C",MID(A216, FIND("/", A216, FIND("/", A216) + 1) + 1, 2))</f>
        <v/>
      </c>
      <c r="I216" s="486">
        <f>TRIM(H216)</f>
        <v/>
      </c>
    </row>
    <row r="217" ht="15" customHeight="1">
      <c r="A217" s="484" t="inlineStr">
        <is>
          <t>KbSFST/26262/EB</t>
        </is>
      </c>
      <c r="B217" s="484">
        <f>+_xlfn.CONCAT(Tabella118[[#This Row],[Composizione]], " - ", Tabella118[[#This Row],[Fornitore]])</f>
        <v/>
      </c>
      <c r="C217" s="943" t="n">
        <v>0.513</v>
      </c>
      <c r="D217" s="484" t="inlineStr">
        <is>
          <t>Giusti</t>
        </is>
      </c>
      <c r="E217" s="484">
        <f>IFERROR(IF(H217="BC",Tabella118[[#This Row],[composizione concatenata]],IF(H217="C",Tabella118[[#This Row],[composizione concatenata]],VLOOKUP(I217,$K$2:$O$7,5,FALSE))),+Tabella118[[#This Row],[composizione concatenata]])</f>
        <v/>
      </c>
      <c r="F217" s="944">
        <f>+_xlfn.IFNA(VLOOKUP(Tabella118[[#This Row],[Composizione alternativa per digitale]],Tabella118[[composizione concatenata]:[Euro/Mq]],2,FALSE),VLOOKUP(H217,digitale[[ONDA]:[Fornitore]],3,FALSE))</f>
        <v/>
      </c>
      <c r="G217" s="484" t="n"/>
      <c r="H217" s="484">
        <f>IF(MID(A217, FIND("/", A217, FIND("/", A217) + 1) + 1, 2)="A","C",MID(A217, FIND("/", A217, FIND("/", A217) + 1) + 1, 2))</f>
        <v/>
      </c>
      <c r="I217" s="486">
        <f>TRIM(H217)</f>
        <v/>
      </c>
    </row>
    <row r="218" ht="15" customHeight="1">
      <c r="A218" s="484" t="inlineStr">
        <is>
          <t>KbSFST/34242/BC</t>
        </is>
      </c>
      <c r="B218" s="484">
        <f>+_xlfn.CONCAT(Tabella118[[#This Row],[Composizione]], " - ", Tabella118[[#This Row],[Fornitore]])</f>
        <v/>
      </c>
      <c r="C218" s="943" t="n">
        <v>0.512</v>
      </c>
      <c r="D218" s="484" t="inlineStr">
        <is>
          <t>Giusti</t>
        </is>
      </c>
      <c r="E218" s="484">
        <f>IFERROR(IF(H218="BC",Tabella118[[#This Row],[composizione concatenata]],IF(H218="C",Tabella118[[#This Row],[composizione concatenata]],VLOOKUP(I218,$K$2:$O$7,5,FALSE))),+Tabella118[[#This Row],[composizione concatenata]])</f>
        <v/>
      </c>
      <c r="F218" s="944">
        <f>+_xlfn.IFNA(VLOOKUP(Tabella118[[#This Row],[Composizione alternativa per digitale]],Tabella118[[composizione concatenata]:[Euro/Mq]],2,FALSE),VLOOKUP(H218,digitale[[ONDA]:[Fornitore]],3,FALSE))</f>
        <v/>
      </c>
      <c r="G218" s="484" t="n"/>
      <c r="H218" s="484">
        <f>IF(MID(A218, FIND("/", A218, FIND("/", A218) + 1) + 1, 2)="A","C",MID(A218, FIND("/", A218, FIND("/", A218) + 1) + 1, 2))</f>
        <v/>
      </c>
      <c r="I218" s="486">
        <f>TRIM(H218)</f>
        <v/>
      </c>
    </row>
    <row r="219" ht="15" customHeight="1">
      <c r="A219" s="484" t="inlineStr">
        <is>
          <t>KbSFST/34242/EB</t>
        </is>
      </c>
      <c r="B219" s="484">
        <f>+_xlfn.CONCAT(Tabella118[[#This Row],[Composizione]], " - ", Tabella118[[#This Row],[Fornitore]])</f>
        <v/>
      </c>
      <c r="C219" s="943" t="n">
        <v>0.481</v>
      </c>
      <c r="D219" s="484" t="inlineStr">
        <is>
          <t>Giusti</t>
        </is>
      </c>
      <c r="E219" s="484">
        <f>IFERROR(IF(H219="BC",Tabella118[[#This Row],[composizione concatenata]],IF(H219="C",Tabella118[[#This Row],[composizione concatenata]],VLOOKUP(I219,$K$2:$O$7,5,FALSE))),+Tabella118[[#This Row],[composizione concatenata]])</f>
        <v/>
      </c>
      <c r="F219" s="944">
        <f>+_xlfn.IFNA(VLOOKUP(Tabella118[[#This Row],[Composizione alternativa per digitale]],Tabella118[[composizione concatenata]:[Euro/Mq]],2,FALSE),VLOOKUP(H219,digitale[[ONDA]:[Fornitore]],3,FALSE))</f>
        <v/>
      </c>
      <c r="G219" s="484" t="n"/>
      <c r="H219" s="484">
        <f>IF(MID(A219, FIND("/", A219, FIND("/", A219) + 1) + 1, 2)="A","C",MID(A219, FIND("/", A219, FIND("/", A219) + 1) + 1, 2))</f>
        <v/>
      </c>
      <c r="I219" s="486">
        <f>TRIM(H219)</f>
        <v/>
      </c>
    </row>
    <row r="220" ht="15" customHeight="1">
      <c r="A220" s="484" t="inlineStr">
        <is>
          <t>KbSFST/36262/EB</t>
        </is>
      </c>
      <c r="B220" s="484">
        <f>+_xlfn.CONCAT(Tabella118[[#This Row],[Composizione]], " - ", Tabella118[[#This Row],[Fornitore]])</f>
        <v/>
      </c>
      <c r="C220" s="943" t="n">
        <v>0.531</v>
      </c>
      <c r="D220" s="484" t="inlineStr">
        <is>
          <t>Giusti</t>
        </is>
      </c>
      <c r="E220" s="484">
        <f>IFERROR(IF(H220="BC",Tabella118[[#This Row],[composizione concatenata]],IF(H220="C",Tabella118[[#This Row],[composizione concatenata]],VLOOKUP(I220,$K$2:$O$7,5,FALSE))),+Tabella118[[#This Row],[composizione concatenata]])</f>
        <v/>
      </c>
      <c r="F220" s="944">
        <f>+_xlfn.IFNA(VLOOKUP(Tabella118[[#This Row],[Composizione alternativa per digitale]],Tabella118[[composizione concatenata]:[Euro/Mq]],2,FALSE),VLOOKUP(H220,digitale[[ONDA]:[Fornitore]],3,FALSE))</f>
        <v/>
      </c>
      <c r="G220" s="484" t="n"/>
      <c r="H220" s="484">
        <f>IF(MID(A220, FIND("/", A220, FIND("/", A220) + 1) + 1, 2)="A","C",MID(A220, FIND("/", A220, FIND("/", A220) + 1) + 1, 2))</f>
        <v/>
      </c>
      <c r="I220" s="486">
        <f>TRIM(H220)</f>
        <v/>
      </c>
    </row>
    <row r="221" ht="15" customHeight="1">
      <c r="A221" s="484" t="inlineStr">
        <is>
          <t>KbSFSTb/26263/BC</t>
        </is>
      </c>
      <c r="B221" s="484">
        <f>+_xlfn.CONCAT(Tabella118[[#This Row],[Composizione]], " - ", Tabella118[[#This Row],[Fornitore]])</f>
        <v/>
      </c>
      <c r="C221" s="943" t="n">
        <v>0.569</v>
      </c>
      <c r="D221" s="484" t="inlineStr">
        <is>
          <t>Giusti</t>
        </is>
      </c>
      <c r="E221" s="484">
        <f>IFERROR(IF(H221="BC",Tabella118[[#This Row],[composizione concatenata]],IF(H221="C",Tabella118[[#This Row],[composizione concatenata]],VLOOKUP(I221,$K$2:$O$7,5,FALSE))),+Tabella118[[#This Row],[composizione concatenata]])</f>
        <v/>
      </c>
      <c r="F221" s="944">
        <f>+_xlfn.IFNA(VLOOKUP(Tabella118[[#This Row],[Composizione alternativa per digitale]],Tabella118[[composizione concatenata]:[Euro/Mq]],2,FALSE),VLOOKUP(H221,digitale[[ONDA]:[Fornitore]],3,FALSE))</f>
        <v/>
      </c>
      <c r="G221" s="484" t="n"/>
      <c r="H221" s="484">
        <f>IF(MID(A221, FIND("/", A221, FIND("/", A221) + 1) + 1, 2)="A","C",MID(A221, FIND("/", A221, FIND("/", A221) + 1) + 1, 2))</f>
        <v/>
      </c>
      <c r="I221" s="486">
        <f>TRIM(H221)</f>
        <v/>
      </c>
    </row>
    <row r="222" ht="15" customHeight="1">
      <c r="A222" s="484" t="inlineStr">
        <is>
          <t>KbSFSTb/26263/EB</t>
        </is>
      </c>
      <c r="B222" s="484">
        <f>+_xlfn.CONCAT(Tabella118[[#This Row],[Composizione]], " - ", Tabella118[[#This Row],[Fornitore]])</f>
        <v/>
      </c>
      <c r="C222" s="943" t="n">
        <v>0.555</v>
      </c>
      <c r="D222" s="484" t="inlineStr">
        <is>
          <t>Giusti</t>
        </is>
      </c>
      <c r="E222" s="484">
        <f>IFERROR(IF(H222="BC",Tabella118[[#This Row],[composizione concatenata]],IF(H222="C",Tabella118[[#This Row],[composizione concatenata]],VLOOKUP(I222,$K$2:$O$7,5,FALSE))),+Tabella118[[#This Row],[composizione concatenata]])</f>
        <v/>
      </c>
      <c r="F222" s="944">
        <f>+_xlfn.IFNA(VLOOKUP(Tabella118[[#This Row],[Composizione alternativa per digitale]],Tabella118[[composizione concatenata]:[Euro/Mq]],2,FALSE),VLOOKUP(H222,digitale[[ONDA]:[Fornitore]],3,FALSE))</f>
        <v/>
      </c>
      <c r="G222" s="484" t="n"/>
      <c r="H222" s="484">
        <f>IF(MID(A222, FIND("/", A222, FIND("/", A222) + 1) + 1, 2)="A","C",MID(A222, FIND("/", A222, FIND("/", A222) + 1) + 1, 2))</f>
        <v/>
      </c>
      <c r="I222" s="486">
        <f>TRIM(H222)</f>
        <v/>
      </c>
    </row>
    <row r="223" ht="15" customHeight="1">
      <c r="A223" s="484" t="inlineStr">
        <is>
          <t>KbSK/242/B</t>
        </is>
      </c>
      <c r="B223" s="484">
        <f>+_xlfn.CONCAT(Tabella118[[#This Row],[Composizione]], " - ", Tabella118[[#This Row],[Fornitore]])</f>
        <v/>
      </c>
      <c r="C223" s="943" t="n">
        <v>0.335</v>
      </c>
      <c r="D223" s="484" t="inlineStr">
        <is>
          <t>Giusti</t>
        </is>
      </c>
      <c r="E223" s="484">
        <f>IFERROR(IF(H223="BC",Tabella118[[#This Row],[composizione concatenata]],IF(H223="C",Tabella118[[#This Row],[composizione concatenata]],VLOOKUP(I223,$K$2:$O$7,5,FALSE))),+Tabella118[[#This Row],[composizione concatenata]])</f>
        <v/>
      </c>
      <c r="F223" s="944">
        <f>+_xlfn.IFNA(VLOOKUP(Tabella118[[#This Row],[Composizione alternativa per digitale]],Tabella118[[composizione concatenata]:[Euro/Mq]],2,FALSE),VLOOKUP(H223,digitale[[ONDA]:[Fornitore]],3,FALSE))</f>
        <v/>
      </c>
      <c r="G223" s="484" t="n"/>
      <c r="H223" s="484">
        <f>IF(MID(A223, FIND("/", A223, FIND("/", A223) + 1) + 1, 2)="A","C",MID(A223, FIND("/", A223, FIND("/", A223) + 1) + 1, 2))</f>
        <v/>
      </c>
      <c r="I223" s="486">
        <f>TRIM(H223)</f>
        <v/>
      </c>
    </row>
    <row r="224" ht="15" customHeight="1">
      <c r="A224" s="484" t="inlineStr">
        <is>
          <t>KbSK/242/E</t>
        </is>
      </c>
      <c r="B224" s="484">
        <f>+_xlfn.CONCAT(Tabella118[[#This Row],[Composizione]], " - ", Tabella118[[#This Row],[Fornitore]])</f>
        <v/>
      </c>
      <c r="C224" s="943" t="n">
        <v>0.37</v>
      </c>
      <c r="D224" s="484" t="inlineStr">
        <is>
          <t xml:space="preserve">Ds Smith </t>
        </is>
      </c>
      <c r="E224" s="484">
        <f>IFERROR(IF(H224="BC",Tabella118[[#This Row],[composizione concatenata]],IF(H224="C",Tabella118[[#This Row],[composizione concatenata]],VLOOKUP(I224,$K$2:$O$7,5,FALSE))),+Tabella118[[#This Row],[composizione concatenata]])</f>
        <v/>
      </c>
      <c r="F224" s="943">
        <f>+_xlfn.IFNA(VLOOKUP(Tabella118[[#This Row],[Composizione alternativa per digitale]],Tabella118[[composizione concatenata]:[Euro/Mq]],2,FALSE),VLOOKUP(H224,digitale[[ONDA]:[Fornitore]],3,FALSE))</f>
        <v/>
      </c>
      <c r="G224" s="484" t="n"/>
      <c r="H224" s="484">
        <f>IF(MID(A224, FIND("/", A224, FIND("/", A224) + 1) + 1, 2)="A","C",MID(A224, FIND("/", A224, FIND("/", A224) + 1) + 1, 2))</f>
        <v/>
      </c>
      <c r="I224" s="486">
        <f>TRIM(H224)</f>
        <v/>
      </c>
    </row>
    <row r="225" ht="15" customHeight="1">
      <c r="A225" s="484" t="inlineStr">
        <is>
          <t>KbSK/242/E</t>
        </is>
      </c>
      <c r="B225" s="484">
        <f>+_xlfn.CONCAT(Tabella118[[#This Row],[Composizione]], " - ", Tabella118[[#This Row],[Fornitore]])</f>
        <v/>
      </c>
      <c r="C225" s="943" t="n">
        <v>0.33</v>
      </c>
      <c r="D225" s="484" t="inlineStr">
        <is>
          <t>Giusti</t>
        </is>
      </c>
      <c r="E225" s="484">
        <f>IFERROR(IF(H225="BC",Tabella118[[#This Row],[composizione concatenata]],IF(H225="C",Tabella118[[#This Row],[composizione concatenata]],VLOOKUP(I225,$K$2:$O$7,5,FALSE))),+Tabella118[[#This Row],[composizione concatenata]])</f>
        <v/>
      </c>
      <c r="F225" s="944">
        <f>+_xlfn.IFNA(VLOOKUP(Tabella118[[#This Row],[Composizione alternativa per digitale]],Tabella118[[composizione concatenata]:[Euro/Mq]],2,FALSE),VLOOKUP(H225,digitale[[ONDA]:[Fornitore]],3,FALSE))</f>
        <v/>
      </c>
      <c r="G225" s="484" t="n"/>
      <c r="H225" s="484">
        <f>IF(MID(A225, FIND("/", A225, FIND("/", A225) + 1) + 1, 2)="A","C",MID(A225, FIND("/", A225, FIND("/", A225) + 1) + 1, 2))</f>
        <v/>
      </c>
      <c r="I225" s="486">
        <f>TRIM(H225)</f>
        <v/>
      </c>
    </row>
    <row r="226" ht="15" customHeight="1">
      <c r="A226" s="484" t="inlineStr">
        <is>
          <t>KbSK/262/B</t>
        </is>
      </c>
      <c r="B226" s="484">
        <f>+_xlfn.CONCAT(Tabella118[[#This Row],[Composizione]], " - ", Tabella118[[#This Row],[Fornitore]])</f>
        <v/>
      </c>
      <c r="C226" s="943" t="n">
        <v>0.363</v>
      </c>
      <c r="D226" s="484" t="inlineStr">
        <is>
          <t>Giusti</t>
        </is>
      </c>
      <c r="E226" s="484">
        <f>IFERROR(IF(H226="BC",Tabella118[[#This Row],[composizione concatenata]],IF(H226="C",Tabella118[[#This Row],[composizione concatenata]],VLOOKUP(I226,$K$2:$O$7,5,FALSE))),+Tabella118[[#This Row],[composizione concatenata]])</f>
        <v/>
      </c>
      <c r="F226" s="944">
        <f>+_xlfn.IFNA(VLOOKUP(Tabella118[[#This Row],[Composizione alternativa per digitale]],Tabella118[[composizione concatenata]:[Euro/Mq]],2,FALSE),VLOOKUP(H226,digitale[[ONDA]:[Fornitore]],3,FALSE))</f>
        <v/>
      </c>
      <c r="G226" s="484" t="n"/>
      <c r="H226" s="484">
        <f>IF(MID(A226, FIND("/", A226, FIND("/", A226) + 1) + 1, 2)="A","C",MID(A226, FIND("/", A226, FIND("/", A226) + 1) + 1, 2))</f>
        <v/>
      </c>
      <c r="I226" s="486">
        <f>TRIM(H226)</f>
        <v/>
      </c>
    </row>
    <row r="227" ht="15" customHeight="1">
      <c r="A227" s="484" t="inlineStr">
        <is>
          <t>KbSK/342/B</t>
        </is>
      </c>
      <c r="B227" s="484">
        <f>+_xlfn.CONCAT(Tabella118[[#This Row],[Composizione]], " - ", Tabella118[[#This Row],[Fornitore]])</f>
        <v/>
      </c>
      <c r="C227" s="943" t="n">
        <v>0.353</v>
      </c>
      <c r="D227" s="484" t="inlineStr">
        <is>
          <t>Giusti</t>
        </is>
      </c>
      <c r="E227" s="484">
        <f>IFERROR(IF(H227="BC",Tabella118[[#This Row],[composizione concatenata]],IF(H227="C",Tabella118[[#This Row],[composizione concatenata]],VLOOKUP(I227,$K$2:$O$7,5,FALSE))),+Tabella118[[#This Row],[composizione concatenata]])</f>
        <v/>
      </c>
      <c r="F227" s="944">
        <f>+_xlfn.IFNA(VLOOKUP(Tabella118[[#This Row],[Composizione alternativa per digitale]],Tabella118[[composizione concatenata]:[Euro/Mq]],2,FALSE),VLOOKUP(H227,digitale[[ONDA]:[Fornitore]],3,FALSE))</f>
        <v/>
      </c>
      <c r="G227" s="484" t="n"/>
      <c r="H227" s="484">
        <f>IF(MID(A227, FIND("/", A227, FIND("/", A227) + 1) + 1, 2)="A","C",MID(A227, FIND("/", A227, FIND("/", A227) + 1) + 1, 2))</f>
        <v/>
      </c>
      <c r="I227" s="486">
        <f>TRIM(H227)</f>
        <v/>
      </c>
    </row>
    <row r="228" ht="15" customHeight="1">
      <c r="A228" s="484" t="inlineStr">
        <is>
          <t>KbSK/342/E</t>
        </is>
      </c>
      <c r="B228" s="484">
        <f>+_xlfn.CONCAT(Tabella118[[#This Row],[Composizione]], " - ", Tabella118[[#This Row],[Fornitore]])</f>
        <v/>
      </c>
      <c r="C228" s="943" t="n">
        <v>0.348</v>
      </c>
      <c r="D228" s="484" t="inlineStr">
        <is>
          <t>Giusti</t>
        </is>
      </c>
      <c r="E228" s="484">
        <f>IFERROR(IF(H228="BC",Tabella118[[#This Row],[composizione concatenata]],IF(H228="C",Tabella118[[#This Row],[composizione concatenata]],VLOOKUP(I228,$K$2:$O$7,5,FALSE))),+Tabella118[[#This Row],[composizione concatenata]])</f>
        <v/>
      </c>
      <c r="F228" s="944">
        <f>+_xlfn.IFNA(VLOOKUP(Tabella118[[#This Row],[Composizione alternativa per digitale]],Tabella118[[composizione concatenata]:[Euro/Mq]],2,FALSE),VLOOKUP(H228,digitale[[ONDA]:[Fornitore]],3,FALSE))</f>
        <v/>
      </c>
      <c r="G228" s="484" t="n"/>
      <c r="H228" s="484">
        <f>IF(MID(A228, FIND("/", A228, FIND("/", A228) + 1) + 1, 2)="A","C",MID(A228, FIND("/", A228, FIND("/", A228) + 1) + 1, 2))</f>
        <v/>
      </c>
      <c r="I228" s="486">
        <f>TRIM(H228)</f>
        <v/>
      </c>
    </row>
    <row r="229" ht="15" customHeight="1">
      <c r="A229" s="483" t="inlineStr">
        <is>
          <t>KbSK/343/E</t>
        </is>
      </c>
      <c r="B229" s="484">
        <f>+_xlfn.CONCAT(Tabella118[[#This Row],[Composizione]], " - ", Tabella118[[#This Row],[Fornitore]])</f>
        <v/>
      </c>
      <c r="C229" s="950" t="n">
        <v>0.331</v>
      </c>
      <c r="D229" s="484" t="inlineStr">
        <is>
          <t>Cartstrong</t>
        </is>
      </c>
      <c r="E229" s="484">
        <f>IFERROR(IF(H229="BC",Tabella118[[#This Row],[composizione concatenata]],IF(H229="C",Tabella118[[#This Row],[composizione concatenata]],VLOOKUP(I229,$K$2:$O$7,5,FALSE))),+Tabella118[[#This Row],[composizione concatenata]])</f>
        <v/>
      </c>
      <c r="F229" s="943">
        <f>+_xlfn.IFNA(VLOOKUP(Tabella118[[#This Row],[Composizione alternativa per digitale]],Tabella118[[composizione concatenata]:[Euro/Mq]],2,FALSE),VLOOKUP(H229,digitale[[ONDA]:[Fornitore]],3,FALSE))</f>
        <v/>
      </c>
      <c r="G229" s="484" t="n"/>
      <c r="H229" s="484">
        <f>IF(MID(A229, FIND("/", A229, FIND("/", A229) + 1) + 1, 2)="A","C",MID(A229, FIND("/", A229, FIND("/", A229) + 1) + 1, 2))</f>
        <v/>
      </c>
      <c r="I229" s="486">
        <f>TRIM(H229)</f>
        <v/>
      </c>
    </row>
    <row r="230" ht="15" customHeight="1">
      <c r="A230" s="484" t="inlineStr">
        <is>
          <t>KbSK/362/B</t>
        </is>
      </c>
      <c r="B230" s="484">
        <f>+_xlfn.CONCAT(Tabella118[[#This Row],[Composizione]], " - ", Tabella118[[#This Row],[Fornitore]])</f>
        <v/>
      </c>
      <c r="C230" s="943" t="n">
        <v>0.382</v>
      </c>
      <c r="D230" s="484" t="inlineStr">
        <is>
          <t>Giusti</t>
        </is>
      </c>
      <c r="E230" s="484">
        <f>IFERROR(IF(H230="BC",Tabella118[[#This Row],[composizione concatenata]],IF(H230="C",Tabella118[[#This Row],[composizione concatenata]],VLOOKUP(I230,$K$2:$O$7,5,FALSE))),+Tabella118[[#This Row],[composizione concatenata]])</f>
        <v/>
      </c>
      <c r="F230" s="944">
        <f>+_xlfn.IFNA(VLOOKUP(Tabella118[[#This Row],[Composizione alternativa per digitale]],Tabella118[[composizione concatenata]:[Euro/Mq]],2,FALSE),VLOOKUP(H230,digitale[[ONDA]:[Fornitore]],3,FALSE))</f>
        <v/>
      </c>
      <c r="G230" s="484" t="n"/>
      <c r="H230" s="484">
        <f>IF(MID(A230, FIND("/", A230, FIND("/", A230) + 1) + 1, 2)="A","C",MID(A230, FIND("/", A230, FIND("/", A230) + 1) + 1, 2))</f>
        <v/>
      </c>
      <c r="I230" s="486">
        <f>TRIM(H230)</f>
        <v/>
      </c>
    </row>
    <row r="231" ht="15" customHeight="1">
      <c r="A231" s="484" t="inlineStr">
        <is>
          <t>KbSK/362/C</t>
        </is>
      </c>
      <c r="B231" s="484">
        <f>+_xlfn.CONCAT(Tabella118[[#This Row],[Composizione]], " - ", Tabella118[[#This Row],[Fornitore]])</f>
        <v/>
      </c>
      <c r="C231" s="943" t="n">
        <v>0.389</v>
      </c>
      <c r="D231" s="484" t="inlineStr">
        <is>
          <t>Giusti</t>
        </is>
      </c>
      <c r="E231" s="484">
        <f>IFERROR(IF(H231="BC",Tabella118[[#This Row],[composizione concatenata]],IF(H231="C",Tabella118[[#This Row],[composizione concatenata]],VLOOKUP(I231,$K$2:$O$7,5,FALSE))),+Tabella118[[#This Row],[composizione concatenata]])</f>
        <v/>
      </c>
      <c r="F231" s="944">
        <f>+_xlfn.IFNA(VLOOKUP(Tabella118[[#This Row],[Composizione alternativa per digitale]],Tabella118[[composizione concatenata]:[Euro/Mq]],2,FALSE),VLOOKUP(H231,digitale[[ONDA]:[Fornitore]],3,FALSE))</f>
        <v/>
      </c>
      <c r="G231" s="484" t="n"/>
      <c r="H231" s="484">
        <f>IF(MID(A231, FIND("/", A231, FIND("/", A231) + 1) + 1, 2)="A","C",MID(A231, FIND("/", A231, FIND("/", A231) + 1) + 1, 2))</f>
        <v/>
      </c>
      <c r="I231" s="486">
        <f>TRIM(H231)</f>
        <v/>
      </c>
    </row>
    <row r="232" ht="15" customHeight="1">
      <c r="A232" s="484" t="inlineStr">
        <is>
          <t>KbSK/363/B</t>
        </is>
      </c>
      <c r="B232" s="484">
        <f>+_xlfn.CONCAT(Tabella118[[#This Row],[Composizione]], " - ", Tabella118[[#This Row],[Fornitore]])</f>
        <v/>
      </c>
      <c r="C232" s="943" t="n">
        <v>0.391</v>
      </c>
      <c r="D232" s="484" t="inlineStr">
        <is>
          <t>Giusti</t>
        </is>
      </c>
      <c r="E232" s="484">
        <f>IFERROR(IF(H232="BC",Tabella118[[#This Row],[composizione concatenata]],IF(H232="C",Tabella118[[#This Row],[composizione concatenata]],VLOOKUP(I232,$K$2:$O$7,5,FALSE))),+Tabella118[[#This Row],[composizione concatenata]])</f>
        <v/>
      </c>
      <c r="F232" s="944">
        <f>+_xlfn.IFNA(VLOOKUP(Tabella118[[#This Row],[Composizione alternativa per digitale]],Tabella118[[composizione concatenata]:[Euro/Mq]],2,FALSE),VLOOKUP(H232,digitale[[ONDA]:[Fornitore]],3,FALSE))</f>
        <v/>
      </c>
      <c r="G232" s="484" t="n"/>
      <c r="H232" s="484">
        <f>IF(MID(A232, FIND("/", A232, FIND("/", A232) + 1) + 1, 2)="A","C",MID(A232, FIND("/", A232, FIND("/", A232) + 1) + 1, 2))</f>
        <v/>
      </c>
      <c r="I232" s="486">
        <f>TRIM(H232)</f>
        <v/>
      </c>
    </row>
    <row r="233" ht="15" customHeight="1">
      <c r="A233" s="484" t="inlineStr">
        <is>
          <t>KbSK/363/C</t>
        </is>
      </c>
      <c r="B233" s="484">
        <f>+_xlfn.CONCAT(Tabella118[[#This Row],[Composizione]], " - ", Tabella118[[#This Row],[Fornitore]])</f>
        <v/>
      </c>
      <c r="C233" s="943" t="n">
        <v>0.408</v>
      </c>
      <c r="D233" s="484" t="inlineStr">
        <is>
          <t>Giusti</t>
        </is>
      </c>
      <c r="E233" s="484">
        <f>IFERROR(IF(H233="BC",Tabella118[[#This Row],[composizione concatenata]],IF(H233="C",Tabella118[[#This Row],[composizione concatenata]],VLOOKUP(I233,$K$2:$O$7,5,FALSE))),+Tabella118[[#This Row],[composizione concatenata]])</f>
        <v/>
      </c>
      <c r="F233" s="944">
        <f>+_xlfn.IFNA(VLOOKUP(Tabella118[[#This Row],[Composizione alternativa per digitale]],Tabella118[[composizione concatenata]:[Euro/Mq]],2,FALSE),VLOOKUP(H233,digitale[[ONDA]:[Fornitore]],3,FALSE))</f>
        <v/>
      </c>
      <c r="G233" s="484" t="n"/>
      <c r="H233" s="484">
        <f>IF(MID(A233, FIND("/", A233, FIND("/", A233) + 1) + 1, 2)="A","C",MID(A233, FIND("/", A233, FIND("/", A233) + 1) + 1, 2))</f>
        <v/>
      </c>
      <c r="I233" s="486">
        <f>TRIM(H233)</f>
        <v/>
      </c>
    </row>
    <row r="234" ht="15" customHeight="1">
      <c r="A234" s="484" t="inlineStr">
        <is>
          <t>KbSK/363/E</t>
        </is>
      </c>
      <c r="B234" s="484">
        <f>+_xlfn.CONCAT(Tabella118[[#This Row],[Composizione]], " - ", Tabella118[[#This Row],[Fornitore]])</f>
        <v/>
      </c>
      <c r="C234" s="943" t="n">
        <v>0.4</v>
      </c>
      <c r="D234" s="484" t="inlineStr">
        <is>
          <t>Giusti</t>
        </is>
      </c>
      <c r="E234" s="484">
        <f>IFERROR(IF(H234="BC",Tabella118[[#This Row],[composizione concatenata]],IF(H234="C",Tabella118[[#This Row],[composizione concatenata]],VLOOKUP(I234,$K$2:$O$7,5,FALSE))),+Tabella118[[#This Row],[composizione concatenata]])</f>
        <v/>
      </c>
      <c r="F234" s="944">
        <f>+_xlfn.IFNA(VLOOKUP(Tabella118[[#This Row],[Composizione alternativa per digitale]],Tabella118[[composizione concatenata]:[Euro/Mq]],2,FALSE),VLOOKUP(H234,digitale[[ONDA]:[Fornitore]],3,FALSE))</f>
        <v/>
      </c>
      <c r="G234" s="484" t="n"/>
      <c r="H234" s="484">
        <f>IF(MID(A234, FIND("/", A234, FIND("/", A234) + 1) + 1, 2)="A","C",MID(A234, FIND("/", A234, FIND("/", A234) + 1) + 1, 2))</f>
        <v/>
      </c>
      <c r="I234" s="486">
        <f>TRIM(H234)</f>
        <v/>
      </c>
    </row>
    <row r="235" ht="15" customHeight="1">
      <c r="A235" s="484" t="inlineStr">
        <is>
          <t>KbSK/565/C</t>
        </is>
      </c>
      <c r="B235" s="484">
        <f>+_xlfn.CONCAT(Tabella118[[#This Row],[Composizione]], " - ", Tabella118[[#This Row],[Fornitore]])</f>
        <v/>
      </c>
      <c r="C235" s="943" t="n">
        <v>0.485</v>
      </c>
      <c r="D235" s="484" t="inlineStr">
        <is>
          <t>Giusti</t>
        </is>
      </c>
      <c r="E235" s="484">
        <f>IFERROR(IF(H235="BC",Tabella118[[#This Row],[composizione concatenata]],IF(H235="C",Tabella118[[#This Row],[composizione concatenata]],VLOOKUP(I235,$K$2:$O$7,5,FALSE))),+Tabella118[[#This Row],[composizione concatenata]])</f>
        <v/>
      </c>
      <c r="F235" s="944">
        <f>+_xlfn.IFNA(VLOOKUP(Tabella118[[#This Row],[Composizione alternativa per digitale]],Tabella118[[composizione concatenata]:[Euro/Mq]],2,FALSE),VLOOKUP(H235,digitale[[ONDA]:[Fornitore]],3,FALSE))</f>
        <v/>
      </c>
      <c r="G235" s="484" t="n"/>
      <c r="H235" s="484">
        <f>IF(MID(A235, FIND("/", A235, FIND("/", A235) + 1) + 1, 2)="A","C",MID(A235, FIND("/", A235, FIND("/", A235) + 1) + 1, 2))</f>
        <v/>
      </c>
      <c r="I235" s="486">
        <f>TRIM(H235)</f>
        <v/>
      </c>
    </row>
    <row r="236" ht="15" customHeight="1">
      <c r="A236" s="484" t="inlineStr">
        <is>
          <t>KbSKb/242/E</t>
        </is>
      </c>
      <c r="B236" s="484">
        <f>+_xlfn.CONCAT(Tabella118[[#This Row],[Composizione]], " - ", Tabella118[[#This Row],[Fornitore]])</f>
        <v/>
      </c>
      <c r="C236" s="943" t="n">
        <v>0.37</v>
      </c>
      <c r="D236" s="484" t="inlineStr">
        <is>
          <t>Giusti</t>
        </is>
      </c>
      <c r="E236" s="484">
        <f>IFERROR(IF(H236="BC",Tabella118[[#This Row],[composizione concatenata]],IF(H236="C",Tabella118[[#This Row],[composizione concatenata]],VLOOKUP(I236,$K$2:$O$7,5,FALSE))),+Tabella118[[#This Row],[composizione concatenata]])</f>
        <v/>
      </c>
      <c r="F236" s="944">
        <f>+_xlfn.IFNA(VLOOKUP(Tabella118[[#This Row],[Composizione alternativa per digitale]],Tabella118[[composizione concatenata]:[Euro/Mq]],2,FALSE),VLOOKUP(H236,digitale[[ONDA]:[Fornitore]],3,FALSE))</f>
        <v/>
      </c>
      <c r="G236" s="484" t="n"/>
      <c r="H236" s="484">
        <f>IF(MID(A236, FIND("/", A236, FIND("/", A236) + 1) + 1, 2)="A","C",MID(A236, FIND("/", A236, FIND("/", A236) + 1) + 1, 2))</f>
        <v/>
      </c>
      <c r="I236" s="486">
        <f>TRIM(H236)</f>
        <v/>
      </c>
    </row>
    <row r="237" ht="15" customHeight="1">
      <c r="A237" s="484" t="inlineStr">
        <is>
          <t>KbSKb/262/B</t>
        </is>
      </c>
      <c r="B237" s="484">
        <f>+_xlfn.CONCAT(Tabella118[[#This Row],[Composizione]], " - ", Tabella118[[#This Row],[Fornitore]])</f>
        <v/>
      </c>
      <c r="C237" s="943" t="n">
        <v>0.396</v>
      </c>
      <c r="D237" s="484" t="inlineStr">
        <is>
          <t>Giusti</t>
        </is>
      </c>
      <c r="E237" s="484">
        <f>IFERROR(IF(H237="BC",Tabella118[[#This Row],[composizione concatenata]],IF(H237="C",Tabella118[[#This Row],[composizione concatenata]],VLOOKUP(I237,$K$2:$O$7,5,FALSE))),+Tabella118[[#This Row],[composizione concatenata]])</f>
        <v/>
      </c>
      <c r="F237" s="944">
        <f>+_xlfn.IFNA(VLOOKUP(Tabella118[[#This Row],[Composizione alternativa per digitale]],Tabella118[[composizione concatenata]:[Euro/Mq]],2,FALSE),VLOOKUP(H237,digitale[[ONDA]:[Fornitore]],3,FALSE))</f>
        <v/>
      </c>
      <c r="G237" s="484" t="n"/>
      <c r="H237" s="484">
        <f>IF(MID(A237, FIND("/", A237, FIND("/", A237) + 1) + 1, 2)="A","C",MID(A237, FIND("/", A237, FIND("/", A237) + 1) + 1, 2))</f>
        <v/>
      </c>
      <c r="I237" s="486">
        <f>TRIM(H237)</f>
        <v/>
      </c>
    </row>
    <row r="238" ht="15" customHeight="1">
      <c r="A238" s="491" t="inlineStr">
        <is>
          <t>KbSSSK/22222/EB</t>
        </is>
      </c>
      <c r="B238" s="484">
        <f>+_xlfn.CONCAT(Tabella118[[#This Row],[Composizione]], " - ", Tabella118[[#This Row],[Fornitore]])</f>
        <v/>
      </c>
      <c r="C238" s="943" t="n">
        <v>0.723</v>
      </c>
      <c r="D238" s="484" t="inlineStr">
        <is>
          <t>Santerno</t>
        </is>
      </c>
      <c r="E238" s="484">
        <f>IFERROR(IF(H238="BC",Tabella118[[#This Row],[composizione concatenata]],IF(H238="C",Tabella118[[#This Row],[composizione concatenata]],VLOOKUP(I238,$K$2:$O$7,5,FALSE))),+Tabella118[[#This Row],[composizione concatenata]])</f>
        <v/>
      </c>
      <c r="F238" s="943">
        <f>+_xlfn.IFNA(VLOOKUP(Tabella118[[#This Row],[Composizione alternativa per digitale]],Tabella118[[composizione concatenata]:[Euro/Mq]],2,FALSE),VLOOKUP(H238,digitale[[ONDA]:[Fornitore]],3,FALSE))</f>
        <v/>
      </c>
      <c r="G238" s="484" t="n"/>
      <c r="H238" s="484">
        <f>IF(MID(A238, FIND("/", A238, FIND("/", A238) + 1) + 1, 2)="A","C",MID(A238, FIND("/", A238, FIND("/", A238) + 1) + 1, 2))</f>
        <v/>
      </c>
      <c r="I238" s="486">
        <f>TRIM(H238)</f>
        <v/>
      </c>
    </row>
    <row r="239" ht="15" customHeight="1">
      <c r="A239" s="491" t="inlineStr">
        <is>
          <t>KbSSSK/22222/EB + ACC.</t>
        </is>
      </c>
      <c r="B239" s="484">
        <f>+_xlfn.CONCAT(Tabella118[[#This Row],[Composizione]], " - ", Tabella118[[#This Row],[Fornitore]])</f>
        <v/>
      </c>
      <c r="C239" s="943" t="n">
        <v>0.7929999999999999</v>
      </c>
      <c r="D239" s="484" t="inlineStr">
        <is>
          <t>Santerno</t>
        </is>
      </c>
      <c r="E239" s="484">
        <f>IFERROR(IF(H239="BC",Tabella118[[#This Row],[composizione concatenata]],IF(H239="C",Tabella118[[#This Row],[composizione concatenata]],VLOOKUP(I239,$K$2:$O$7,5,FALSE))),+Tabella118[[#This Row],[composizione concatenata]])</f>
        <v/>
      </c>
      <c r="F239" s="943">
        <f>+_xlfn.IFNA(VLOOKUP(Tabella118[[#This Row],[Composizione alternativa per digitale]],Tabella118[[composizione concatenata]:[Euro/Mq]],2,FALSE),VLOOKUP(H239,digitale[[ONDA]:[Fornitore]],3,FALSE))</f>
        <v/>
      </c>
      <c r="G239" s="484" t="n"/>
      <c r="H239" s="484">
        <f>IF(MID(A239, FIND("/", A239, FIND("/", A239) + 1) + 1, 2)="A","C",MID(A239, FIND("/", A239, FIND("/", A239) + 1) + 1, 2))</f>
        <v/>
      </c>
      <c r="I239" s="486">
        <f>TRIM(H239)</f>
        <v/>
      </c>
    </row>
    <row r="240" ht="15" customHeight="1">
      <c r="A240" s="484" t="inlineStr">
        <is>
          <t>KbST/242/B</t>
        </is>
      </c>
      <c r="B240" s="484">
        <f>+_xlfn.CONCAT(Tabella118[[#This Row],[Composizione]], " - ", Tabella118[[#This Row],[Fornitore]])</f>
        <v/>
      </c>
      <c r="C240" s="943" t="n">
        <v>0.34</v>
      </c>
      <c r="D240" s="484" t="inlineStr">
        <is>
          <t xml:space="preserve">Ds Smith </t>
        </is>
      </c>
      <c r="E240" s="484">
        <f>IFERROR(IF(H240="BC",Tabella118[[#This Row],[composizione concatenata]],IF(H240="C",Tabella118[[#This Row],[composizione concatenata]],VLOOKUP(I240,$K$2:$O$7,5,FALSE))),+Tabella118[[#This Row],[composizione concatenata]])</f>
        <v/>
      </c>
      <c r="F240" s="943">
        <f>+_xlfn.IFNA(VLOOKUP(Tabella118[[#This Row],[Composizione alternativa per digitale]],Tabella118[[composizione concatenata]:[Euro/Mq]],2,FALSE),VLOOKUP(H240,digitale[[ONDA]:[Fornitore]],3,FALSE))</f>
        <v/>
      </c>
      <c r="G240" s="484" t="n"/>
      <c r="H240" s="484">
        <f>IF(MID(A240, FIND("/", A240, FIND("/", A240) + 1) + 1, 2)="A","C",MID(A240, FIND("/", A240, FIND("/", A240) + 1) + 1, 2))</f>
        <v/>
      </c>
      <c r="I240" s="486">
        <f>TRIM(H240)</f>
        <v/>
      </c>
    </row>
    <row r="241" ht="15" customHeight="1">
      <c r="A241" s="484" t="inlineStr">
        <is>
          <t>KbST/242/B</t>
        </is>
      </c>
      <c r="B241" s="484">
        <f>+_xlfn.CONCAT(Tabella118[[#This Row],[Composizione]], " - ", Tabella118[[#This Row],[Fornitore]])</f>
        <v/>
      </c>
      <c r="C241" s="943" t="n">
        <v>0.308</v>
      </c>
      <c r="D241" s="484" t="inlineStr">
        <is>
          <t>Giusti</t>
        </is>
      </c>
      <c r="E241" s="484">
        <f>IFERROR(IF(H241="BC",Tabella118[[#This Row],[composizione concatenata]],IF(H241="C",Tabella118[[#This Row],[composizione concatenata]],VLOOKUP(I241,$K$2:$O$7,5,FALSE))),+Tabella118[[#This Row],[composizione concatenata]])</f>
        <v/>
      </c>
      <c r="F241" s="944">
        <f>+_xlfn.IFNA(VLOOKUP(Tabella118[[#This Row],[Composizione alternativa per digitale]],Tabella118[[composizione concatenata]:[Euro/Mq]],2,FALSE),VLOOKUP(H241,digitale[[ONDA]:[Fornitore]],3,FALSE))</f>
        <v/>
      </c>
      <c r="G241" s="484" t="n"/>
      <c r="H241" s="484">
        <f>IF(MID(A241, FIND("/", A241, FIND("/", A241) + 1) + 1, 2)="A","C",MID(A241, FIND("/", A241, FIND("/", A241) + 1) + 1, 2))</f>
        <v/>
      </c>
      <c r="I241" s="486">
        <f>TRIM(H241)</f>
        <v/>
      </c>
    </row>
    <row r="242" ht="15" customHeight="1">
      <c r="A242" s="483" t="inlineStr">
        <is>
          <t>KbST/242/B</t>
        </is>
      </c>
      <c r="B242" s="484">
        <f>+_xlfn.CONCAT(Tabella118[[#This Row],[Composizione]], " - ", Tabella118[[#This Row],[Fornitore]])</f>
        <v/>
      </c>
      <c r="C242" s="950" t="n">
        <v>0.287</v>
      </c>
      <c r="D242" s="484" t="inlineStr">
        <is>
          <t>Cartstrong</t>
        </is>
      </c>
      <c r="E242" s="484">
        <f>IFERROR(IF(H242="BC",Tabella118[[#This Row],[composizione concatenata]],IF(H242="C",Tabella118[[#This Row],[composizione concatenata]],VLOOKUP(I242,$K$2:$O$7,5,FALSE))),+Tabella118[[#This Row],[composizione concatenata]])</f>
        <v/>
      </c>
      <c r="F242" s="943">
        <f>+_xlfn.IFNA(VLOOKUP(Tabella118[[#This Row],[Composizione alternativa per digitale]],Tabella118[[composizione concatenata]:[Euro/Mq]],2,FALSE),VLOOKUP(H242,digitale[[ONDA]:[Fornitore]],3,FALSE))</f>
        <v/>
      </c>
      <c r="G242" s="484" t="n"/>
      <c r="H242" s="484">
        <f>IF(MID(A242, FIND("/", A242, FIND("/", A242) + 1) + 1, 2)="A","C",MID(A242, FIND("/", A242, FIND("/", A242) + 1) + 1, 2))</f>
        <v/>
      </c>
      <c r="I242" s="486">
        <f>TRIM(H242)</f>
        <v/>
      </c>
    </row>
    <row r="243" ht="15" customHeight="1">
      <c r="A243" s="484" t="inlineStr">
        <is>
          <t>KbST/262/B</t>
        </is>
      </c>
      <c r="B243" s="484">
        <f>+_xlfn.CONCAT(Tabella118[[#This Row],[Composizione]], " - ", Tabella118[[#This Row],[Fornitore]])</f>
        <v/>
      </c>
      <c r="C243" s="943" t="n">
        <v>0.35</v>
      </c>
      <c r="D243" s="484" t="inlineStr">
        <is>
          <t xml:space="preserve">Ds Smith </t>
        </is>
      </c>
      <c r="E243" s="484">
        <f>IFERROR(IF(H243="BC",Tabella118[[#This Row],[composizione concatenata]],IF(H243="C",Tabella118[[#This Row],[composizione concatenata]],VLOOKUP(I243,$K$2:$O$7,5,FALSE))),+Tabella118[[#This Row],[composizione concatenata]])</f>
        <v/>
      </c>
      <c r="F243" s="943">
        <f>+_xlfn.IFNA(VLOOKUP(Tabella118[[#This Row],[Composizione alternativa per digitale]],Tabella118[[composizione concatenata]:[Euro/Mq]],2,FALSE),VLOOKUP(H243,digitale[[ONDA]:[Fornitore]],3,FALSE))</f>
        <v/>
      </c>
      <c r="G243" s="484" t="n"/>
      <c r="H243" s="484">
        <f>IF(MID(A243, FIND("/", A243, FIND("/", A243) + 1) + 1, 2)="A","C",MID(A243, FIND("/", A243, FIND("/", A243) + 1) + 1, 2))</f>
        <v/>
      </c>
      <c r="I243" s="486">
        <f>TRIM(H243)</f>
        <v/>
      </c>
    </row>
    <row r="244" ht="15" customHeight="1">
      <c r="A244" s="484" t="inlineStr">
        <is>
          <t>KbST/262/B</t>
        </is>
      </c>
      <c r="B244" s="484">
        <f>+_xlfn.CONCAT(Tabella118[[#This Row],[Composizione]], " - ", Tabella118[[#This Row],[Fornitore]])</f>
        <v/>
      </c>
      <c r="C244" s="943" t="n">
        <v>0.341</v>
      </c>
      <c r="D244" s="484" t="inlineStr">
        <is>
          <t>Giusti</t>
        </is>
      </c>
      <c r="E244" s="484">
        <f>IFERROR(IF(H244="BC",Tabella118[[#This Row],[composizione concatenata]],IF(H244="C",Tabella118[[#This Row],[composizione concatenata]],VLOOKUP(I244,$K$2:$O$7,5,FALSE))),+Tabella118[[#This Row],[composizione concatenata]])</f>
        <v/>
      </c>
      <c r="F244" s="944">
        <f>+_xlfn.IFNA(VLOOKUP(Tabella118[[#This Row],[Composizione alternativa per digitale]],Tabella118[[composizione concatenata]:[Euro/Mq]],2,FALSE),VLOOKUP(H244,digitale[[ONDA]:[Fornitore]],3,FALSE))</f>
        <v/>
      </c>
      <c r="G244" s="484" t="n"/>
      <c r="H244" s="484">
        <f>IF(MID(A244, FIND("/", A244, FIND("/", A244) + 1) + 1, 2)="A","C",MID(A244, FIND("/", A244, FIND("/", A244) + 1) + 1, 2))</f>
        <v/>
      </c>
      <c r="I244" s="486">
        <f>TRIM(H244)</f>
        <v/>
      </c>
    </row>
    <row r="245" ht="15" customHeight="1">
      <c r="A245" s="484" t="inlineStr">
        <is>
          <t>KbST/262/C</t>
        </is>
      </c>
      <c r="B245" s="484">
        <f>+_xlfn.CONCAT(Tabella118[[#This Row],[Composizione]], " - ", Tabella118[[#This Row],[Fornitore]])</f>
        <v/>
      </c>
      <c r="C245" s="943" t="n">
        <v>0.355</v>
      </c>
      <c r="D245" s="484" t="inlineStr">
        <is>
          <t xml:space="preserve">Ds Smith </t>
        </is>
      </c>
      <c r="E245" s="484">
        <f>IFERROR(IF(H245="BC",Tabella118[[#This Row],[composizione concatenata]],IF(H245="C",Tabella118[[#This Row],[composizione concatenata]],VLOOKUP(I245,$K$2:$O$7,5,FALSE))),+Tabella118[[#This Row],[composizione concatenata]])</f>
        <v/>
      </c>
      <c r="F245" s="943">
        <f>+_xlfn.IFNA(VLOOKUP(Tabella118[[#This Row],[Composizione alternativa per digitale]],Tabella118[[composizione concatenata]:[Euro/Mq]],2,FALSE),VLOOKUP(H245,digitale[[ONDA]:[Fornitore]],3,FALSE))</f>
        <v/>
      </c>
      <c r="G245" s="484" t="n"/>
      <c r="H245" s="484">
        <f>IF(MID(A245, FIND("/", A245, FIND("/", A245) + 1) + 1, 2)="A","C",MID(A245, FIND("/", A245, FIND("/", A245) + 1) + 1, 2))</f>
        <v/>
      </c>
      <c r="I245" s="486">
        <f>TRIM(H245)</f>
        <v/>
      </c>
    </row>
    <row r="246" ht="15" customHeight="1">
      <c r="A246" s="484" t="inlineStr">
        <is>
          <t>KbST/262/E</t>
        </is>
      </c>
      <c r="B246" s="484">
        <f>+_xlfn.CONCAT(Tabella118[[#This Row],[Composizione]], " - ", Tabella118[[#This Row],[Fornitore]])</f>
        <v/>
      </c>
      <c r="C246" s="943" t="n">
        <v>0.335</v>
      </c>
      <c r="D246" s="484" t="inlineStr">
        <is>
          <t>Giusti</t>
        </is>
      </c>
      <c r="E246" s="484">
        <f>IFERROR(IF(H246="BC",Tabella118[[#This Row],[composizione concatenata]],IF(H246="C",Tabella118[[#This Row],[composizione concatenata]],VLOOKUP(I246,$K$2:$O$7,5,FALSE))),+Tabella118[[#This Row],[composizione concatenata]])</f>
        <v/>
      </c>
      <c r="F246" s="944">
        <f>+_xlfn.IFNA(VLOOKUP(Tabella118[[#This Row],[Composizione alternativa per digitale]],Tabella118[[composizione concatenata]:[Euro/Mq]],2,FALSE),VLOOKUP(H246,digitale[[ONDA]:[Fornitore]],3,FALSE))</f>
        <v/>
      </c>
      <c r="G246" s="484" t="n"/>
      <c r="H246" s="484">
        <f>IF(MID(A246, FIND("/", A246, FIND("/", A246) + 1) + 1, 2)="A","C",MID(A246, FIND("/", A246, FIND("/", A246) + 1) + 1, 2))</f>
        <v/>
      </c>
      <c r="I246" s="486">
        <f>TRIM(H246)</f>
        <v/>
      </c>
    </row>
    <row r="247" ht="15" customHeight="1">
      <c r="A247" s="484" t="inlineStr">
        <is>
          <t>KbST/342/B</t>
        </is>
      </c>
      <c r="B247" s="484">
        <f>+_xlfn.CONCAT(Tabella118[[#This Row],[Composizione]], " - ", Tabella118[[#This Row],[Fornitore]])</f>
        <v/>
      </c>
      <c r="C247" s="943" t="n">
        <v>0.326</v>
      </c>
      <c r="D247" s="484" t="inlineStr">
        <is>
          <t>Giusti</t>
        </is>
      </c>
      <c r="E247" s="484">
        <f>IFERROR(IF(H247="BC",Tabella118[[#This Row],[composizione concatenata]],IF(H247="C",Tabella118[[#This Row],[composizione concatenata]],VLOOKUP(I247,$K$2:$O$7,5,FALSE))),+Tabella118[[#This Row],[composizione concatenata]])</f>
        <v/>
      </c>
      <c r="F247" s="944">
        <f>+_xlfn.IFNA(VLOOKUP(Tabella118[[#This Row],[Composizione alternativa per digitale]],Tabella118[[composizione concatenata]:[Euro/Mq]],2,FALSE),VLOOKUP(H247,digitale[[ONDA]:[Fornitore]],3,FALSE))</f>
        <v/>
      </c>
      <c r="G247" s="484" t="n"/>
      <c r="H247" s="484">
        <f>IF(MID(A247, FIND("/", A247, FIND("/", A247) + 1) + 1, 2)="A","C",MID(A247, FIND("/", A247, FIND("/", A247) + 1) + 1, 2))</f>
        <v/>
      </c>
      <c r="I247" s="486">
        <f>TRIM(H247)</f>
        <v/>
      </c>
    </row>
    <row r="248" ht="15" customHeight="1">
      <c r="A248" s="483" t="inlineStr">
        <is>
          <t>KbST/342/B</t>
        </is>
      </c>
      <c r="B248" s="484">
        <f>+_xlfn.CONCAT(Tabella118[[#This Row],[Composizione]], " - ", Tabella118[[#This Row],[Fornitore]])</f>
        <v/>
      </c>
      <c r="C248" s="950" t="n">
        <v>0.294</v>
      </c>
      <c r="D248" s="484" t="inlineStr">
        <is>
          <t>Cartstrong</t>
        </is>
      </c>
      <c r="E248" s="484">
        <f>IFERROR(IF(H248="BC",Tabella118[[#This Row],[composizione concatenata]],IF(H248="C",Tabella118[[#This Row],[composizione concatenata]],VLOOKUP(I248,$K$2:$O$7,5,FALSE))),+Tabella118[[#This Row],[composizione concatenata]])</f>
        <v/>
      </c>
      <c r="F248" s="943">
        <f>+_xlfn.IFNA(VLOOKUP(Tabella118[[#This Row],[Composizione alternativa per digitale]],Tabella118[[composizione concatenata]:[Euro/Mq]],2,FALSE),VLOOKUP(H248,digitale[[ONDA]:[Fornitore]],3,FALSE))</f>
        <v/>
      </c>
      <c r="G248" s="484" t="n"/>
      <c r="H248" s="484">
        <f>IF(MID(A248, FIND("/", A248, FIND("/", A248) + 1) + 1, 2)="A","C",MID(A248, FIND("/", A248, FIND("/", A248) + 1) + 1, 2))</f>
        <v/>
      </c>
      <c r="I248" s="486">
        <f>TRIM(H248)</f>
        <v/>
      </c>
    </row>
    <row r="249" ht="15" customHeight="1">
      <c r="A249" s="484" t="inlineStr">
        <is>
          <t>KbST/342/E</t>
        </is>
      </c>
      <c r="B249" s="484">
        <f>+_xlfn.CONCAT(Tabella118[[#This Row],[Composizione]], " - ", Tabella118[[#This Row],[Fornitore]])</f>
        <v/>
      </c>
      <c r="C249" s="943" t="n">
        <v>0.32</v>
      </c>
      <c r="D249" s="484" t="inlineStr">
        <is>
          <t xml:space="preserve">Ds Smith </t>
        </is>
      </c>
      <c r="E249" s="484">
        <f>IFERROR(IF(H249="BC",Tabella118[[#This Row],[composizione concatenata]],IF(H249="C",Tabella118[[#This Row],[composizione concatenata]],VLOOKUP(I249,$K$2:$O$7,5,FALSE))),+Tabella118[[#This Row],[composizione concatenata]])</f>
        <v/>
      </c>
      <c r="F249" s="943">
        <f>+_xlfn.IFNA(VLOOKUP(Tabella118[[#This Row],[Composizione alternativa per digitale]],Tabella118[[composizione concatenata]:[Euro/Mq]],2,FALSE),VLOOKUP(H249,digitale[[ONDA]:[Fornitore]],3,FALSE))</f>
        <v/>
      </c>
      <c r="G249" s="484" t="n"/>
      <c r="H249" s="484">
        <f>IF(MID(A249, FIND("/", A249, FIND("/", A249) + 1) + 1, 2)="A","C",MID(A249, FIND("/", A249, FIND("/", A249) + 1) + 1, 2))</f>
        <v/>
      </c>
      <c r="I249" s="486">
        <f>TRIM(H249)</f>
        <v/>
      </c>
    </row>
    <row r="250" ht="15" customHeight="1">
      <c r="A250" s="484" t="inlineStr">
        <is>
          <t>KbST/342/E</t>
        </is>
      </c>
      <c r="B250" s="484">
        <f>+_xlfn.CONCAT(Tabella118[[#This Row],[Composizione]], " - ", Tabella118[[#This Row],[Fornitore]])</f>
        <v/>
      </c>
      <c r="C250" s="943" t="n">
        <v>0.32</v>
      </c>
      <c r="D250" s="484" t="inlineStr">
        <is>
          <t>Giusti</t>
        </is>
      </c>
      <c r="E250" s="484">
        <f>IFERROR(IF(H250="BC",Tabella118[[#This Row],[composizione concatenata]],IF(H250="C",Tabella118[[#This Row],[composizione concatenata]],VLOOKUP(I250,$K$2:$O$7,5,FALSE))),+Tabella118[[#This Row],[composizione concatenata]])</f>
        <v/>
      </c>
      <c r="F250" s="944">
        <f>+_xlfn.IFNA(VLOOKUP(Tabella118[[#This Row],[Composizione alternativa per digitale]],Tabella118[[composizione concatenata]:[Euro/Mq]],2,FALSE),VLOOKUP(H250,digitale[[ONDA]:[Fornitore]],3,FALSE))</f>
        <v/>
      </c>
      <c r="G250" s="484" t="n"/>
      <c r="H250" s="484">
        <f>IF(MID(A250, FIND("/", A250, FIND("/", A250) + 1) + 1, 2)="A","C",MID(A250, FIND("/", A250, FIND("/", A250) + 1) + 1, 2))</f>
        <v/>
      </c>
      <c r="I250" s="486">
        <f>TRIM(H250)</f>
        <v/>
      </c>
    </row>
    <row r="251" ht="15" customHeight="1">
      <c r="A251" s="484" t="inlineStr">
        <is>
          <t>KbST/362/B</t>
        </is>
      </c>
      <c r="B251" s="484">
        <f>+_xlfn.CONCAT(Tabella118[[#This Row],[Composizione]], " - ", Tabella118[[#This Row],[Fornitore]])</f>
        <v/>
      </c>
      <c r="C251" s="943" t="n">
        <v>0.355</v>
      </c>
      <c r="D251" s="484" t="inlineStr">
        <is>
          <t>Giusti</t>
        </is>
      </c>
      <c r="E251" s="484">
        <f>IFERROR(IF(H251="BC",Tabella118[[#This Row],[composizione concatenata]],IF(H251="C",Tabella118[[#This Row],[composizione concatenata]],VLOOKUP(I251,$K$2:$O$7,5,FALSE))),+Tabella118[[#This Row],[composizione concatenata]])</f>
        <v/>
      </c>
      <c r="F251" s="944">
        <f>+_xlfn.IFNA(VLOOKUP(Tabella118[[#This Row],[Composizione alternativa per digitale]],Tabella118[[composizione concatenata]:[Euro/Mq]],2,FALSE),VLOOKUP(H251,digitale[[ONDA]:[Fornitore]],3,FALSE))</f>
        <v/>
      </c>
      <c r="G251" s="484" t="n"/>
      <c r="H251" s="484">
        <f>IF(MID(A251, FIND("/", A251, FIND("/", A251) + 1) + 1, 2)="A","C",MID(A251, FIND("/", A251, FIND("/", A251) + 1) + 1, 2))</f>
        <v/>
      </c>
      <c r="I251" s="486">
        <f>TRIM(H251)</f>
        <v/>
      </c>
    </row>
    <row r="252" ht="15" customHeight="1">
      <c r="A252" s="484" t="inlineStr">
        <is>
          <t>KbST/362/C</t>
        </is>
      </c>
      <c r="B252" s="484">
        <f>+_xlfn.CONCAT(Tabella118[[#This Row],[Composizione]], " - ", Tabella118[[#This Row],[Fornitore]])</f>
        <v/>
      </c>
      <c r="C252" s="943" t="n">
        <v>0.367</v>
      </c>
      <c r="D252" s="484" t="inlineStr">
        <is>
          <t>Giusti</t>
        </is>
      </c>
      <c r="E252" s="484">
        <f>IFERROR(IF(H252="BC",Tabella118[[#This Row],[composizione concatenata]],IF(H252="C",Tabella118[[#This Row],[composizione concatenata]],VLOOKUP(I252,$K$2:$O$7,5,FALSE))),+Tabella118[[#This Row],[composizione concatenata]])</f>
        <v/>
      </c>
      <c r="F252" s="944">
        <f>+_xlfn.IFNA(VLOOKUP(Tabella118[[#This Row],[Composizione alternativa per digitale]],Tabella118[[composizione concatenata]:[Euro/Mq]],2,FALSE),VLOOKUP(H252,digitale[[ONDA]:[Fornitore]],3,FALSE))</f>
        <v/>
      </c>
      <c r="G252" s="484" t="n"/>
      <c r="H252" s="484">
        <f>IF(MID(A252, FIND("/", A252, FIND("/", A252) + 1) + 1, 2)="A","C",MID(A252, FIND("/", A252, FIND("/", A252) + 1) + 1, 2))</f>
        <v/>
      </c>
      <c r="I252" s="486">
        <f>TRIM(H252)</f>
        <v/>
      </c>
    </row>
    <row r="253" ht="15" customHeight="1">
      <c r="A253" s="484" t="inlineStr">
        <is>
          <t>KbST/362/E</t>
        </is>
      </c>
      <c r="B253" s="484">
        <f>+_xlfn.CONCAT(Tabella118[[#This Row],[Composizione]], " - ", Tabella118[[#This Row],[Fornitore]])</f>
        <v/>
      </c>
      <c r="C253" s="943" t="n">
        <v>0.353</v>
      </c>
      <c r="D253" s="484" t="inlineStr">
        <is>
          <t>Giusti</t>
        </is>
      </c>
      <c r="E253" s="484">
        <f>IFERROR(IF(H253="BC",Tabella118[[#This Row],[composizione concatenata]],IF(H253="C",Tabella118[[#This Row],[composizione concatenata]],VLOOKUP(I253,$K$2:$O$7,5,FALSE))),+Tabella118[[#This Row],[composizione concatenata]])</f>
        <v/>
      </c>
      <c r="F253" s="944">
        <f>+_xlfn.IFNA(VLOOKUP(Tabella118[[#This Row],[Composizione alternativa per digitale]],Tabella118[[composizione concatenata]:[Euro/Mq]],2,FALSE),VLOOKUP(H253,digitale[[ONDA]:[Fornitore]],3,FALSE))</f>
        <v/>
      </c>
      <c r="G253" s="484" t="n"/>
      <c r="H253" s="484">
        <f>IF(MID(A253, FIND("/", A253, FIND("/", A253) + 1) + 1, 2)="A","C",MID(A253, FIND("/", A253, FIND("/", A253) + 1) + 1, 2))</f>
        <v/>
      </c>
      <c r="I253" s="486">
        <f>TRIM(H253)</f>
        <v/>
      </c>
    </row>
    <row r="254" ht="15" customHeight="1">
      <c r="A254" s="484" t="inlineStr">
        <is>
          <t>KbST/363/C</t>
        </is>
      </c>
      <c r="B254" s="484">
        <f>+_xlfn.CONCAT(Tabella118[[#This Row],[Composizione]], " - ", Tabella118[[#This Row],[Fornitore]])</f>
        <v/>
      </c>
      <c r="C254" s="943" t="n">
        <v>0.38</v>
      </c>
      <c r="D254" s="484" t="inlineStr">
        <is>
          <t>Giusti</t>
        </is>
      </c>
      <c r="E254" s="484">
        <f>IFERROR(IF(H254="BC",Tabella118[[#This Row],[composizione concatenata]],IF(H254="C",Tabella118[[#This Row],[composizione concatenata]],VLOOKUP(I254,$K$2:$O$7,5,FALSE))),+Tabella118[[#This Row],[composizione concatenata]])</f>
        <v/>
      </c>
      <c r="F254" s="944">
        <f>+_xlfn.IFNA(VLOOKUP(Tabella118[[#This Row],[Composizione alternativa per digitale]],Tabella118[[composizione concatenata]:[Euro/Mq]],2,FALSE),VLOOKUP(H254,digitale[[ONDA]:[Fornitore]],3,FALSE))</f>
        <v/>
      </c>
      <c r="G254" s="484" t="n"/>
      <c r="H254" s="484">
        <f>IF(MID(A254, FIND("/", A254, FIND("/", A254) + 1) + 1, 2)="A","C",MID(A254, FIND("/", A254, FIND("/", A254) + 1) + 1, 2))</f>
        <v/>
      </c>
      <c r="I254" s="486">
        <f>TRIM(H254)</f>
        <v/>
      </c>
    </row>
    <row r="255" ht="15" customHeight="1">
      <c r="A255" s="484" t="inlineStr">
        <is>
          <t>KbSTb/243/E</t>
        </is>
      </c>
      <c r="B255" s="484">
        <f>+_xlfn.CONCAT(Tabella118[[#This Row],[Composizione]], " - ", Tabella118[[#This Row],[Fornitore]])</f>
        <v/>
      </c>
      <c r="C255" s="943" t="n">
        <v>0.335</v>
      </c>
      <c r="D255" s="484" t="inlineStr">
        <is>
          <t>Giusti</t>
        </is>
      </c>
      <c r="E255" s="484">
        <f>IFERROR(IF(H255="BC",Tabella118[[#This Row],[composizione concatenata]],IF(H255="C",Tabella118[[#This Row],[composizione concatenata]],VLOOKUP(I255,$K$2:$O$7,5,FALSE))),+Tabella118[[#This Row],[composizione concatenata]])</f>
        <v/>
      </c>
      <c r="F255" s="944">
        <f>+_xlfn.IFNA(VLOOKUP(Tabella118[[#This Row],[Composizione alternativa per digitale]],Tabella118[[composizione concatenata]:[Euro/Mq]],2,FALSE),VLOOKUP(H255,digitale[[ONDA]:[Fornitore]],3,FALSE))</f>
        <v/>
      </c>
      <c r="G255" s="484" t="n"/>
      <c r="H255" s="484">
        <f>IF(MID(A255, FIND("/", A255, FIND("/", A255) + 1) + 1, 2)="A","C",MID(A255, FIND("/", A255, FIND("/", A255) + 1) + 1, 2))</f>
        <v/>
      </c>
      <c r="I255" s="486">
        <f>TRIM(H255)</f>
        <v/>
      </c>
    </row>
    <row r="256" ht="15" customHeight="1">
      <c r="A256" s="484" t="inlineStr">
        <is>
          <t>KbSTb/263/E</t>
        </is>
      </c>
      <c r="B256" s="484">
        <f>+_xlfn.CONCAT(Tabella118[[#This Row],[Composizione]], " - ", Tabella118[[#This Row],[Fornitore]])</f>
        <v/>
      </c>
      <c r="C256" s="943" t="n">
        <v>0.377</v>
      </c>
      <c r="D256" s="484" t="inlineStr">
        <is>
          <t>Giusti</t>
        </is>
      </c>
      <c r="E256" s="484">
        <f>IFERROR(IF(H256="BC",Tabella118[[#This Row],[composizione concatenata]],IF(H256="C",Tabella118[[#This Row],[composizione concatenata]],VLOOKUP(I256,$K$2:$O$7,5,FALSE))),+Tabella118[[#This Row],[composizione concatenata]])</f>
        <v/>
      </c>
      <c r="F256" s="944">
        <f>+_xlfn.IFNA(VLOOKUP(Tabella118[[#This Row],[Composizione alternativa per digitale]],Tabella118[[composizione concatenata]:[Euro/Mq]],2,FALSE),VLOOKUP(H256,digitale[[ONDA]:[Fornitore]],3,FALSE))</f>
        <v/>
      </c>
      <c r="G256" s="484" t="n"/>
      <c r="H256" s="484">
        <f>IF(MID(A256, FIND("/", A256, FIND("/", A256) + 1) + 1, 2)="A","C",MID(A256, FIND("/", A256, FIND("/", A256) + 1) + 1, 2))</f>
        <v/>
      </c>
      <c r="I256" s="486">
        <f>TRIM(H256)</f>
        <v/>
      </c>
    </row>
    <row r="257" ht="15" customHeight="1">
      <c r="A257" s="484" t="inlineStr">
        <is>
          <t>KbSTb/343/E</t>
        </is>
      </c>
      <c r="B257" s="484">
        <f>+_xlfn.CONCAT(Tabella118[[#This Row],[Composizione]], " - ", Tabella118[[#This Row],[Fornitore]])</f>
        <v/>
      </c>
      <c r="C257" s="943" t="n">
        <v>0.373</v>
      </c>
      <c r="D257" s="484" t="inlineStr">
        <is>
          <t>Giusti</t>
        </is>
      </c>
      <c r="E257" s="484">
        <f>IFERROR(IF(H257="BC",Tabella118[[#This Row],[composizione concatenata]],IF(H257="C",Tabella118[[#This Row],[composizione concatenata]],VLOOKUP(I257,$K$2:$O$7,5,FALSE))),+Tabella118[[#This Row],[composizione concatenata]])</f>
        <v/>
      </c>
      <c r="F257" s="944">
        <f>+_xlfn.IFNA(VLOOKUP(Tabella118[[#This Row],[Composizione alternativa per digitale]],Tabella118[[composizione concatenata]:[Euro/Mq]],2,FALSE),VLOOKUP(H257,digitale[[ONDA]:[Fornitore]],3,FALSE))</f>
        <v/>
      </c>
      <c r="G257" s="484" t="n"/>
      <c r="H257" s="484">
        <f>IF(MID(A257, FIND("/", A257, FIND("/", A257) + 1) + 1, 2)="A","C",MID(A257, FIND("/", A257, FIND("/", A257) + 1) + 1, 2))</f>
        <v/>
      </c>
      <c r="I257" s="486">
        <f>TRIM(H257)</f>
        <v/>
      </c>
    </row>
    <row r="258" ht="15" customHeight="1">
      <c r="A258" s="484" t="inlineStr">
        <is>
          <t>KbSTb/363/B</t>
        </is>
      </c>
      <c r="B258" s="484">
        <f>+_xlfn.CONCAT(Tabella118[[#This Row],[Composizione]], " - ", Tabella118[[#This Row],[Fornitore]])</f>
        <v/>
      </c>
      <c r="C258" s="943" t="n">
        <v>0.387</v>
      </c>
      <c r="D258" s="484" t="inlineStr">
        <is>
          <t>Giusti</t>
        </is>
      </c>
      <c r="E258" s="484">
        <f>IFERROR(IF(H258="BC",Tabella118[[#This Row],[composizione concatenata]],IF(H258="C",Tabella118[[#This Row],[composizione concatenata]],VLOOKUP(I258,$K$2:$O$7,5,FALSE))),+Tabella118[[#This Row],[composizione concatenata]])</f>
        <v/>
      </c>
      <c r="F258" s="944">
        <f>+_xlfn.IFNA(VLOOKUP(Tabella118[[#This Row],[Composizione alternativa per digitale]],Tabella118[[composizione concatenata]:[Euro/Mq]],2,FALSE),VLOOKUP(H258,digitale[[ONDA]:[Fornitore]],3,FALSE))</f>
        <v/>
      </c>
      <c r="G258" s="484" t="n"/>
      <c r="H258" s="484">
        <f>IF(MID(A258, FIND("/", A258, FIND("/", A258) + 1) + 1, 2)="A","C",MID(A258, FIND("/", A258, FIND("/", A258) + 1) + 1, 2))</f>
        <v/>
      </c>
      <c r="I258" s="486">
        <f>TRIM(H258)</f>
        <v/>
      </c>
    </row>
    <row r="259" ht="15" customHeight="1">
      <c r="A259" s="484" t="inlineStr">
        <is>
          <t>KbSUFSET/24262/EB</t>
        </is>
      </c>
      <c r="B259" s="484">
        <f>+_xlfn.CONCAT(Tabella118[[#This Row],[Composizione]], " - ", Tabella118[[#This Row],[Fornitore]])</f>
        <v/>
      </c>
      <c r="C259" s="943" t="n">
        <v>0.459</v>
      </c>
      <c r="D259" s="484" t="inlineStr">
        <is>
          <t>FEPA</t>
        </is>
      </c>
      <c r="E259" s="484">
        <f>IFERROR(IF(H259="BC",Tabella118[[#This Row],[composizione concatenata]],IF(H259="C",Tabella118[[#This Row],[composizione concatenata]],VLOOKUP(I259,$K$2:$O$7,5,FALSE))),+Tabella118[[#This Row],[composizione concatenata]])</f>
        <v/>
      </c>
      <c r="F259" s="944">
        <f>+_xlfn.IFNA(VLOOKUP(Tabella118[[#This Row],[Composizione alternativa per digitale]],Tabella118[[composizione concatenata]:[Euro/Mq]],2,FALSE),VLOOKUP(H259,digitale[[ONDA]:[Fornitore]],3,FALSE))</f>
        <v/>
      </c>
      <c r="G259" s="484" t="n"/>
      <c r="H259" s="484">
        <f>IF(MID(A259, FIND("/", A259, FIND("/", A259) + 1) + 1, 2)="A","C",MID(A259, FIND("/", A259, FIND("/", A259) + 1) + 1, 2))</f>
        <v/>
      </c>
      <c r="I259" s="486">
        <f>TRIM(H259)</f>
        <v/>
      </c>
    </row>
    <row r="260" ht="15" customHeight="1">
      <c r="A260" s="484" t="inlineStr">
        <is>
          <t>KbSUFSEUK/24264/EB</t>
        </is>
      </c>
      <c r="B260" s="484">
        <f>+_xlfn.CONCAT(Tabella118[[#This Row],[Composizione]], " - ", Tabella118[[#This Row],[Fornitore]])</f>
        <v/>
      </c>
      <c r="C260" s="943" t="n">
        <v>0.497</v>
      </c>
      <c r="D260" s="484" t="inlineStr">
        <is>
          <t>FEPA</t>
        </is>
      </c>
      <c r="E260" s="484">
        <f>IFERROR(IF(H260="BC",Tabella118[[#This Row],[composizione concatenata]],IF(H260="C",Tabella118[[#This Row],[composizione concatenata]],VLOOKUP(I260,$K$2:$O$7,5,FALSE))),+Tabella118[[#This Row],[composizione concatenata]])</f>
        <v/>
      </c>
      <c r="F260" s="944">
        <f>+_xlfn.IFNA(VLOOKUP(Tabella118[[#This Row],[Composizione alternativa per digitale]],Tabella118[[composizione concatenata]:[Euro/Mq]],2,FALSE),VLOOKUP(H260,digitale[[ONDA]:[Fornitore]],3,FALSE))</f>
        <v/>
      </c>
      <c r="G260" s="484" t="n"/>
      <c r="H260" s="484">
        <f>IF(MID(A260, FIND("/", A260, FIND("/", A260) + 1) + 1, 2)="A","C",MID(A260, FIND("/", A260, FIND("/", A260) + 1) + 1, 2))</f>
        <v/>
      </c>
      <c r="I260" s="486">
        <f>TRIM(H260)</f>
        <v/>
      </c>
    </row>
    <row r="261" ht="15" customHeight="1">
      <c r="A261" s="484" t="inlineStr">
        <is>
          <t>KbSUFSUT/24242/EE</t>
        </is>
      </c>
      <c r="B261" s="484">
        <f>+_xlfn.CONCAT(Tabella118[[#This Row],[Composizione]], " - ", Tabella118[[#This Row],[Fornitore]])</f>
        <v/>
      </c>
      <c r="C261" s="943" t="n">
        <v>0.441</v>
      </c>
      <c r="D261" s="484" t="inlineStr">
        <is>
          <t>FEPA</t>
        </is>
      </c>
      <c r="E261" s="484">
        <f>IFERROR(IF(H261="BC",Tabella118[[#This Row],[composizione concatenata]],IF(H261="C",Tabella118[[#This Row],[composizione concatenata]],VLOOKUP(I261,$K$2:$O$7,5,FALSE))),+Tabella118[[#This Row],[composizione concatenata]])</f>
        <v/>
      </c>
      <c r="F261" s="944">
        <f>+_xlfn.IFNA(VLOOKUP(Tabella118[[#This Row],[Composizione alternativa per digitale]],Tabella118[[composizione concatenata]:[Euro/Mq]],2,FALSE),VLOOKUP(H261,digitale[[ONDA]:[Fornitore]],3,FALSE))</f>
        <v/>
      </c>
      <c r="G261" s="484" t="n"/>
      <c r="H261" s="484">
        <f>IF(MID(A261, FIND("/", A261, FIND("/", A261) + 1) + 1, 2)="A","C",MID(A261, FIND("/", A261, FIND("/", A261) + 1) + 1, 2))</f>
        <v/>
      </c>
      <c r="I261" s="486">
        <f>TRIM(H261)</f>
        <v/>
      </c>
    </row>
    <row r="262" ht="15" customHeight="1">
      <c r="A262" s="484" t="inlineStr">
        <is>
          <t>KbSUFSUTb/24243/EE</t>
        </is>
      </c>
      <c r="B262" s="484">
        <f>+_xlfn.CONCAT(Tabella118[[#This Row],[Composizione]], " - ", Tabella118[[#This Row],[Fornitore]])</f>
        <v/>
      </c>
      <c r="C262" s="943" t="n">
        <v>0.463</v>
      </c>
      <c r="D262" s="484" t="inlineStr">
        <is>
          <t>FEPA</t>
        </is>
      </c>
      <c r="E262" s="484">
        <f>IFERROR(IF(H262="BC",Tabella118[[#This Row],[composizione concatenata]],IF(H262="C",Tabella118[[#This Row],[composizione concatenata]],VLOOKUP(I262,$K$2:$O$7,5,FALSE))),+Tabella118[[#This Row],[composizione concatenata]])</f>
        <v/>
      </c>
      <c r="F262" s="944">
        <f>+_xlfn.IFNA(VLOOKUP(Tabella118[[#This Row],[Composizione alternativa per digitale]],Tabella118[[composizione concatenata]:[Euro/Mq]],2,FALSE),VLOOKUP(H262,digitale[[ONDA]:[Fornitore]],3,FALSE))</f>
        <v/>
      </c>
      <c r="G262" s="484" t="n"/>
      <c r="H262" s="484">
        <f>IF(MID(A262, FIND("/", A262, FIND("/", A262) + 1) + 1, 2)="A","C",MID(A262, FIND("/", A262, FIND("/", A262) + 1) + 1, 2))</f>
        <v/>
      </c>
      <c r="I262" s="486">
        <f>TRIM(H262)</f>
        <v/>
      </c>
    </row>
    <row r="263" ht="15" customHeight="1">
      <c r="A263" s="484" t="inlineStr">
        <is>
          <t>KbSUFSUUK/24242/EB</t>
        </is>
      </c>
      <c r="B263" s="484">
        <f>+_xlfn.CONCAT(Tabella118[[#This Row],[Composizione]], " - ", Tabella118[[#This Row],[Fornitore]])</f>
        <v/>
      </c>
      <c r="C263" s="943" t="n">
        <v>0.456</v>
      </c>
      <c r="D263" s="484" t="inlineStr">
        <is>
          <t>FEPA</t>
        </is>
      </c>
      <c r="E263" s="484">
        <f>IFERROR(IF(H263="BC",Tabella118[[#This Row],[composizione concatenata]],IF(H263="C",Tabella118[[#This Row],[composizione concatenata]],VLOOKUP(I263,$K$2:$O$7,5,FALSE))),+Tabella118[[#This Row],[composizione concatenata]])</f>
        <v/>
      </c>
      <c r="F263" s="944">
        <f>+_xlfn.IFNA(VLOOKUP(Tabella118[[#This Row],[Composizione alternativa per digitale]],Tabella118[[composizione concatenata]:[Euro/Mq]],2,FALSE),VLOOKUP(H263,digitale[[ONDA]:[Fornitore]],3,FALSE))</f>
        <v/>
      </c>
      <c r="G263" s="484" t="n"/>
      <c r="H263" s="484">
        <f>IF(MID(A263, FIND("/", A263, FIND("/", A263) + 1) + 1, 2)="A","C",MID(A263, FIND("/", A263, FIND("/", A263) + 1) + 1, 2))</f>
        <v/>
      </c>
      <c r="I263" s="486">
        <f>TRIM(H263)</f>
        <v/>
      </c>
    </row>
    <row r="264" ht="15" customHeight="1">
      <c r="A264" s="484" t="inlineStr">
        <is>
          <t>KbSUK/242/B</t>
        </is>
      </c>
      <c r="B264" s="484">
        <f>+_xlfn.CONCAT(Tabella118[[#This Row],[Composizione]], " - ", Tabella118[[#This Row],[Fornitore]])</f>
        <v/>
      </c>
      <c r="C264" s="943" t="n">
        <v>0.334</v>
      </c>
      <c r="D264" s="484" t="inlineStr">
        <is>
          <t>FEPA</t>
        </is>
      </c>
      <c r="E264" s="484">
        <f>IFERROR(IF(H264="BC",Tabella118[[#This Row],[composizione concatenata]],IF(H264="C",Tabella118[[#This Row],[composizione concatenata]],VLOOKUP(I264,$K$2:$O$7,5,FALSE))),+Tabella118[[#This Row],[composizione concatenata]])</f>
        <v/>
      </c>
      <c r="F264" s="944">
        <f>+_xlfn.IFNA(VLOOKUP(Tabella118[[#This Row],[Composizione alternativa per digitale]],Tabella118[[composizione concatenata]:[Euro/Mq]],2,FALSE),VLOOKUP(H264,digitale[[ONDA]:[Fornitore]],3,FALSE))</f>
        <v/>
      </c>
      <c r="G264" s="484" t="n"/>
      <c r="H264" s="484">
        <f>IF(MID(A264, FIND("/", A264, FIND("/", A264) + 1) + 1, 2)="A","C",MID(A264, FIND("/", A264, FIND("/", A264) + 1) + 1, 2))</f>
        <v/>
      </c>
      <c r="I264" s="486">
        <f>TRIM(H264)</f>
        <v/>
      </c>
    </row>
    <row r="265" ht="15" customHeight="1">
      <c r="A265" s="484" t="inlineStr">
        <is>
          <t>KbSUT/243/A</t>
        </is>
      </c>
      <c r="B265" s="484">
        <f>+_xlfn.CONCAT(Tabella118[[#This Row],[Composizione]], " - ", Tabella118[[#This Row],[Fornitore]])</f>
        <v/>
      </c>
      <c r="C265" s="943" t="n">
        <v>0.306</v>
      </c>
      <c r="D265" s="484" t="inlineStr">
        <is>
          <t>FEPA</t>
        </is>
      </c>
      <c r="E265" s="484">
        <f>IFERROR(IF(H265="BC",Tabella118[[#This Row],[composizione concatenata]],IF(H265="C",Tabella118[[#This Row],[composizione concatenata]],VLOOKUP(I265,$K$2:$O$7,5,FALSE))),+Tabella118[[#This Row],[composizione concatenata]])</f>
        <v/>
      </c>
      <c r="F265" s="944">
        <f>+_xlfn.IFNA(VLOOKUP(Tabella118[[#This Row],[Composizione alternativa per digitale]],Tabella118[[composizione concatenata]:[Euro/Mq]],2,FALSE),VLOOKUP(H265,digitale[[ONDA]:[Fornitore]],3,FALSE))</f>
        <v/>
      </c>
      <c r="G265" s="484" t="n"/>
      <c r="H265" s="484">
        <f>IF(MID(A265, FIND("/", A265, FIND("/", A265) + 1) + 1, 2)="A","C",MID(A265, FIND("/", A265, FIND("/", A265) + 1) + 1, 2))</f>
        <v/>
      </c>
      <c r="I265" s="486">
        <f>TRIM(H265)</f>
        <v/>
      </c>
    </row>
    <row r="266" ht="15" customHeight="1">
      <c r="A266" s="484" t="inlineStr">
        <is>
          <t>KbSUT/243/B</t>
        </is>
      </c>
      <c r="B266" s="484">
        <f>+_xlfn.CONCAT(Tabella118[[#This Row],[Composizione]], " - ", Tabella118[[#This Row],[Fornitore]])</f>
        <v/>
      </c>
      <c r="C266" s="943" t="n">
        <v>0.316</v>
      </c>
      <c r="D266" s="484" t="inlineStr">
        <is>
          <t>FEPA</t>
        </is>
      </c>
      <c r="E266" s="484">
        <f>IFERROR(IF(H266="BC",Tabella118[[#This Row],[composizione concatenata]],IF(H266="C",Tabella118[[#This Row],[composizione concatenata]],VLOOKUP(I266,$K$2:$O$7,5,FALSE))),+Tabella118[[#This Row],[composizione concatenata]])</f>
        <v/>
      </c>
      <c r="F266" s="944">
        <f>+_xlfn.IFNA(VLOOKUP(Tabella118[[#This Row],[Composizione alternativa per digitale]],Tabella118[[composizione concatenata]:[Euro/Mq]],2,FALSE),VLOOKUP(H266,digitale[[ONDA]:[Fornitore]],3,FALSE))</f>
        <v/>
      </c>
      <c r="G266" s="484" t="n"/>
      <c r="H266" s="484">
        <f>IF(MID(A266, FIND("/", A266, FIND("/", A266) + 1) + 1, 2)="A","C",MID(A266, FIND("/", A266, FIND("/", A266) + 1) + 1, 2))</f>
        <v/>
      </c>
      <c r="I266" s="486">
        <f>TRIM(H266)</f>
        <v/>
      </c>
    </row>
    <row r="267" ht="15" customHeight="1">
      <c r="A267" s="484" t="inlineStr">
        <is>
          <t>KbSUT/245/B</t>
        </is>
      </c>
      <c r="B267" s="484">
        <f>+_xlfn.CONCAT(Tabella118[[#This Row],[Composizione]], " - ", Tabella118[[#This Row],[Fornitore]])</f>
        <v/>
      </c>
      <c r="C267" s="943" t="n">
        <v>0.321</v>
      </c>
      <c r="D267" s="484" t="inlineStr">
        <is>
          <t>FEPA</t>
        </is>
      </c>
      <c r="E267" s="484">
        <f>IFERROR(IF(H267="BC",Tabella118[[#This Row],[composizione concatenata]],IF(H267="C",Tabella118[[#This Row],[composizione concatenata]],VLOOKUP(I267,$K$2:$O$7,5,FALSE))),+Tabella118[[#This Row],[composizione concatenata]])</f>
        <v/>
      </c>
      <c r="F267" s="944">
        <f>+_xlfn.IFNA(VLOOKUP(Tabella118[[#This Row],[Composizione alternativa per digitale]],Tabella118[[composizione concatenata]:[Euro/Mq]],2,FALSE),VLOOKUP(H267,digitale[[ONDA]:[Fornitore]],3,FALSE))</f>
        <v/>
      </c>
      <c r="G267" s="484" t="n"/>
      <c r="H267" s="484">
        <f>IF(MID(A267, FIND("/", A267, FIND("/", A267) + 1) + 1, 2)="A","C",MID(A267, FIND("/", A267, FIND("/", A267) + 1) + 1, 2))</f>
        <v/>
      </c>
      <c r="I267" s="486">
        <f>TRIM(H267)</f>
        <v/>
      </c>
    </row>
    <row r="268" ht="15" customHeight="1">
      <c r="A268" s="484" t="inlineStr">
        <is>
          <t>KbSUTb/243/B</t>
        </is>
      </c>
      <c r="B268" s="484">
        <f>+_xlfn.CONCAT(Tabella118[[#This Row],[Composizione]], " - ", Tabella118[[#This Row],[Fornitore]])</f>
        <v/>
      </c>
      <c r="C268" s="943" t="n">
        <v>0.319</v>
      </c>
      <c r="D268" s="484" t="inlineStr">
        <is>
          <t>FEPA</t>
        </is>
      </c>
      <c r="E268" s="484">
        <f>IFERROR(IF(H268="BC",Tabella118[[#This Row],[composizione concatenata]],IF(H268="C",Tabella118[[#This Row],[composizione concatenata]],VLOOKUP(I268,$K$2:$O$7,5,FALSE))),+Tabella118[[#This Row],[composizione concatenata]])</f>
        <v/>
      </c>
      <c r="F268" s="944">
        <f>+_xlfn.IFNA(VLOOKUP(Tabella118[[#This Row],[Composizione alternativa per digitale]],Tabella118[[composizione concatenata]:[Euro/Mq]],2,FALSE),VLOOKUP(H268,digitale[[ONDA]:[Fornitore]],3,FALSE))</f>
        <v/>
      </c>
      <c r="G268" s="484" t="n"/>
      <c r="H268" s="484">
        <f>IF(MID(A268, FIND("/", A268, FIND("/", A268) + 1) + 1, 2)="A","C",MID(A268, FIND("/", A268, FIND("/", A268) + 1) + 1, 2))</f>
        <v/>
      </c>
      <c r="I268" s="486">
        <f>TRIM(H268)</f>
        <v/>
      </c>
    </row>
    <row r="269" ht="15" customHeight="1">
      <c r="A269" s="484" t="inlineStr">
        <is>
          <t>KbSUTb/243/E</t>
        </is>
      </c>
      <c r="B269" s="484">
        <f>+_xlfn.CONCAT(Tabella118[[#This Row],[Composizione]], " - ", Tabella118[[#This Row],[Fornitore]])</f>
        <v/>
      </c>
      <c r="C269" s="943" t="n">
        <v>0.33</v>
      </c>
      <c r="D269" s="484" t="inlineStr">
        <is>
          <t>FEPA</t>
        </is>
      </c>
      <c r="E269" s="484">
        <f>IFERROR(IF(H269="BC",Tabella118[[#This Row],[composizione concatenata]],IF(H269="C",Tabella118[[#This Row],[composizione concatenata]],VLOOKUP(I269,$K$2:$O$7,5,FALSE))),+Tabella118[[#This Row],[composizione concatenata]])</f>
        <v/>
      </c>
      <c r="F269" s="944">
        <f>+_xlfn.IFNA(VLOOKUP(Tabella118[[#This Row],[Composizione alternativa per digitale]],Tabella118[[composizione concatenata]:[Euro/Mq]],2,FALSE),VLOOKUP(H269,digitale[[ONDA]:[Fornitore]],3,FALSE))</f>
        <v/>
      </c>
      <c r="G269" s="484" t="n"/>
      <c r="H269" s="484">
        <f>IF(MID(A269, FIND("/", A269, FIND("/", A269) + 1) + 1, 2)="A","C",MID(A269, FIND("/", A269, FIND("/", A269) + 1) + 1, 2))</f>
        <v/>
      </c>
      <c r="I269" s="486">
        <f>TRIM(H269)</f>
        <v/>
      </c>
    </row>
    <row r="270" ht="15" customHeight="1">
      <c r="A270" s="484" t="inlineStr">
        <is>
          <t>KbSUUK/244/A</t>
        </is>
      </c>
      <c r="B270" s="484">
        <f>+_xlfn.CONCAT(Tabella118[[#This Row],[Composizione]], " - ", Tabella118[[#This Row],[Fornitore]])</f>
        <v/>
      </c>
      <c r="C270" s="943" t="n">
        <v>0.345</v>
      </c>
      <c r="D270" s="484" t="inlineStr">
        <is>
          <t>FEPA</t>
        </is>
      </c>
      <c r="E270" s="484">
        <f>IFERROR(IF(H270="BC",Tabella118[[#This Row],[composizione concatenata]],IF(H270="C",Tabella118[[#This Row],[composizione concatenata]],VLOOKUP(I270,$K$2:$O$7,5,FALSE))),+Tabella118[[#This Row],[composizione concatenata]])</f>
        <v/>
      </c>
      <c r="F270" s="944">
        <f>+_xlfn.IFNA(VLOOKUP(Tabella118[[#This Row],[Composizione alternativa per digitale]],Tabella118[[composizione concatenata]:[Euro/Mq]],2,FALSE),VLOOKUP(H270,digitale[[ONDA]:[Fornitore]],3,FALSE))</f>
        <v/>
      </c>
      <c r="G270" s="484" t="n"/>
      <c r="H270" s="484">
        <f>IF(MID(A270, FIND("/", A270, FIND("/", A270) + 1) + 1, 2)="A","C",MID(A270, FIND("/", A270, FIND("/", A270) + 1) + 1, 2))</f>
        <v/>
      </c>
      <c r="I270" s="486">
        <f>TRIM(H270)</f>
        <v/>
      </c>
    </row>
    <row r="271" ht="15" customHeight="1">
      <c r="A271" s="489" t="inlineStr">
        <is>
          <t>KbSUUK/244/B</t>
        </is>
      </c>
      <c r="B271" s="484">
        <f>+_xlfn.CONCAT(Tabella118[[#This Row],[Composizione]], " - ", Tabella118[[#This Row],[Fornitore]])</f>
        <v/>
      </c>
      <c r="C271" s="943" t="n">
        <v>0.34</v>
      </c>
      <c r="D271" s="484" t="inlineStr">
        <is>
          <t>FEPA</t>
        </is>
      </c>
      <c r="E271" s="484">
        <f>IFERROR(IF(H271="BC",Tabella118[[#This Row],[composizione concatenata]],IF(H271="C",Tabella118[[#This Row],[composizione concatenata]],VLOOKUP(I271,$K$2:$O$7,5,FALSE))),+Tabella118[[#This Row],[composizione concatenata]])</f>
        <v/>
      </c>
      <c r="F271" s="944">
        <f>+_xlfn.IFNA(VLOOKUP(Tabella118[[#This Row],[Composizione alternativa per digitale]],Tabella118[[composizione concatenata]:[Euro/Mq]],2,FALSE),VLOOKUP(H271,digitale[[ONDA]:[Fornitore]],3,FALSE))</f>
        <v/>
      </c>
      <c r="G271" s="484" t="n"/>
      <c r="H271" s="484">
        <f>IF(MID(A271, FIND("/", A271, FIND("/", A271) + 1) + 1, 2)="A","C",MID(A271, FIND("/", A271, FIND("/", A271) + 1) + 1, 2))</f>
        <v/>
      </c>
      <c r="I271" s="486">
        <f>TRIM(H271)</f>
        <v/>
      </c>
    </row>
    <row r="272" ht="15" customHeight="1">
      <c r="A272" s="491" t="inlineStr">
        <is>
          <t>KF/22/e</t>
        </is>
      </c>
      <c r="B272" s="484">
        <f>+_xlfn.CONCAT(Tabella118[[#This Row],[Composizione]], " - ", Tabella118[[#This Row],[Fornitore]])</f>
        <v/>
      </c>
      <c r="C272" s="943" t="n">
        <v>0.244</v>
      </c>
      <c r="D272" s="484" t="inlineStr">
        <is>
          <t>Santerno</t>
        </is>
      </c>
      <c r="E272" s="484">
        <f>IFERROR(IF(H272="BC",Tabella118[[#This Row],[composizione concatenata]],IF(H272="C",Tabella118[[#This Row],[composizione concatenata]],VLOOKUP(I272,$K$2:$O$7,5,FALSE))),+Tabella118[[#This Row],[composizione concatenata]])</f>
        <v/>
      </c>
      <c r="F272" s="943">
        <f>+_xlfn.IFNA(VLOOKUP(Tabella118[[#This Row],[Composizione alternativa per digitale]],Tabella118[[composizione concatenata]:[Euro/Mq]],2,FALSE),VLOOKUP(H272,digitale[[ONDA]:[Fornitore]],3,FALSE))</f>
        <v/>
      </c>
      <c r="G272" s="484" t="n"/>
      <c r="H272" s="484">
        <f>IF(MID(A272, FIND("/", A272, FIND("/", A272) + 1) + 1, 2)="A","C",MID(A272, FIND("/", A272, FIND("/", A272) + 1) + 1, 2))</f>
        <v/>
      </c>
      <c r="I272" s="486">
        <f>TRIM(H272)</f>
        <v/>
      </c>
    </row>
    <row r="273" ht="15" customHeight="1">
      <c r="A273" s="491" t="inlineStr">
        <is>
          <t>KF/22/e + ACC.</t>
        </is>
      </c>
      <c r="B273" s="484">
        <f>+_xlfn.CONCAT(Tabella118[[#This Row],[Composizione]], " - ", Tabella118[[#This Row],[Fornitore]])</f>
        <v/>
      </c>
      <c r="C273" s="943" t="n">
        <v>0.299</v>
      </c>
      <c r="D273" s="484" t="inlineStr">
        <is>
          <t>Santerno</t>
        </is>
      </c>
      <c r="E273" s="484">
        <f>IFERROR(IF(H273="BC",Tabella118[[#This Row],[composizione concatenata]],IF(H273="C",Tabella118[[#This Row],[composizione concatenata]],VLOOKUP(I273,$K$2:$O$7,5,FALSE))),+Tabella118[[#This Row],[composizione concatenata]])</f>
        <v/>
      </c>
      <c r="F273" s="943">
        <f>+_xlfn.IFNA(VLOOKUP(Tabella118[[#This Row],[Composizione alternativa per digitale]],Tabella118[[composizione concatenata]:[Euro/Mq]],2,FALSE),VLOOKUP(H273,digitale[[ONDA]:[Fornitore]],3,FALSE))</f>
        <v/>
      </c>
      <c r="G273" s="484" t="n"/>
      <c r="H273" s="484">
        <f>IF(MID(A273, FIND("/", A273, FIND("/", A273) + 1) + 1, 2)="A","C",MID(A273, FIND("/", A273, FIND("/", A273) + 1) + 1, 2))</f>
        <v/>
      </c>
      <c r="I273" s="486">
        <f>TRIM(H273)</f>
        <v/>
      </c>
    </row>
    <row r="274" ht="15" customHeight="1">
      <c r="A274" s="491" t="inlineStr">
        <is>
          <t>KFFF/2222/Be</t>
        </is>
      </c>
      <c r="B274" s="484">
        <f>+_xlfn.CONCAT(Tabella118[[#This Row],[Composizione]], " - ", Tabella118[[#This Row],[Fornitore]])</f>
        <v/>
      </c>
      <c r="C274" s="943" t="n">
        <v>0.433</v>
      </c>
      <c r="D274" s="484" t="inlineStr">
        <is>
          <t>Santerno</t>
        </is>
      </c>
      <c r="E274" s="484">
        <f>IFERROR(IF(H274="BC",Tabella118[[#This Row],[composizione concatenata]],IF(H274="C",Tabella118[[#This Row],[composizione concatenata]],VLOOKUP(I274,$K$2:$O$7,5,FALSE))),+Tabella118[[#This Row],[composizione concatenata]])</f>
        <v/>
      </c>
      <c r="F274" s="943">
        <f>+_xlfn.IFNA(VLOOKUP(Tabella118[[#This Row],[Composizione alternativa per digitale]],Tabella118[[composizione concatenata]:[Euro/Mq]],2,FALSE),VLOOKUP(H274,digitale[[ONDA]:[Fornitore]],3,FALSE))</f>
        <v/>
      </c>
      <c r="G274" s="484" t="n"/>
      <c r="H274" s="484">
        <f>IF(MID(A274, FIND("/", A274, FIND("/", A274) + 1) + 1, 2)="A","C",MID(A274, FIND("/", A274, FIND("/", A274) + 1) + 1, 2))</f>
        <v/>
      </c>
      <c r="I274" s="486">
        <f>TRIM(H274)</f>
        <v/>
      </c>
    </row>
    <row r="275" ht="15" customHeight="1">
      <c r="A275" s="491" t="inlineStr">
        <is>
          <t>KFFF/2222/Be + ACC.</t>
        </is>
      </c>
      <c r="B275" s="484">
        <f>+_xlfn.CONCAT(Tabella118[[#This Row],[Composizione]], " - ", Tabella118[[#This Row],[Fornitore]])</f>
        <v/>
      </c>
      <c r="C275" s="943" t="n">
        <v>0.498</v>
      </c>
      <c r="D275" s="484" t="inlineStr">
        <is>
          <t>Santerno</t>
        </is>
      </c>
      <c r="E275" s="484">
        <f>IFERROR(IF(H275="BC",Tabella118[[#This Row],[composizione concatenata]],IF(H275="C",Tabella118[[#This Row],[composizione concatenata]],VLOOKUP(I275,$K$2:$O$7,5,FALSE))),+Tabella118[[#This Row],[composizione concatenata]])</f>
        <v/>
      </c>
      <c r="F275" s="943">
        <f>+_xlfn.IFNA(VLOOKUP(Tabella118[[#This Row],[Composizione alternativa per digitale]],Tabella118[[composizione concatenata]:[Euro/Mq]],2,FALSE),VLOOKUP(H275,digitale[[ONDA]:[Fornitore]],3,FALSE))</f>
        <v/>
      </c>
      <c r="G275" s="484" t="n"/>
      <c r="H275" s="484">
        <f>IF(MID(A275, FIND("/", A275, FIND("/", A275) + 1) + 1, 2)="A","C",MID(A275, FIND("/", A275, FIND("/", A275) + 1) + 1, 2))</f>
        <v/>
      </c>
      <c r="I275" s="486">
        <f>TRIM(H275)</f>
        <v/>
      </c>
    </row>
    <row r="276" ht="15" customHeight="1">
      <c r="A276" s="490" t="inlineStr">
        <is>
          <t>KFFFK/22222/EE</t>
        </is>
      </c>
      <c r="B276" s="484">
        <f>+_xlfn.CONCAT(Tabella118[[#This Row],[Composizione]], " - ", Tabella118[[#This Row],[Fornitore]])</f>
        <v/>
      </c>
      <c r="C276" s="943" t="n">
        <v>0.44</v>
      </c>
      <c r="D276" s="484" t="inlineStr">
        <is>
          <t>Italbox</t>
        </is>
      </c>
      <c r="E276" s="484">
        <f>IFERROR(IF(H276="BC",Tabella118[[#This Row],[composizione concatenata]],IF(H276="C",Tabella118[[#This Row],[composizione concatenata]],VLOOKUP(I276,$K$2:$O$7,5,FALSE))),+Tabella118[[#This Row],[composizione concatenata]])</f>
        <v/>
      </c>
      <c r="F276" s="944">
        <f>+_xlfn.IFNA(VLOOKUP(Tabella118[[#This Row],[Composizione alternativa per digitale]],Tabella118[[composizione concatenata]:[Euro/Mq]],2,FALSE),VLOOKUP(H276,digitale[[ONDA]:[Fornitore]],3,FALSE))</f>
        <v/>
      </c>
      <c r="G276" s="484" t="n"/>
      <c r="H276" s="484">
        <f>IF(MID(A276, FIND("/", A276, FIND("/", A276) + 1) + 1, 2)="A","C",MID(A276, FIND("/", A276, FIND("/", A276) + 1) + 1, 2))</f>
        <v/>
      </c>
      <c r="I276" s="486">
        <f>TRIM(H276)</f>
        <v/>
      </c>
    </row>
    <row r="277" ht="15" customHeight="1">
      <c r="A277" s="484" t="inlineStr">
        <is>
          <t>KFFFK/22222/EE</t>
        </is>
      </c>
      <c r="B277" s="484">
        <f>+_xlfn.CONCAT(Tabella118[[#This Row],[Composizione]], " - ", Tabella118[[#This Row],[Fornitore]])</f>
        <v/>
      </c>
      <c r="C277" s="943" t="n">
        <v>0.412</v>
      </c>
      <c r="D277" s="484" t="inlineStr">
        <is>
          <t>Giusti</t>
        </is>
      </c>
      <c r="E277" s="484">
        <f>IFERROR(IF(H277="BC",Tabella118[[#This Row],[composizione concatenata]],IF(H277="C",Tabella118[[#This Row],[composizione concatenata]],VLOOKUP(I277,$K$2:$O$7,5,FALSE))),+Tabella118[[#This Row],[composizione concatenata]])</f>
        <v/>
      </c>
      <c r="F277" s="944">
        <f>+_xlfn.IFNA(VLOOKUP(Tabella118[[#This Row],[Composizione alternativa per digitale]],Tabella118[[composizione concatenata]:[Euro/Mq]],2,FALSE),VLOOKUP(H277,digitale[[ONDA]:[Fornitore]],3,FALSE))</f>
        <v/>
      </c>
      <c r="G277" s="484" t="n"/>
      <c r="H277" s="484">
        <f>IF(MID(A277, FIND("/", A277, FIND("/", A277) + 1) + 1, 2)="A","C",MID(A277, FIND("/", A277, FIND("/", A277) + 1) + 1, 2))</f>
        <v/>
      </c>
      <c r="I277" s="486">
        <f>TRIM(H277)</f>
        <v/>
      </c>
    </row>
    <row r="278" ht="15" customHeight="1">
      <c r="A278" s="484" t="inlineStr">
        <is>
          <t>KFFFK/22222/EE</t>
        </is>
      </c>
      <c r="B278" s="484">
        <f>+_xlfn.CONCAT(Tabella118[[#This Row],[Composizione]], " - ", Tabella118[[#This Row],[Fornitore]])</f>
        <v/>
      </c>
      <c r="C278" s="943" t="n">
        <v>0.409</v>
      </c>
      <c r="D278" s="484" t="inlineStr">
        <is>
          <t>FEPA</t>
        </is>
      </c>
      <c r="E278" s="484">
        <f>IFERROR(IF(H278="BC",Tabella118[[#This Row],[composizione concatenata]],IF(H278="C",Tabella118[[#This Row],[composizione concatenata]],VLOOKUP(I278,$K$2:$O$7,5,FALSE))),+Tabella118[[#This Row],[composizione concatenata]])</f>
        <v/>
      </c>
      <c r="F278" s="944">
        <f>+_xlfn.IFNA(VLOOKUP(Tabella118[[#This Row],[Composizione alternativa per digitale]],Tabella118[[composizione concatenata]:[Euro/Mq]],2,FALSE),VLOOKUP(H278,digitale[[ONDA]:[Fornitore]],3,FALSE))</f>
        <v/>
      </c>
      <c r="G278" s="484" t="n"/>
      <c r="H278" s="484">
        <f>IF(MID(A278, FIND("/", A278, FIND("/", A278) + 1) + 1, 2)="A","C",MID(A278, FIND("/", A278, FIND("/", A278) + 1) + 1, 2))</f>
        <v/>
      </c>
      <c r="I278" s="486">
        <f>TRIM(H278)</f>
        <v/>
      </c>
    </row>
    <row r="279" ht="15" customHeight="1">
      <c r="A279" s="484" t="inlineStr">
        <is>
          <t>KFFFT/22222/BC</t>
        </is>
      </c>
      <c r="B279" s="484">
        <f>+_xlfn.CONCAT(Tabella118[[#This Row],[Composizione]], " - ", Tabella118[[#This Row],[Fornitore]])</f>
        <v/>
      </c>
      <c r="C279" s="943" t="n">
        <v>0.425</v>
      </c>
      <c r="D279" s="484" t="inlineStr">
        <is>
          <t xml:space="preserve">Ds Smith </t>
        </is>
      </c>
      <c r="E279" s="484">
        <f>IFERROR(IF(H279="BC",Tabella118[[#This Row],[composizione concatenata]],IF(H279="C",Tabella118[[#This Row],[composizione concatenata]],VLOOKUP(I279,$K$2:$O$7,5,FALSE))),+Tabella118[[#This Row],[composizione concatenata]])</f>
        <v/>
      </c>
      <c r="F279" s="943">
        <f>+_xlfn.IFNA(VLOOKUP(Tabella118[[#This Row],[Composizione alternativa per digitale]],Tabella118[[composizione concatenata]:[Euro/Mq]],2,FALSE),VLOOKUP(H279,digitale[[ONDA]:[Fornitore]],3,FALSE))</f>
        <v/>
      </c>
      <c r="G279" s="484" t="n"/>
      <c r="H279" s="484">
        <f>IF(MID(A279, FIND("/", A279, FIND("/", A279) + 1) + 1, 2)="A","C",MID(A279, FIND("/", A279, FIND("/", A279) + 1) + 1, 2))</f>
        <v/>
      </c>
      <c r="I279" s="486">
        <f>TRIM(H279)</f>
        <v/>
      </c>
    </row>
    <row r="280" ht="15" customHeight="1">
      <c r="A280" s="484" t="inlineStr">
        <is>
          <t>KFFFT/22222/BC</t>
        </is>
      </c>
      <c r="B280" s="484">
        <f>+_xlfn.CONCAT(Tabella118[[#This Row],[Composizione]], " - ", Tabella118[[#This Row],[Fornitore]])</f>
        <v/>
      </c>
      <c r="C280" s="943" t="n">
        <v>0.407</v>
      </c>
      <c r="D280" s="484" t="inlineStr">
        <is>
          <t>Giusti</t>
        </is>
      </c>
      <c r="E280" s="484">
        <f>IFERROR(IF(H280="BC",Tabella118[[#This Row],[composizione concatenata]],IF(H280="C",Tabella118[[#This Row],[composizione concatenata]],VLOOKUP(I280,$K$2:$O$7,5,FALSE))),+Tabella118[[#This Row],[composizione concatenata]])</f>
        <v/>
      </c>
      <c r="F280" s="944">
        <f>+_xlfn.IFNA(VLOOKUP(Tabella118[[#This Row],[Composizione alternativa per digitale]],Tabella118[[composizione concatenata]:[Euro/Mq]],2,FALSE),VLOOKUP(H280,digitale[[ONDA]:[Fornitore]],3,FALSE))</f>
        <v/>
      </c>
      <c r="G280" s="484" t="n"/>
      <c r="H280" s="484">
        <f>IF(MID(A280, FIND("/", A280, FIND("/", A280) + 1) + 1, 2)="A","C",MID(A280, FIND("/", A280, FIND("/", A280) + 1) + 1, 2))</f>
        <v/>
      </c>
      <c r="I280" s="486">
        <f>TRIM(H280)</f>
        <v/>
      </c>
    </row>
    <row r="281" ht="15" customHeight="1">
      <c r="A281" s="490" t="inlineStr">
        <is>
          <t>KFFFT/22222/BC</t>
        </is>
      </c>
      <c r="B281" s="484">
        <f>+_xlfn.CONCAT(Tabella118[[#This Row],[Composizione]], " - ", Tabella118[[#This Row],[Fornitore]])</f>
        <v/>
      </c>
      <c r="C281" s="943" t="n">
        <v>0.39</v>
      </c>
      <c r="D281" s="484" t="inlineStr">
        <is>
          <t>Italbox</t>
        </is>
      </c>
      <c r="E281" s="484">
        <f>IFERROR(IF(H281="BC",Tabella118[[#This Row],[composizione concatenata]],IF(H281="C",Tabella118[[#This Row],[composizione concatenata]],VLOOKUP(I281,$K$2:$O$7,5,FALSE))),+Tabella118[[#This Row],[composizione concatenata]])</f>
        <v/>
      </c>
      <c r="F281" s="944">
        <f>+_xlfn.IFNA(VLOOKUP(Tabella118[[#This Row],[Composizione alternativa per digitale]],Tabella118[[composizione concatenata]:[Euro/Mq]],2,FALSE),VLOOKUP(H281,digitale[[ONDA]:[Fornitore]],3,FALSE))</f>
        <v/>
      </c>
      <c r="G281" s="484" t="n"/>
      <c r="H281" s="484">
        <f>IF(MID(A281, FIND("/", A281, FIND("/", A281) + 1) + 1, 2)="A","C",MID(A281, FIND("/", A281, FIND("/", A281) + 1) + 1, 2))</f>
        <v/>
      </c>
      <c r="I281" s="486">
        <f>TRIM(H281)</f>
        <v/>
      </c>
    </row>
    <row r="282" ht="15" customHeight="1">
      <c r="A282" s="484" t="inlineStr">
        <is>
          <t>KFFFT/22222/EB</t>
        </is>
      </c>
      <c r="B282" s="484">
        <f>+_xlfn.CONCAT(Tabella118[[#This Row],[Composizione]], " - ", Tabella118[[#This Row],[Fornitore]])</f>
        <v/>
      </c>
      <c r="C282" s="943" t="n">
        <v>0.4</v>
      </c>
      <c r="D282" s="484" t="inlineStr">
        <is>
          <t xml:space="preserve">Ds Smith </t>
        </is>
      </c>
      <c r="E282" s="484">
        <f>IFERROR(IF(H282="BC",Tabella118[[#This Row],[composizione concatenata]],IF(H282="C",Tabella118[[#This Row],[composizione concatenata]],VLOOKUP(I282,$K$2:$O$7,5,FALSE))),+Tabella118[[#This Row],[composizione concatenata]])</f>
        <v/>
      </c>
      <c r="F282" s="943">
        <f>+_xlfn.IFNA(VLOOKUP(Tabella118[[#This Row],[Composizione alternativa per digitale]],Tabella118[[composizione concatenata]:[Euro/Mq]],2,FALSE),VLOOKUP(H282,digitale[[ONDA]:[Fornitore]],3,FALSE))</f>
        <v/>
      </c>
      <c r="G282" s="484" t="n"/>
      <c r="H282" s="484">
        <f>IF(MID(A282, FIND("/", A282, FIND("/", A282) + 1) + 1, 2)="A","C",MID(A282, FIND("/", A282, FIND("/", A282) + 1) + 1, 2))</f>
        <v/>
      </c>
      <c r="I282" s="486">
        <f>TRIM(H282)</f>
        <v/>
      </c>
    </row>
    <row r="283" ht="15" customHeight="1">
      <c r="A283" s="490" t="inlineStr">
        <is>
          <t>KFFFT/22222/EB</t>
        </is>
      </c>
      <c r="B283" s="484">
        <f>+_xlfn.CONCAT(Tabella118[[#This Row],[Composizione]], " - ", Tabella118[[#This Row],[Fornitore]])</f>
        <v/>
      </c>
      <c r="C283" s="943" t="n">
        <v>0.39</v>
      </c>
      <c r="D283" s="484" t="inlineStr">
        <is>
          <t>Italbox</t>
        </is>
      </c>
      <c r="E283" s="484">
        <f>IFERROR(IF(H283="BC",Tabella118[[#This Row],[composizione concatenata]],IF(H283="C",Tabella118[[#This Row],[composizione concatenata]],VLOOKUP(I283,$K$2:$O$7,5,FALSE))),+Tabella118[[#This Row],[composizione concatenata]])</f>
        <v/>
      </c>
      <c r="F283" s="944">
        <f>+_xlfn.IFNA(VLOOKUP(Tabella118[[#This Row],[Composizione alternativa per digitale]],Tabella118[[composizione concatenata]:[Euro/Mq]],2,FALSE),VLOOKUP(H283,digitale[[ONDA]:[Fornitore]],3,FALSE))</f>
        <v/>
      </c>
      <c r="G283" s="484" t="n"/>
      <c r="H283" s="484">
        <f>IF(MID(A283, FIND("/", A283, FIND("/", A283) + 1) + 1, 2)="A","C",MID(A283, FIND("/", A283, FIND("/", A283) + 1) + 1, 2))</f>
        <v/>
      </c>
      <c r="I283" s="486">
        <f>TRIM(H283)</f>
        <v/>
      </c>
    </row>
    <row r="284" ht="15" customHeight="1">
      <c r="A284" s="484" t="inlineStr">
        <is>
          <t>KFFFT/22222/EB</t>
        </is>
      </c>
      <c r="B284" s="484">
        <f>+_xlfn.CONCAT(Tabella118[[#This Row],[Composizione]], " - ", Tabella118[[#This Row],[Fornitore]])</f>
        <v/>
      </c>
      <c r="C284" s="943" t="n">
        <v>0.384</v>
      </c>
      <c r="D284" s="484" t="inlineStr">
        <is>
          <t>Giusti</t>
        </is>
      </c>
      <c r="E284" s="484">
        <f>IFERROR(IF(H284="BC",Tabella118[[#This Row],[composizione concatenata]],IF(H284="C",Tabella118[[#This Row],[composizione concatenata]],VLOOKUP(I284,$K$2:$O$7,5,FALSE))),+Tabella118[[#This Row],[composizione concatenata]])</f>
        <v/>
      </c>
      <c r="F284" s="944">
        <f>+_xlfn.IFNA(VLOOKUP(Tabella118[[#This Row],[Composizione alternativa per digitale]],Tabella118[[composizione concatenata]:[Euro/Mq]],2,FALSE),VLOOKUP(H284,digitale[[ONDA]:[Fornitore]],3,FALSE))</f>
        <v/>
      </c>
      <c r="G284" s="484" t="n"/>
      <c r="H284" s="484">
        <f>IF(MID(A284, FIND("/", A284, FIND("/", A284) + 1) + 1, 2)="A","C",MID(A284, FIND("/", A284, FIND("/", A284) + 1) + 1, 2))</f>
        <v/>
      </c>
      <c r="I284" s="486">
        <f>TRIM(H284)</f>
        <v/>
      </c>
    </row>
    <row r="285" ht="15" customHeight="1">
      <c r="A285" s="483" t="inlineStr">
        <is>
          <t>KFFFT/22222/EB</t>
        </is>
      </c>
      <c r="B285" s="484">
        <f>+_xlfn.CONCAT(Tabella118[[#This Row],[Composizione]], " - ", Tabella118[[#This Row],[Fornitore]])</f>
        <v/>
      </c>
      <c r="C285" s="950" t="n">
        <v>0.345</v>
      </c>
      <c r="D285" s="484" t="inlineStr">
        <is>
          <t>Cartstrong</t>
        </is>
      </c>
      <c r="E285" s="484">
        <f>IFERROR(IF(H285="BC",Tabella118[[#This Row],[composizione concatenata]],IF(H285="C",Tabella118[[#This Row],[composizione concatenata]],VLOOKUP(I285,$K$2:$O$7,5,FALSE))),+Tabella118[[#This Row],[composizione concatenata]])</f>
        <v/>
      </c>
      <c r="F285" s="943">
        <f>+_xlfn.IFNA(VLOOKUP(Tabella118[[#This Row],[Composizione alternativa per digitale]],Tabella118[[composizione concatenata]:[Euro/Mq]],2,FALSE),VLOOKUP(H285,digitale[[ONDA]:[Fornitore]],3,FALSE))</f>
        <v/>
      </c>
      <c r="G285" s="484" t="n"/>
      <c r="H285" s="484">
        <f>IF(MID(A285, FIND("/", A285, FIND("/", A285) + 1) + 1, 2)="A","C",MID(A285, FIND("/", A285, FIND("/", A285) + 1) + 1, 2))</f>
        <v/>
      </c>
      <c r="I285" s="486">
        <f>TRIM(H285)</f>
        <v/>
      </c>
    </row>
    <row r="286" ht="15" customHeight="1">
      <c r="A286" s="490" t="inlineStr">
        <is>
          <t>KFFFT/22222/EE</t>
        </is>
      </c>
      <c r="B286" s="484">
        <f>+_xlfn.CONCAT(Tabella118[[#This Row],[Composizione]], " - ", Tabella118[[#This Row],[Fornitore]])</f>
        <v/>
      </c>
      <c r="C286" s="943" t="n">
        <v>0.41</v>
      </c>
      <c r="D286" s="484" t="inlineStr">
        <is>
          <t>Italbox</t>
        </is>
      </c>
      <c r="E286" s="484">
        <f>IFERROR(IF(H286="BC",Tabella118[[#This Row],[composizione concatenata]],IF(H286="C",Tabella118[[#This Row],[composizione concatenata]],VLOOKUP(I286,$K$2:$O$7,5,FALSE))),+Tabella118[[#This Row],[composizione concatenata]])</f>
        <v/>
      </c>
      <c r="F286" s="944">
        <f>+_xlfn.IFNA(VLOOKUP(Tabella118[[#This Row],[Composizione alternativa per digitale]],Tabella118[[composizione concatenata]:[Euro/Mq]],2,FALSE),VLOOKUP(H286,digitale[[ONDA]:[Fornitore]],3,FALSE))</f>
        <v/>
      </c>
      <c r="G286" s="484" t="n"/>
      <c r="H286" s="484">
        <f>IF(MID(A286, FIND("/", A286, FIND("/", A286) + 1) + 1, 2)="A","C",MID(A286, FIND("/", A286, FIND("/", A286) + 1) + 1, 2))</f>
        <v/>
      </c>
      <c r="I286" s="486">
        <f>TRIM(H286)</f>
        <v/>
      </c>
    </row>
    <row r="287" ht="15" customHeight="1">
      <c r="A287" s="484" t="inlineStr">
        <is>
          <t>KFFFT/22222/EE</t>
        </is>
      </c>
      <c r="B287" s="484">
        <f>+_xlfn.CONCAT(Tabella118[[#This Row],[Composizione]], " - ", Tabella118[[#This Row],[Fornitore]])</f>
        <v/>
      </c>
      <c r="C287" s="943" t="n">
        <v>0.385</v>
      </c>
      <c r="D287" s="484" t="inlineStr">
        <is>
          <t>Giusti</t>
        </is>
      </c>
      <c r="E287" s="484">
        <f>IFERROR(IF(H287="BC",Tabella118[[#This Row],[composizione concatenata]],IF(H287="C",Tabella118[[#This Row],[composizione concatenata]],VLOOKUP(I287,$K$2:$O$7,5,FALSE))),+Tabella118[[#This Row],[composizione concatenata]])</f>
        <v/>
      </c>
      <c r="F287" s="944">
        <f>+_xlfn.IFNA(VLOOKUP(Tabella118[[#This Row],[Composizione alternativa per digitale]],Tabella118[[composizione concatenata]:[Euro/Mq]],2,FALSE),VLOOKUP(H287,digitale[[ONDA]:[Fornitore]],3,FALSE))</f>
        <v/>
      </c>
      <c r="G287" s="484" t="n"/>
      <c r="H287" s="484">
        <f>IF(MID(A287, FIND("/", A287, FIND("/", A287) + 1) + 1, 2)="A","C",MID(A287, FIND("/", A287, FIND("/", A287) + 1) + 1, 2))</f>
        <v/>
      </c>
      <c r="I287" s="486">
        <f>TRIM(H287)</f>
        <v/>
      </c>
    </row>
    <row r="288" ht="15" customHeight="1">
      <c r="A288" s="484" t="inlineStr">
        <is>
          <t>KFFMT/22242/EB</t>
        </is>
      </c>
      <c r="B288" s="484">
        <f>+_xlfn.CONCAT(Tabella118[[#This Row],[Composizione]], " - ", Tabella118[[#This Row],[Fornitore]])</f>
        <v/>
      </c>
      <c r="C288" s="943" t="n">
        <v>0.397</v>
      </c>
      <c r="D288" s="484" t="inlineStr">
        <is>
          <t>Giusti</t>
        </is>
      </c>
      <c r="E288" s="484">
        <f>IFERROR(IF(H288="BC",Tabella118[[#This Row],[composizione concatenata]],IF(H288="C",Tabella118[[#This Row],[composizione concatenata]],VLOOKUP(I288,$K$2:$O$7,5,FALSE))),+Tabella118[[#This Row],[composizione concatenata]])</f>
        <v/>
      </c>
      <c r="F288" s="944">
        <f>+_xlfn.IFNA(VLOOKUP(Tabella118[[#This Row],[Composizione alternativa per digitale]],Tabella118[[composizione concatenata]:[Euro/Mq]],2,FALSE),VLOOKUP(H288,digitale[[ONDA]:[Fornitore]],3,FALSE))</f>
        <v/>
      </c>
      <c r="G288" s="484" t="n"/>
      <c r="H288" s="484">
        <f>IF(MID(A288, FIND("/", A288, FIND("/", A288) + 1) + 1, 2)="A","C",MID(A288, FIND("/", A288, FIND("/", A288) + 1) + 1, 2))</f>
        <v/>
      </c>
      <c r="I288" s="486">
        <f>TRIM(H288)</f>
        <v/>
      </c>
    </row>
    <row r="289" ht="15" customHeight="1">
      <c r="A289" s="484" t="inlineStr">
        <is>
          <t>KFT/222/B</t>
        </is>
      </c>
      <c r="B289" s="484">
        <f>+_xlfn.CONCAT(Tabella118[[#This Row],[Composizione]], " - ", Tabella118[[#This Row],[Fornitore]])</f>
        <v/>
      </c>
      <c r="C289" s="943" t="n">
        <v>0.257</v>
      </c>
      <c r="D289" s="484" t="inlineStr">
        <is>
          <t>Giusti</t>
        </is>
      </c>
      <c r="E289" s="484">
        <f>IFERROR(IF(H289="BC",Tabella118[[#This Row],[composizione concatenata]],IF(H289="C",Tabella118[[#This Row],[composizione concatenata]],VLOOKUP(I289,$K$2:$O$7,5,FALSE))),+Tabella118[[#This Row],[composizione concatenata]])</f>
        <v/>
      </c>
      <c r="F289" s="944">
        <f>+_xlfn.IFNA(VLOOKUP(Tabella118[[#This Row],[Composizione alternativa per digitale]],Tabella118[[composizione concatenata]:[Euro/Mq]],2,FALSE),VLOOKUP(H289,digitale[[ONDA]:[Fornitore]],3,FALSE))</f>
        <v/>
      </c>
      <c r="G289" s="484" t="n"/>
      <c r="H289" s="484">
        <f>IF(MID(A289, FIND("/", A289, FIND("/", A289) + 1) + 1, 2)="A","C",MID(A289, FIND("/", A289, FIND("/", A289) + 1) + 1, 2))</f>
        <v/>
      </c>
      <c r="I289" s="486">
        <f>TRIM(H289)</f>
        <v/>
      </c>
    </row>
    <row r="290" ht="15" customHeight="1">
      <c r="A290" s="484" t="inlineStr">
        <is>
          <t>KFT/222/E</t>
        </is>
      </c>
      <c r="B290" s="484">
        <f>+_xlfn.CONCAT(Tabella118[[#This Row],[Composizione]], " - ", Tabella118[[#This Row],[Fornitore]])</f>
        <v/>
      </c>
      <c r="C290" s="943" t="n">
        <v>0.243</v>
      </c>
      <c r="D290" s="484" t="inlineStr">
        <is>
          <t>Giusti</t>
        </is>
      </c>
      <c r="E290" s="484">
        <f>IFERROR(IF(H290="BC",Tabella118[[#This Row],[composizione concatenata]],IF(H290="C",Tabella118[[#This Row],[composizione concatenata]],VLOOKUP(I290,$K$2:$O$7,5,FALSE))),+Tabella118[[#This Row],[composizione concatenata]])</f>
        <v/>
      </c>
      <c r="F290" s="944">
        <f>+_xlfn.IFNA(VLOOKUP(Tabella118[[#This Row],[Composizione alternativa per digitale]],Tabella118[[composizione concatenata]:[Euro/Mq]],2,FALSE),VLOOKUP(H290,digitale[[ONDA]:[Fornitore]],3,FALSE))</f>
        <v/>
      </c>
      <c r="G290" s="484" t="n"/>
      <c r="H290" s="484">
        <f>IF(MID(A290, FIND("/", A290, FIND("/", A290) + 1) + 1, 2)="A","C",MID(A290, FIND("/", A290, FIND("/", A290) + 1) + 1, 2))</f>
        <v/>
      </c>
      <c r="I290" s="486">
        <f>TRIM(H290)</f>
        <v/>
      </c>
    </row>
    <row r="291" ht="15" customHeight="1">
      <c r="A291" s="491" t="inlineStr">
        <is>
          <t>KKK/222/E</t>
        </is>
      </c>
      <c r="B291" s="484">
        <f>+_xlfn.CONCAT(Tabella118[[#This Row],[Composizione]], " - ", Tabella118[[#This Row],[Fornitore]])</f>
        <v/>
      </c>
      <c r="C291" s="943" t="n">
        <v>0.46</v>
      </c>
      <c r="D291" s="484" t="inlineStr">
        <is>
          <t>Santerno</t>
        </is>
      </c>
      <c r="E291" s="484">
        <f>IFERROR(IF(H291="BC",Tabella118[[#This Row],[composizione concatenata]],IF(H291="C",Tabella118[[#This Row],[composizione concatenata]],VLOOKUP(I291,$K$2:$O$7,5,FALSE))),+Tabella118[[#This Row],[composizione concatenata]])</f>
        <v/>
      </c>
      <c r="F291" s="943">
        <f>+_xlfn.IFNA(VLOOKUP(Tabella118[[#This Row],[Composizione alternativa per digitale]],Tabella118[[composizione concatenata]:[Euro/Mq]],2,FALSE),VLOOKUP(H291,digitale[[ONDA]:[Fornitore]],3,FALSE))</f>
        <v/>
      </c>
      <c r="G291" s="484" t="n"/>
      <c r="H291" s="484">
        <f>IF(MID(A291, FIND("/", A291, FIND("/", A291) + 1) + 1, 2)="A","C",MID(A291, FIND("/", A291, FIND("/", A291) + 1) + 1, 2))</f>
        <v/>
      </c>
      <c r="I291" s="486">
        <f>TRIM(H291)</f>
        <v/>
      </c>
    </row>
    <row r="292" ht="15" customHeight="1">
      <c r="A292" s="491" t="inlineStr">
        <is>
          <t>KKK/222/E + ACC.</t>
        </is>
      </c>
      <c r="B292" s="484">
        <f>+_xlfn.CONCAT(Tabella118[[#This Row],[Composizione]], " - ", Tabella118[[#This Row],[Fornitore]])</f>
        <v/>
      </c>
      <c r="C292" s="943" t="n">
        <v>0.52</v>
      </c>
      <c r="D292" s="484" t="inlineStr">
        <is>
          <t>Santerno</t>
        </is>
      </c>
      <c r="E292" s="484">
        <f>IFERROR(IF(H292="BC",Tabella118[[#This Row],[composizione concatenata]],IF(H292="C",Tabella118[[#This Row],[composizione concatenata]],VLOOKUP(I292,$K$2:$O$7,5,FALSE))),+Tabella118[[#This Row],[composizione concatenata]])</f>
        <v/>
      </c>
      <c r="F292" s="943">
        <f>+_xlfn.IFNA(VLOOKUP(Tabella118[[#This Row],[Composizione alternativa per digitale]],Tabella118[[composizione concatenata]:[Euro/Mq]],2,FALSE),VLOOKUP(H292,digitale[[ONDA]:[Fornitore]],3,FALSE))</f>
        <v/>
      </c>
      <c r="G292" s="484" t="n"/>
      <c r="H292" s="484">
        <f>IF(MID(A292, FIND("/", A292, FIND("/", A292) + 1) + 1, 2)="A","C",MID(A292, FIND("/", A292, FIND("/", A292) + 1) + 1, 2))</f>
        <v/>
      </c>
      <c r="I292" s="486">
        <f>TRIM(H292)</f>
        <v/>
      </c>
    </row>
    <row r="293" ht="15" customHeight="1">
      <c r="A293" s="484" t="inlineStr">
        <is>
          <t>KLAKLAK\0259502 BC</t>
        </is>
      </c>
      <c r="B293" s="484">
        <f>+_xlfn.CONCAT(Tabella118[[#This Row],[Composizione]], " - ", Tabella118[[#This Row],[Fornitore]])</f>
        <v/>
      </c>
      <c r="C293" s="943" t="n">
        <v>1.365</v>
      </c>
      <c r="D293" s="484" t="inlineStr">
        <is>
          <t>Cartonificio Fiorentino</t>
        </is>
      </c>
      <c r="E293" s="484">
        <f>IFERROR(IF(H293="BC",Tabella118[[#This Row],[composizione concatenata]],IF(H293="C",Tabella118[[#This Row],[composizione concatenata]],VLOOKUP(I293,$K$2:$O$7,5,FALSE))),+Tabella118[[#This Row],[composizione concatenata]])</f>
        <v/>
      </c>
      <c r="F293" s="944">
        <f>+_xlfn.IFNA(VLOOKUP(Tabella118[[#This Row],[Composizione alternativa per digitale]],Tabella118[[composizione concatenata]:[Euro/Mq]],2,FALSE),VLOOKUP(H293,digitale[[ONDA]:[Fornitore]],3,FALSE))</f>
        <v/>
      </c>
      <c r="G293" s="484" t="n"/>
      <c r="H293" s="484">
        <f>IF(MID(A293, FIND("/", A293, FIND("/", A293) + 1) + 1, 2)="A","C",MID(A293, FIND("/", A293, FIND("/", A293) + 1) + 1, 2))</f>
        <v/>
      </c>
      <c r="I293" s="486">
        <f>TRIM(H293)</f>
        <v/>
      </c>
    </row>
    <row r="294" ht="15" customHeight="1">
      <c r="A294" s="491" t="inlineStr">
        <is>
          <t>KM/24/b</t>
        </is>
      </c>
      <c r="B294" s="484">
        <f>+_xlfn.CONCAT(Tabella118[[#This Row],[Composizione]], " - ", Tabella118[[#This Row],[Fornitore]])</f>
        <v/>
      </c>
      <c r="C294" s="943" t="n">
        <v>0.263</v>
      </c>
      <c r="D294" s="484" t="inlineStr">
        <is>
          <t>Santerno</t>
        </is>
      </c>
      <c r="E294" s="484">
        <f>IFERROR(IF(H294="BC",Tabella118[[#This Row],[composizione concatenata]],IF(H294="C",Tabella118[[#This Row],[composizione concatenata]],VLOOKUP(I294,$K$2:$O$7,5,FALSE))),+Tabella118[[#This Row],[composizione concatenata]])</f>
        <v/>
      </c>
      <c r="F294" s="943">
        <f>+_xlfn.IFNA(VLOOKUP(Tabella118[[#This Row],[Composizione alternativa per digitale]],Tabella118[[composizione concatenata]:[Euro/Mq]],2,FALSE),VLOOKUP(H294,digitale[[ONDA]:[Fornitore]],3,FALSE))</f>
        <v/>
      </c>
      <c r="G294" s="484" t="n"/>
      <c r="H294" s="484">
        <f>IF(MID(A294, FIND("/", A294, FIND("/", A294) + 1) + 1, 2)="A","C",MID(A294, FIND("/", A294, FIND("/", A294) + 1) + 1, 2))</f>
        <v/>
      </c>
      <c r="I294" s="486">
        <f>TRIM(H294)</f>
        <v/>
      </c>
    </row>
    <row r="295" ht="15" customHeight="1">
      <c r="A295" s="490" t="inlineStr">
        <is>
          <t>KM/24/b</t>
        </is>
      </c>
      <c r="B295" s="484">
        <f>+_xlfn.CONCAT(Tabella118[[#This Row],[Composizione]], " - ", Tabella118[[#This Row],[Fornitore]])</f>
        <v/>
      </c>
      <c r="C295" s="943" t="n">
        <v>0.22</v>
      </c>
      <c r="D295" s="484" t="inlineStr">
        <is>
          <t>Italbox</t>
        </is>
      </c>
      <c r="E295" s="484">
        <f>IFERROR(IF(H295="BC",Tabella118[[#This Row],[composizione concatenata]],IF(H295="C",Tabella118[[#This Row],[composizione concatenata]],VLOOKUP(I295,$K$2:$O$7,5,FALSE))),+Tabella118[[#This Row],[composizione concatenata]])</f>
        <v/>
      </c>
      <c r="F295" s="944">
        <f>+_xlfn.IFNA(VLOOKUP(Tabella118[[#This Row],[Composizione alternativa per digitale]],Tabella118[[composizione concatenata]:[Euro/Mq]],2,FALSE),VLOOKUP(H295,digitale[[ONDA]:[Fornitore]],3,FALSE))</f>
        <v/>
      </c>
      <c r="G295" s="484" t="n"/>
      <c r="H295" s="484">
        <f>IF(MID(A295, FIND("/", A295, FIND("/", A295) + 1) + 1, 2)="A","C",MID(A295, FIND("/", A295, FIND("/", A295) + 1) + 1, 2))</f>
        <v/>
      </c>
      <c r="I295" s="486">
        <f>TRIM(H295)</f>
        <v/>
      </c>
    </row>
    <row r="296" ht="15" customHeight="1">
      <c r="A296" s="491" t="inlineStr">
        <is>
          <t>KM/24/b + ACC.</t>
        </is>
      </c>
      <c r="B296" s="484">
        <f>+_xlfn.CONCAT(Tabella118[[#This Row],[Composizione]], " - ", Tabella118[[#This Row],[Fornitore]])</f>
        <v/>
      </c>
      <c r="C296" s="943" t="n">
        <v>0.318</v>
      </c>
      <c r="D296" s="484" t="inlineStr">
        <is>
          <t>Santerno</t>
        </is>
      </c>
      <c r="E296" s="484">
        <f>IFERROR(IF(H296="BC",Tabella118[[#This Row],[composizione concatenata]],IF(H296="C",Tabella118[[#This Row],[composizione concatenata]],VLOOKUP(I296,$K$2:$O$7,5,FALSE))),+Tabella118[[#This Row],[composizione concatenata]])</f>
        <v/>
      </c>
      <c r="F296" s="943">
        <f>+_xlfn.IFNA(VLOOKUP(Tabella118[[#This Row],[Composizione alternativa per digitale]],Tabella118[[composizione concatenata]:[Euro/Mq]],2,FALSE),VLOOKUP(H296,digitale[[ONDA]:[Fornitore]],3,FALSE))</f>
        <v/>
      </c>
      <c r="G296" s="484" t="n"/>
      <c r="H296" s="484">
        <f>IF(MID(A296, FIND("/", A296, FIND("/", A296) + 1) + 1, 2)="A","C",MID(A296, FIND("/", A296, FIND("/", A296) + 1) + 1, 2))</f>
        <v/>
      </c>
      <c r="I296" s="486">
        <f>TRIM(H296)</f>
        <v/>
      </c>
    </row>
    <row r="297" ht="15" customHeight="1">
      <c r="A297" s="491" t="inlineStr">
        <is>
          <t>KM/24/e</t>
        </is>
      </c>
      <c r="B297" s="484">
        <f>+_xlfn.CONCAT(Tabella118[[#This Row],[Composizione]], " - ", Tabella118[[#This Row],[Fornitore]])</f>
        <v/>
      </c>
      <c r="C297" s="943" t="n">
        <v>0.263</v>
      </c>
      <c r="D297" s="484" t="inlineStr">
        <is>
          <t>Santerno</t>
        </is>
      </c>
      <c r="E297" s="484">
        <f>IFERROR(IF(H297="BC",Tabella118[[#This Row],[composizione concatenata]],IF(H297="C",Tabella118[[#This Row],[composizione concatenata]],VLOOKUP(I297,$K$2:$O$7,5,FALSE))),+Tabella118[[#This Row],[composizione concatenata]])</f>
        <v/>
      </c>
      <c r="F297" s="943">
        <f>+_xlfn.IFNA(VLOOKUP(Tabella118[[#This Row],[Composizione alternativa per digitale]],Tabella118[[composizione concatenata]:[Euro/Mq]],2,FALSE),VLOOKUP(H297,digitale[[ONDA]:[Fornitore]],3,FALSE))</f>
        <v/>
      </c>
      <c r="G297" s="484" t="n"/>
      <c r="H297" s="484">
        <f>IF(MID(A297, FIND("/", A297, FIND("/", A297) + 1) + 1, 2)="A","C",MID(A297, FIND("/", A297, FIND("/", A297) + 1) + 1, 2))</f>
        <v/>
      </c>
      <c r="I297" s="486">
        <f>TRIM(H297)</f>
        <v/>
      </c>
    </row>
    <row r="298" ht="15" customHeight="1">
      <c r="A298" s="490" t="inlineStr">
        <is>
          <t>KM/24/e</t>
        </is>
      </c>
      <c r="B298" s="484">
        <f>+_xlfn.CONCAT(Tabella118[[#This Row],[Composizione]], " - ", Tabella118[[#This Row],[Fornitore]])</f>
        <v/>
      </c>
      <c r="C298" s="943" t="n">
        <v>0.21</v>
      </c>
      <c r="D298" s="484" t="inlineStr">
        <is>
          <t>Italbox</t>
        </is>
      </c>
      <c r="E298" s="484">
        <f>IFERROR(IF(H298="BC",Tabella118[[#This Row],[composizione concatenata]],IF(H298="C",Tabella118[[#This Row],[composizione concatenata]],VLOOKUP(I298,$K$2:$O$7,5,FALSE))),+Tabella118[[#This Row],[composizione concatenata]])</f>
        <v/>
      </c>
      <c r="F298" s="944">
        <f>+_xlfn.IFNA(VLOOKUP(Tabella118[[#This Row],[Composizione alternativa per digitale]],Tabella118[[composizione concatenata]:[Euro/Mq]],2,FALSE),VLOOKUP(H298,digitale[[ONDA]:[Fornitore]],3,FALSE))</f>
        <v/>
      </c>
      <c r="G298" s="484" t="n"/>
      <c r="H298" s="484">
        <f>IF(MID(A298, FIND("/", A298, FIND("/", A298) + 1) + 1, 2)="A","C",MID(A298, FIND("/", A298, FIND("/", A298) + 1) + 1, 2))</f>
        <v/>
      </c>
      <c r="I298" s="486">
        <f>TRIM(H298)</f>
        <v/>
      </c>
    </row>
    <row r="299" ht="15" customHeight="1">
      <c r="A299" s="491" t="inlineStr">
        <is>
          <t>KM/24/e + ACC.</t>
        </is>
      </c>
      <c r="B299" s="484">
        <f>+_xlfn.CONCAT(Tabella118[[#This Row],[Composizione]], " - ", Tabella118[[#This Row],[Fornitore]])</f>
        <v/>
      </c>
      <c r="C299" s="943" t="n">
        <v>0.318</v>
      </c>
      <c r="D299" s="484" t="inlineStr">
        <is>
          <t>Santerno</t>
        </is>
      </c>
      <c r="E299" s="484">
        <f>IFERROR(IF(H299="BC",Tabella118[[#This Row],[composizione concatenata]],IF(H299="C",Tabella118[[#This Row],[composizione concatenata]],VLOOKUP(I299,$K$2:$O$7,5,FALSE))),+Tabella118[[#This Row],[composizione concatenata]])</f>
        <v/>
      </c>
      <c r="F299" s="943">
        <f>+_xlfn.IFNA(VLOOKUP(Tabella118[[#This Row],[Composizione alternativa per digitale]],Tabella118[[composizione concatenata]:[Euro/Mq]],2,FALSE),VLOOKUP(H299,digitale[[ONDA]:[Fornitore]],3,FALSE))</f>
        <v/>
      </c>
      <c r="G299" s="484" t="n"/>
      <c r="H299" s="484">
        <f>IF(MID(A299, FIND("/", A299, FIND("/", A299) + 1) + 1, 2)="A","C",MID(A299, FIND("/", A299, FIND("/", A299) + 1) + 1, 2))</f>
        <v/>
      </c>
      <c r="I299" s="486">
        <f>TRIM(H299)</f>
        <v/>
      </c>
    </row>
    <row r="300" ht="15" customHeight="1">
      <c r="A300" s="491" t="inlineStr">
        <is>
          <t>KM/26/b</t>
        </is>
      </c>
      <c r="B300" s="484">
        <f>+_xlfn.CONCAT(Tabella118[[#This Row],[Composizione]], " - ", Tabella118[[#This Row],[Fornitore]])</f>
        <v/>
      </c>
      <c r="C300" s="943" t="n">
        <v>0.275</v>
      </c>
      <c r="D300" s="484" t="inlineStr">
        <is>
          <t>Santerno</t>
        </is>
      </c>
      <c r="E300" s="484">
        <f>IFERROR(IF(H300="BC",Tabella118[[#This Row],[composizione concatenata]],IF(H300="C",Tabella118[[#This Row],[composizione concatenata]],VLOOKUP(I300,$K$2:$O$7,5,FALSE))),+Tabella118[[#This Row],[composizione concatenata]])</f>
        <v/>
      </c>
      <c r="F300" s="943">
        <f>+_xlfn.IFNA(VLOOKUP(Tabella118[[#This Row],[Composizione alternativa per digitale]],Tabella118[[composizione concatenata]:[Euro/Mq]],2,FALSE),VLOOKUP(H300,digitale[[ONDA]:[Fornitore]],3,FALSE))</f>
        <v/>
      </c>
      <c r="G300" s="484" t="n"/>
      <c r="H300" s="484">
        <f>IF(MID(A300, FIND("/", A300, FIND("/", A300) + 1) + 1, 2)="A","C",MID(A300, FIND("/", A300, FIND("/", A300) + 1) + 1, 2))</f>
        <v/>
      </c>
      <c r="I300" s="486">
        <f>TRIM(H300)</f>
        <v/>
      </c>
    </row>
    <row r="301" ht="15" customHeight="1">
      <c r="A301" s="491" t="inlineStr">
        <is>
          <t>KM/26/b + ACC.</t>
        </is>
      </c>
      <c r="B301" s="484">
        <f>+_xlfn.CONCAT(Tabella118[[#This Row],[Composizione]], " - ", Tabella118[[#This Row],[Fornitore]])</f>
        <v/>
      </c>
      <c r="C301" s="943" t="n">
        <v>0.33</v>
      </c>
      <c r="D301" s="484" t="inlineStr">
        <is>
          <t>Santerno</t>
        </is>
      </c>
      <c r="E301" s="484">
        <f>IFERROR(IF(H301="BC",Tabella118[[#This Row],[composizione concatenata]],IF(H301="C",Tabella118[[#This Row],[composizione concatenata]],VLOOKUP(I301,$K$2:$O$7,5,FALSE))),+Tabella118[[#This Row],[composizione concatenata]])</f>
        <v/>
      </c>
      <c r="F301" s="943">
        <f>+_xlfn.IFNA(VLOOKUP(Tabella118[[#This Row],[Composizione alternativa per digitale]],Tabella118[[composizione concatenata]:[Euro/Mq]],2,FALSE),VLOOKUP(H301,digitale[[ONDA]:[Fornitore]],3,FALSE))</f>
        <v/>
      </c>
      <c r="G301" s="484" t="n"/>
      <c r="H301" s="484">
        <f>IF(MID(A301, FIND("/", A301, FIND("/", A301) + 1) + 1, 2)="A","C",MID(A301, FIND("/", A301, FIND("/", A301) + 1) + 1, 2))</f>
        <v/>
      </c>
      <c r="I301" s="486">
        <f>TRIM(H301)</f>
        <v/>
      </c>
    </row>
    <row r="302" ht="15" customHeight="1">
      <c r="A302" s="491" t="inlineStr">
        <is>
          <t>KM/26/e</t>
        </is>
      </c>
      <c r="B302" s="484">
        <f>+_xlfn.CONCAT(Tabella118[[#This Row],[Composizione]], " - ", Tabella118[[#This Row],[Fornitore]])</f>
        <v/>
      </c>
      <c r="C302" s="943" t="n">
        <v>0.26</v>
      </c>
      <c r="D302" s="484" t="inlineStr">
        <is>
          <t>Santerno</t>
        </is>
      </c>
      <c r="E302" s="484">
        <f>IFERROR(IF(H302="BC",Tabella118[[#This Row],[composizione concatenata]],IF(H302="C",Tabella118[[#This Row],[composizione concatenata]],VLOOKUP(I302,$K$2:$O$7,5,FALSE))),+Tabella118[[#This Row],[composizione concatenata]])</f>
        <v/>
      </c>
      <c r="F302" s="943">
        <f>+_xlfn.IFNA(VLOOKUP(Tabella118[[#This Row],[Composizione alternativa per digitale]],Tabella118[[composizione concatenata]:[Euro/Mq]],2,FALSE),VLOOKUP(H302,digitale[[ONDA]:[Fornitore]],3,FALSE))</f>
        <v/>
      </c>
      <c r="G302" s="484" t="n"/>
      <c r="H302" s="484">
        <f>IF(MID(A302, FIND("/", A302, FIND("/", A302) + 1) + 1, 2)="A","C",MID(A302, FIND("/", A302, FIND("/", A302) + 1) + 1, 2))</f>
        <v/>
      </c>
      <c r="I302" s="486">
        <f>TRIM(H302)</f>
        <v/>
      </c>
    </row>
    <row r="303" ht="15" customHeight="1">
      <c r="A303" s="491" t="inlineStr">
        <is>
          <t>KM/26/e + ACC.</t>
        </is>
      </c>
      <c r="B303" s="484">
        <f>+_xlfn.CONCAT(Tabella118[[#This Row],[Composizione]], " - ", Tabella118[[#This Row],[Fornitore]])</f>
        <v/>
      </c>
      <c r="C303" s="943" t="n">
        <v>0.315</v>
      </c>
      <c r="D303" s="484" t="inlineStr">
        <is>
          <t>Santerno</t>
        </is>
      </c>
      <c r="E303" s="484">
        <f>IFERROR(IF(H303="BC",Tabella118[[#This Row],[composizione concatenata]],IF(H303="C",Tabella118[[#This Row],[composizione concatenata]],VLOOKUP(I303,$K$2:$O$7,5,FALSE))),+Tabella118[[#This Row],[composizione concatenata]])</f>
        <v/>
      </c>
      <c r="F303" s="943">
        <f>+_xlfn.IFNA(VLOOKUP(Tabella118[[#This Row],[Composizione alternativa per digitale]],Tabella118[[composizione concatenata]:[Euro/Mq]],2,FALSE),VLOOKUP(H303,digitale[[ONDA]:[Fornitore]],3,FALSE))</f>
        <v/>
      </c>
      <c r="G303" s="484" t="n"/>
      <c r="H303" s="484">
        <f>IF(MID(A303, FIND("/", A303, FIND("/", A303) + 1) + 1, 2)="A","C",MID(A303, FIND("/", A303, FIND("/", A303) + 1) + 1, 2))</f>
        <v/>
      </c>
      <c r="I303" s="486">
        <f>TRIM(H303)</f>
        <v/>
      </c>
    </row>
    <row r="304" ht="15" customHeight="1">
      <c r="A304" s="491" t="inlineStr">
        <is>
          <t>KM/46/e</t>
        </is>
      </c>
      <c r="B304" s="484">
        <f>+_xlfn.CONCAT(Tabella118[[#This Row],[Composizione]], " - ", Tabella118[[#This Row],[Fornitore]])</f>
        <v/>
      </c>
      <c r="C304" s="943" t="n">
        <v>0.301</v>
      </c>
      <c r="D304" s="484" t="inlineStr">
        <is>
          <t>Santerno</t>
        </is>
      </c>
      <c r="E304" s="484">
        <f>IFERROR(IF(H304="BC",Tabella118[[#This Row],[composizione concatenata]],IF(H304="C",Tabella118[[#This Row],[composizione concatenata]],VLOOKUP(I304,$K$2:$O$7,5,FALSE))),+Tabella118[[#This Row],[composizione concatenata]])</f>
        <v/>
      </c>
      <c r="F304" s="943">
        <f>+_xlfn.IFNA(VLOOKUP(Tabella118[[#This Row],[Composizione alternativa per digitale]],Tabella118[[composizione concatenata]:[Euro/Mq]],2,FALSE),VLOOKUP(H304,digitale[[ONDA]:[Fornitore]],3,FALSE))</f>
        <v/>
      </c>
      <c r="G304" s="484" t="n"/>
      <c r="H304" s="484">
        <f>IF(MID(A304, FIND("/", A304, FIND("/", A304) + 1) + 1, 2)="A","C",MID(A304, FIND("/", A304, FIND("/", A304) + 1) + 1, 2))</f>
        <v/>
      </c>
      <c r="I304" s="486">
        <f>TRIM(H304)</f>
        <v/>
      </c>
    </row>
    <row r="305" ht="15" customHeight="1">
      <c r="A305" s="491" t="inlineStr">
        <is>
          <t>KM/46/e + ACC.</t>
        </is>
      </c>
      <c r="B305" s="484">
        <f>+_xlfn.CONCAT(Tabella118[[#This Row],[Composizione]], " - ", Tabella118[[#This Row],[Fornitore]])</f>
        <v/>
      </c>
      <c r="C305" s="943" t="n">
        <v>0.356</v>
      </c>
      <c r="D305" s="484" t="inlineStr">
        <is>
          <t>Santerno</t>
        </is>
      </c>
      <c r="E305" s="484">
        <f>IFERROR(IF(H305="BC",Tabella118[[#This Row],[composizione concatenata]],IF(H305="C",Tabella118[[#This Row],[composizione concatenata]],VLOOKUP(I305,$K$2:$O$7,5,FALSE))),+Tabella118[[#This Row],[composizione concatenata]])</f>
        <v/>
      </c>
      <c r="F305" s="943">
        <f>+_xlfn.IFNA(VLOOKUP(Tabella118[[#This Row],[Composizione alternativa per digitale]],Tabella118[[composizione concatenata]:[Euro/Mq]],2,FALSE),VLOOKUP(H305,digitale[[ONDA]:[Fornitore]],3,FALSE))</f>
        <v/>
      </c>
      <c r="G305" s="484" t="n"/>
      <c r="H305" s="484">
        <f>IF(MID(A305, FIND("/", A305, FIND("/", A305) + 1) + 1, 2)="A","C",MID(A305, FIND("/", A305, FIND("/", A305) + 1) + 1, 2))</f>
        <v/>
      </c>
      <c r="I305" s="486">
        <f>TRIM(H305)</f>
        <v/>
      </c>
    </row>
    <row r="306" ht="15" customHeight="1">
      <c r="A306" s="491" t="inlineStr">
        <is>
          <t>KMFK/2422/Ef</t>
        </is>
      </c>
      <c r="B306" s="484">
        <f>+_xlfn.CONCAT(Tabella118[[#This Row],[Composizione]], " - ", Tabella118[[#This Row],[Fornitore]])</f>
        <v/>
      </c>
      <c r="C306" s="943" t="n">
        <v>0.63</v>
      </c>
      <c r="D306" s="484" t="inlineStr">
        <is>
          <t>Santerno</t>
        </is>
      </c>
      <c r="E306" s="484">
        <f>IFERROR(IF(H306="BC",Tabella118[[#This Row],[composizione concatenata]],IF(H306="C",Tabella118[[#This Row],[composizione concatenata]],VLOOKUP(I306,$K$2:$O$7,5,FALSE))),+Tabella118[[#This Row],[composizione concatenata]])</f>
        <v/>
      </c>
      <c r="F306" s="943">
        <f>+_xlfn.IFNA(VLOOKUP(Tabella118[[#This Row],[Composizione alternativa per digitale]],Tabella118[[composizione concatenata]:[Euro/Mq]],2,FALSE),VLOOKUP(H306,digitale[[ONDA]:[Fornitore]],3,FALSE))</f>
        <v/>
      </c>
      <c r="G306" s="484" t="n"/>
      <c r="H306" s="484">
        <f>IF(MID(A306, FIND("/", A306, FIND("/", A306) + 1) + 1, 2)="A","C",MID(A306, FIND("/", A306, FIND("/", A306) + 1) + 1, 2))</f>
        <v/>
      </c>
      <c r="I306" s="486">
        <f>TRIM(H306)</f>
        <v/>
      </c>
    </row>
    <row r="307" ht="15" customHeight="1">
      <c r="A307" s="491" t="inlineStr">
        <is>
          <t>KMFK/2422/Ef + ACC.</t>
        </is>
      </c>
      <c r="B307" s="484">
        <f>+_xlfn.CONCAT(Tabella118[[#This Row],[Composizione]], " - ", Tabella118[[#This Row],[Fornitore]])</f>
        <v/>
      </c>
      <c r="C307" s="943" t="n">
        <v>0.6950000000000001</v>
      </c>
      <c r="D307" s="484" t="inlineStr">
        <is>
          <t>Santerno</t>
        </is>
      </c>
      <c r="E307" s="484">
        <f>IFERROR(IF(H307="BC",Tabella118[[#This Row],[composizione concatenata]],IF(H307="C",Tabella118[[#This Row],[composizione concatenata]],VLOOKUP(I307,$K$2:$O$7,5,FALSE))),+Tabella118[[#This Row],[composizione concatenata]])</f>
        <v/>
      </c>
      <c r="F307" s="943">
        <f>+_xlfn.IFNA(VLOOKUP(Tabella118[[#This Row],[Composizione alternativa per digitale]],Tabella118[[composizione concatenata]:[Euro/Mq]],2,FALSE),VLOOKUP(H307,digitale[[ONDA]:[Fornitore]],3,FALSE))</f>
        <v/>
      </c>
      <c r="G307" s="484" t="n"/>
      <c r="H307" s="484">
        <f>IF(MID(A307, FIND("/", A307, FIND("/", A307) + 1) + 1, 2)="A","C",MID(A307, FIND("/", A307, FIND("/", A307) + 1) + 1, 2))</f>
        <v/>
      </c>
      <c r="I307" s="486">
        <f>TRIM(H307)</f>
        <v/>
      </c>
    </row>
    <row r="308" ht="15" customHeight="1">
      <c r="A308" s="491" t="inlineStr">
        <is>
          <t>KMFM/2424/Be</t>
        </is>
      </c>
      <c r="B308" s="484">
        <f>+_xlfn.CONCAT(Tabella118[[#This Row],[Composizione]], " - ", Tabella118[[#This Row],[Fornitore]])</f>
        <v/>
      </c>
      <c r="C308" s="943" t="n">
        <v>0.444</v>
      </c>
      <c r="D308" s="484" t="inlineStr">
        <is>
          <t>Santerno</t>
        </is>
      </c>
      <c r="E308" s="484">
        <f>IFERROR(IF(H308="BC",Tabella118[[#This Row],[composizione concatenata]],IF(H308="C",Tabella118[[#This Row],[composizione concatenata]],VLOOKUP(I308,$K$2:$O$7,5,FALSE))),+Tabella118[[#This Row],[composizione concatenata]])</f>
        <v/>
      </c>
      <c r="F308" s="943">
        <f>+_xlfn.IFNA(VLOOKUP(Tabella118[[#This Row],[Composizione alternativa per digitale]],Tabella118[[composizione concatenata]:[Euro/Mq]],2,FALSE),VLOOKUP(H308,digitale[[ONDA]:[Fornitore]],3,FALSE))</f>
        <v/>
      </c>
      <c r="G308" s="484" t="n"/>
      <c r="H308" s="484">
        <f>IF(MID(A308, FIND("/", A308, FIND("/", A308) + 1) + 1, 2)="A","C",MID(A308, FIND("/", A308, FIND("/", A308) + 1) + 1, 2))</f>
        <v/>
      </c>
      <c r="I308" s="486">
        <f>TRIM(H308)</f>
        <v/>
      </c>
    </row>
    <row r="309" ht="15" customHeight="1">
      <c r="A309" s="491" t="inlineStr">
        <is>
          <t>KMFM/2424/Be + ACC.</t>
        </is>
      </c>
      <c r="B309" s="484">
        <f>+_xlfn.CONCAT(Tabella118[[#This Row],[Composizione]], " - ", Tabella118[[#This Row],[Fornitore]])</f>
        <v/>
      </c>
      <c r="C309" s="943" t="n">
        <v>0.509</v>
      </c>
      <c r="D309" s="484" t="inlineStr">
        <is>
          <t>Santerno</t>
        </is>
      </c>
      <c r="E309" s="484">
        <f>IFERROR(IF(H309="BC",Tabella118[[#This Row],[composizione concatenata]],IF(H309="C",Tabella118[[#This Row],[composizione concatenata]],VLOOKUP(I309,$K$2:$O$7,5,FALSE))),+Tabella118[[#This Row],[composizione concatenata]])</f>
        <v/>
      </c>
      <c r="F309" s="943">
        <f>+_xlfn.IFNA(VLOOKUP(Tabella118[[#This Row],[Composizione alternativa per digitale]],Tabella118[[composizione concatenata]:[Euro/Mq]],2,FALSE),VLOOKUP(H309,digitale[[ONDA]:[Fornitore]],3,FALSE))</f>
        <v/>
      </c>
      <c r="G309" s="484" t="n"/>
      <c r="H309" s="484">
        <f>IF(MID(A309, FIND("/", A309, FIND("/", A309) + 1) + 1, 2)="A","C",MID(A309, FIND("/", A309, FIND("/", A309) + 1) + 1, 2))</f>
        <v/>
      </c>
      <c r="I309" s="486">
        <f>TRIM(H309)</f>
        <v/>
      </c>
    </row>
    <row r="310" ht="15" customHeight="1">
      <c r="A310" s="491" t="inlineStr">
        <is>
          <t>KMFM/2424/Ee</t>
        </is>
      </c>
      <c r="B310" s="484">
        <f>+_xlfn.CONCAT(Tabella118[[#This Row],[Composizione]], " - ", Tabella118[[#This Row],[Fornitore]])</f>
        <v/>
      </c>
      <c r="C310" s="943" t="n">
        <v>0.449</v>
      </c>
      <c r="D310" s="484" t="inlineStr">
        <is>
          <t>Santerno</t>
        </is>
      </c>
      <c r="E310" s="484">
        <f>IFERROR(IF(H310="BC",Tabella118[[#This Row],[composizione concatenata]],IF(H310="C",Tabella118[[#This Row],[composizione concatenata]],VLOOKUP(I310,$K$2:$O$7,5,FALSE))),+Tabella118[[#This Row],[composizione concatenata]])</f>
        <v/>
      </c>
      <c r="F310" s="943">
        <f>+_xlfn.IFNA(VLOOKUP(Tabella118[[#This Row],[Composizione alternativa per digitale]],Tabella118[[composizione concatenata]:[Euro/Mq]],2,FALSE),VLOOKUP(H310,digitale[[ONDA]:[Fornitore]],3,FALSE))</f>
        <v/>
      </c>
      <c r="G310" s="484" t="n"/>
      <c r="H310" s="484">
        <f>IF(MID(A310, FIND("/", A310, FIND("/", A310) + 1) + 1, 2)="A","C",MID(A310, FIND("/", A310, FIND("/", A310) + 1) + 1, 2))</f>
        <v/>
      </c>
      <c r="I310" s="486">
        <f>TRIM(H310)</f>
        <v/>
      </c>
    </row>
    <row r="311" ht="15" customHeight="1">
      <c r="A311" s="491" t="inlineStr">
        <is>
          <t>KMFM/2424/Ee + ACC.</t>
        </is>
      </c>
      <c r="B311" s="484">
        <f>+_xlfn.CONCAT(Tabella118[[#This Row],[Composizione]], " - ", Tabella118[[#This Row],[Fornitore]])</f>
        <v/>
      </c>
      <c r="C311" s="943" t="n">
        <v>0.514</v>
      </c>
      <c r="D311" s="484" t="inlineStr">
        <is>
          <t>Santerno</t>
        </is>
      </c>
      <c r="E311" s="484">
        <f>IFERROR(IF(H311="BC",Tabella118[[#This Row],[composizione concatenata]],IF(H311="C",Tabella118[[#This Row],[composizione concatenata]],VLOOKUP(I311,$K$2:$O$7,5,FALSE))),+Tabella118[[#This Row],[composizione concatenata]])</f>
        <v/>
      </c>
      <c r="F311" s="943">
        <f>+_xlfn.IFNA(VLOOKUP(Tabella118[[#This Row],[Composizione alternativa per digitale]],Tabella118[[composizione concatenata]:[Euro/Mq]],2,FALSE),VLOOKUP(H311,digitale[[ONDA]:[Fornitore]],3,FALSE))</f>
        <v/>
      </c>
      <c r="G311" s="484" t="n"/>
      <c r="H311" s="484">
        <f>IF(MID(A311, FIND("/", A311, FIND("/", A311) + 1) + 1, 2)="A","C",MID(A311, FIND("/", A311, FIND("/", A311) + 1) + 1, 2))</f>
        <v/>
      </c>
      <c r="I311" s="486">
        <f>TRIM(H311)</f>
        <v/>
      </c>
    </row>
    <row r="312" ht="15" customHeight="1">
      <c r="A312" s="491" t="inlineStr">
        <is>
          <t>KMFM/2626/Be</t>
        </is>
      </c>
      <c r="B312" s="484">
        <f>+_xlfn.CONCAT(Tabella118[[#This Row],[Composizione]], " - ", Tabella118[[#This Row],[Fornitore]])</f>
        <v/>
      </c>
      <c r="C312" s="943" t="n">
        <v>0.467</v>
      </c>
      <c r="D312" s="484" t="inlineStr">
        <is>
          <t>Santerno</t>
        </is>
      </c>
      <c r="E312" s="484">
        <f>IFERROR(IF(H312="BC",Tabella118[[#This Row],[composizione concatenata]],IF(H312="C",Tabella118[[#This Row],[composizione concatenata]],VLOOKUP(I312,$K$2:$O$7,5,FALSE))),+Tabella118[[#This Row],[composizione concatenata]])</f>
        <v/>
      </c>
      <c r="F312" s="943">
        <f>+_xlfn.IFNA(VLOOKUP(Tabella118[[#This Row],[Composizione alternativa per digitale]],Tabella118[[composizione concatenata]:[Euro/Mq]],2,FALSE),VLOOKUP(H312,digitale[[ONDA]:[Fornitore]],3,FALSE))</f>
        <v/>
      </c>
      <c r="G312" s="484" t="n"/>
      <c r="H312" s="484">
        <f>IF(MID(A312, FIND("/", A312, FIND("/", A312) + 1) + 1, 2)="A","C",MID(A312, FIND("/", A312, FIND("/", A312) + 1) + 1, 2))</f>
        <v/>
      </c>
      <c r="I312" s="486">
        <f>TRIM(H312)</f>
        <v/>
      </c>
    </row>
    <row r="313" ht="15" customHeight="1">
      <c r="A313" s="491" t="inlineStr">
        <is>
          <t>KMFM/2626/Be + ACC.</t>
        </is>
      </c>
      <c r="B313" s="484">
        <f>+_xlfn.CONCAT(Tabella118[[#This Row],[Composizione]], " - ", Tabella118[[#This Row],[Fornitore]])</f>
        <v/>
      </c>
      <c r="C313" s="943" t="n">
        <v>0.532</v>
      </c>
      <c r="D313" s="484" t="inlineStr">
        <is>
          <t>Santerno</t>
        </is>
      </c>
      <c r="E313" s="484">
        <f>IFERROR(IF(H313="BC",Tabella118[[#This Row],[composizione concatenata]],IF(H313="C",Tabella118[[#This Row],[composizione concatenata]],VLOOKUP(I313,$K$2:$O$7,5,FALSE))),+Tabella118[[#This Row],[composizione concatenata]])</f>
        <v/>
      </c>
      <c r="F313" s="943">
        <f>+_xlfn.IFNA(VLOOKUP(Tabella118[[#This Row],[Composizione alternativa per digitale]],Tabella118[[composizione concatenata]:[Euro/Mq]],2,FALSE),VLOOKUP(H313,digitale[[ONDA]:[Fornitore]],3,FALSE))</f>
        <v/>
      </c>
      <c r="G313" s="484" t="n"/>
      <c r="H313" s="484">
        <f>IF(MID(A313, FIND("/", A313, FIND("/", A313) + 1) + 1, 2)="A","C",MID(A313, FIND("/", A313, FIND("/", A313) + 1) + 1, 2))</f>
        <v/>
      </c>
      <c r="I313" s="486">
        <f>TRIM(H313)</f>
        <v/>
      </c>
    </row>
    <row r="314" ht="15" customHeight="1">
      <c r="A314" s="484" t="inlineStr">
        <is>
          <t>KMFMK/24242/BC</t>
        </is>
      </c>
      <c r="B314" s="484">
        <f>+_xlfn.CONCAT(Tabella118[[#This Row],[Composizione]], " - ", Tabella118[[#This Row],[Fornitore]])</f>
        <v/>
      </c>
      <c r="C314" s="943" t="n">
        <v>0.475</v>
      </c>
      <c r="D314" s="484" t="inlineStr">
        <is>
          <t xml:space="preserve">Ds Smith </t>
        </is>
      </c>
      <c r="E314" s="484">
        <f>IFERROR(IF(H314="BC",Tabella118[[#This Row],[composizione concatenata]],IF(H314="C",Tabella118[[#This Row],[composizione concatenata]],VLOOKUP(I314,$K$2:$O$7,5,FALSE))),+Tabella118[[#This Row],[composizione concatenata]])</f>
        <v/>
      </c>
      <c r="F314" s="943">
        <f>+_xlfn.IFNA(VLOOKUP(Tabella118[[#This Row],[Composizione alternativa per digitale]],Tabella118[[composizione concatenata]:[Euro/Mq]],2,FALSE),VLOOKUP(H314,digitale[[ONDA]:[Fornitore]],3,FALSE))</f>
        <v/>
      </c>
      <c r="G314" s="484" t="n"/>
      <c r="H314" s="484">
        <f>IF(MID(A314, FIND("/", A314, FIND("/", A314) + 1) + 1, 2)="A","C",MID(A314, FIND("/", A314, FIND("/", A314) + 1) + 1, 2))</f>
        <v/>
      </c>
      <c r="I314" s="486">
        <f>TRIM(H314)</f>
        <v/>
      </c>
    </row>
    <row r="315" ht="15" customHeight="1">
      <c r="A315" s="484" t="inlineStr">
        <is>
          <t>KMFMK/24242/BC</t>
        </is>
      </c>
      <c r="B315" s="484">
        <f>+_xlfn.CONCAT(Tabella118[[#This Row],[Composizione]], " - ", Tabella118[[#This Row],[Fornitore]])</f>
        <v/>
      </c>
      <c r="C315" s="943" t="n">
        <v>0.455</v>
      </c>
      <c r="D315" s="484" t="inlineStr">
        <is>
          <t>Giusti</t>
        </is>
      </c>
      <c r="E315" s="484">
        <f>IFERROR(IF(H315="BC",Tabella118[[#This Row],[composizione concatenata]],IF(H315="C",Tabella118[[#This Row],[composizione concatenata]],VLOOKUP(I315,$K$2:$O$7,5,FALSE))),+Tabella118[[#This Row],[composizione concatenata]])</f>
        <v/>
      </c>
      <c r="F315" s="944">
        <f>+_xlfn.IFNA(VLOOKUP(Tabella118[[#This Row],[Composizione alternativa per digitale]],Tabella118[[composizione concatenata]:[Euro/Mq]],2,FALSE),VLOOKUP(H315,digitale[[ONDA]:[Fornitore]],3,FALSE))</f>
        <v/>
      </c>
      <c r="G315" s="484" t="n"/>
      <c r="H315" s="484">
        <f>IF(MID(A315, FIND("/", A315, FIND("/", A315) + 1) + 1, 2)="A","C",MID(A315, FIND("/", A315, FIND("/", A315) + 1) + 1, 2))</f>
        <v/>
      </c>
      <c r="I315" s="486">
        <f>TRIM(H315)</f>
        <v/>
      </c>
    </row>
    <row r="316" ht="15" customHeight="1">
      <c r="A316" s="483" t="inlineStr">
        <is>
          <t>KMFMK/24242/BC</t>
        </is>
      </c>
      <c r="B316" s="484">
        <f>+_xlfn.CONCAT(Tabella118[[#This Row],[Composizione]], " - ", Tabella118[[#This Row],[Fornitore]])</f>
        <v/>
      </c>
      <c r="C316" s="950" t="n">
        <v>0.407</v>
      </c>
      <c r="D316" s="484" t="inlineStr">
        <is>
          <t>Cartstrong</t>
        </is>
      </c>
      <c r="E316" s="484">
        <f>IFERROR(IF(H316="BC",Tabella118[[#This Row],[composizione concatenata]],IF(H316="C",Tabella118[[#This Row],[composizione concatenata]],VLOOKUP(I316,$K$2:$O$7,5,FALSE))),+Tabella118[[#This Row],[composizione concatenata]])</f>
        <v/>
      </c>
      <c r="F316" s="943">
        <f>+_xlfn.IFNA(VLOOKUP(Tabella118[[#This Row],[Composizione alternativa per digitale]],Tabella118[[composizione concatenata]:[Euro/Mq]],2,FALSE),VLOOKUP(H316,digitale[[ONDA]:[Fornitore]],3,FALSE))</f>
        <v/>
      </c>
      <c r="G316" s="484" t="n"/>
      <c r="H316" s="484">
        <f>IF(MID(A316, FIND("/", A316, FIND("/", A316) + 1) + 1, 2)="A","C",MID(A316, FIND("/", A316, FIND("/", A316) + 1) + 1, 2))</f>
        <v/>
      </c>
      <c r="I316" s="486">
        <f>TRIM(H316)</f>
        <v/>
      </c>
    </row>
    <row r="317" ht="15" customHeight="1">
      <c r="A317" s="484" t="inlineStr">
        <is>
          <t>KMFMK/24242/EB</t>
        </is>
      </c>
      <c r="B317" s="484">
        <f>+_xlfn.CONCAT(Tabella118[[#This Row],[Composizione]], " - ", Tabella118[[#This Row],[Fornitore]])</f>
        <v/>
      </c>
      <c r="C317" s="943" t="n">
        <v>0.436</v>
      </c>
      <c r="D317" s="484" t="inlineStr">
        <is>
          <t>Giusti</t>
        </is>
      </c>
      <c r="E317" s="484">
        <f>IFERROR(IF(H317="BC",Tabella118[[#This Row],[composizione concatenata]],IF(H317="C",Tabella118[[#This Row],[composizione concatenata]],VLOOKUP(I317,$K$2:$O$7,5,FALSE))),+Tabella118[[#This Row],[composizione concatenata]])</f>
        <v/>
      </c>
      <c r="F317" s="944">
        <f>+_xlfn.IFNA(VLOOKUP(Tabella118[[#This Row],[Composizione alternativa per digitale]],Tabella118[[composizione concatenata]:[Euro/Mq]],2,FALSE),VLOOKUP(H317,digitale[[ONDA]:[Fornitore]],3,FALSE))</f>
        <v/>
      </c>
      <c r="G317" s="484" t="n"/>
      <c r="H317" s="484">
        <f>IF(MID(A317, FIND("/", A317, FIND("/", A317) + 1) + 1, 2)="A","C",MID(A317, FIND("/", A317, FIND("/", A317) + 1) + 1, 2))</f>
        <v/>
      </c>
      <c r="I317" s="486">
        <f>TRIM(H317)</f>
        <v/>
      </c>
    </row>
    <row r="318" ht="15" customHeight="1">
      <c r="A318" s="483" t="inlineStr">
        <is>
          <t>KMFMK/24242/EB</t>
        </is>
      </c>
      <c r="B318" s="484">
        <f>+_xlfn.CONCAT(Tabella118[[#This Row],[Composizione]], " - ", Tabella118[[#This Row],[Fornitore]])</f>
        <v/>
      </c>
      <c r="C318" s="950" t="n">
        <v>0.397</v>
      </c>
      <c r="D318" s="484" t="inlineStr">
        <is>
          <t>Cartstrong</t>
        </is>
      </c>
      <c r="E318" s="484">
        <f>IFERROR(IF(H318="BC",Tabella118[[#This Row],[composizione concatenata]],IF(H318="C",Tabella118[[#This Row],[composizione concatenata]],VLOOKUP(I318,$K$2:$O$7,5,FALSE))),+Tabella118[[#This Row],[composizione concatenata]])</f>
        <v/>
      </c>
      <c r="F318" s="943">
        <f>+_xlfn.IFNA(VLOOKUP(Tabella118[[#This Row],[Composizione alternativa per digitale]],Tabella118[[composizione concatenata]:[Euro/Mq]],2,FALSE),VLOOKUP(H318,digitale[[ONDA]:[Fornitore]],3,FALSE))</f>
        <v/>
      </c>
      <c r="G318" s="484" t="n"/>
      <c r="H318" s="484">
        <f>IF(MID(A318, FIND("/", A318, FIND("/", A318) + 1) + 1, 2)="A","C",MID(A318, FIND("/", A318, FIND("/", A318) + 1) + 1, 2))</f>
        <v/>
      </c>
      <c r="I318" s="486">
        <f>TRIM(H318)</f>
        <v/>
      </c>
    </row>
    <row r="319" ht="15" customHeight="1">
      <c r="A319" s="484" t="inlineStr">
        <is>
          <t>KMFMK/24242/EE</t>
        </is>
      </c>
      <c r="B319" s="484">
        <f>+_xlfn.CONCAT(Tabella118[[#This Row],[Composizione]], " - ", Tabella118[[#This Row],[Fornitore]])</f>
        <v/>
      </c>
      <c r="C319" s="943" t="n">
        <v>0.436</v>
      </c>
      <c r="D319" s="484" t="inlineStr">
        <is>
          <t>FEPA</t>
        </is>
      </c>
      <c r="E319" s="484">
        <f>IFERROR(IF(H319="BC",Tabella118[[#This Row],[composizione concatenata]],IF(H319="C",Tabella118[[#This Row],[composizione concatenata]],VLOOKUP(I319,$K$2:$O$7,5,FALSE))),+Tabella118[[#This Row],[composizione concatenata]])</f>
        <v/>
      </c>
      <c r="F319" s="944">
        <f>+_xlfn.IFNA(VLOOKUP(Tabella118[[#This Row],[Composizione alternativa per digitale]],Tabella118[[composizione concatenata]:[Euro/Mq]],2,FALSE),VLOOKUP(H319,digitale[[ONDA]:[Fornitore]],3,FALSE))</f>
        <v/>
      </c>
      <c r="G319" s="484" t="n"/>
      <c r="H319" s="484">
        <f>IF(MID(A319, FIND("/", A319, FIND("/", A319) + 1) + 1, 2)="A","C",MID(A319, FIND("/", A319, FIND("/", A319) + 1) + 1, 2))</f>
        <v/>
      </c>
      <c r="I319" s="486">
        <f>TRIM(H319)</f>
        <v/>
      </c>
    </row>
    <row r="320" ht="15" customHeight="1">
      <c r="A320" s="484" t="inlineStr">
        <is>
          <t>KMFMK/24242/EE</t>
        </is>
      </c>
      <c r="B320" s="484">
        <f>+_xlfn.CONCAT(Tabella118[[#This Row],[Composizione]], " - ", Tabella118[[#This Row],[Fornitore]])</f>
        <v/>
      </c>
      <c r="C320" s="943" t="n">
        <v>0.426</v>
      </c>
      <c r="D320" s="484" t="inlineStr">
        <is>
          <t>Giusti</t>
        </is>
      </c>
      <c r="E320" s="484">
        <f>IFERROR(IF(H320="BC",Tabella118[[#This Row],[composizione concatenata]],IF(H320="C",Tabella118[[#This Row],[composizione concatenata]],VLOOKUP(I320,$K$2:$O$7,5,FALSE))),+Tabella118[[#This Row],[composizione concatenata]])</f>
        <v/>
      </c>
      <c r="F320" s="944">
        <f>+_xlfn.IFNA(VLOOKUP(Tabella118[[#This Row],[Composizione alternativa per digitale]],Tabella118[[composizione concatenata]:[Euro/Mq]],2,FALSE),VLOOKUP(H320,digitale[[ONDA]:[Fornitore]],3,FALSE))</f>
        <v/>
      </c>
      <c r="G320" s="484" t="n"/>
      <c r="H320" s="484">
        <f>IF(MID(A320, FIND("/", A320, FIND("/", A320) + 1) + 1, 2)="A","C",MID(A320, FIND("/", A320, FIND("/", A320) + 1) + 1, 2))</f>
        <v/>
      </c>
      <c r="I320" s="486">
        <f>TRIM(H320)</f>
        <v/>
      </c>
    </row>
    <row r="321" ht="15" customHeight="1">
      <c r="A321" s="484" t="inlineStr">
        <is>
          <t>KMFMK/26262/BC</t>
        </is>
      </c>
      <c r="B321" s="484">
        <f>+_xlfn.CONCAT(Tabella118[[#This Row],[Composizione]], " - ", Tabella118[[#This Row],[Fornitore]])</f>
        <v/>
      </c>
      <c r="C321" s="943" t="n">
        <v>0.49</v>
      </c>
      <c r="D321" s="484" t="inlineStr">
        <is>
          <t xml:space="preserve">Ds Smith </t>
        </is>
      </c>
      <c r="E321" s="484">
        <f>IFERROR(IF(H321="BC",Tabella118[[#This Row],[composizione concatenata]],IF(H321="C",Tabella118[[#This Row],[composizione concatenata]],VLOOKUP(I321,$K$2:$O$7,5,FALSE))),+Tabella118[[#This Row],[composizione concatenata]])</f>
        <v/>
      </c>
      <c r="F321" s="943">
        <f>+_xlfn.IFNA(VLOOKUP(Tabella118[[#This Row],[Composizione alternativa per digitale]],Tabella118[[composizione concatenata]:[Euro/Mq]],2,FALSE),VLOOKUP(H321,digitale[[ONDA]:[Fornitore]],3,FALSE))</f>
        <v/>
      </c>
      <c r="G321" s="484" t="n"/>
      <c r="H321" s="484">
        <f>IF(MID(A321, FIND("/", A321, FIND("/", A321) + 1) + 1, 2)="A","C",MID(A321, FIND("/", A321, FIND("/", A321) + 1) + 1, 2))</f>
        <v/>
      </c>
      <c r="I321" s="486">
        <f>TRIM(H321)</f>
        <v/>
      </c>
    </row>
    <row r="322" ht="15" customHeight="1">
      <c r="A322" s="484" t="inlineStr">
        <is>
          <t>KMFMK/26262/BC</t>
        </is>
      </c>
      <c r="B322" s="484">
        <f>+_xlfn.CONCAT(Tabella118[[#This Row],[Composizione]], " - ", Tabella118[[#This Row],[Fornitore]])</f>
        <v/>
      </c>
      <c r="C322" s="943" t="n">
        <v>0.482</v>
      </c>
      <c r="D322" s="484" t="inlineStr">
        <is>
          <t>Giusti</t>
        </is>
      </c>
      <c r="E322" s="484">
        <f>IFERROR(IF(H322="BC",Tabella118[[#This Row],[composizione concatenata]],IF(H322="C",Tabella118[[#This Row],[composizione concatenata]],VLOOKUP(I322,$K$2:$O$7,5,FALSE))),+Tabella118[[#This Row],[composizione concatenata]])</f>
        <v/>
      </c>
      <c r="F322" s="944">
        <f>+_xlfn.IFNA(VLOOKUP(Tabella118[[#This Row],[Composizione alternativa per digitale]],Tabella118[[composizione concatenata]:[Euro/Mq]],2,FALSE),VLOOKUP(H322,digitale[[ONDA]:[Fornitore]],3,FALSE))</f>
        <v/>
      </c>
      <c r="G322" s="484" t="n"/>
      <c r="H322" s="484">
        <f>IF(MID(A322, FIND("/", A322, FIND("/", A322) + 1) + 1, 2)="A","C",MID(A322, FIND("/", A322, FIND("/", A322) + 1) + 1, 2))</f>
        <v/>
      </c>
      <c r="I322" s="486">
        <f>TRIM(H322)</f>
        <v/>
      </c>
    </row>
    <row r="323" ht="15" customHeight="1">
      <c r="A323" s="484" t="inlineStr">
        <is>
          <t>KMFMK/34242/EB</t>
        </is>
      </c>
      <c r="B323" s="484">
        <f>+_xlfn.CONCAT(Tabella118[[#This Row],[Composizione]], " - ", Tabella118[[#This Row],[Fornitore]])</f>
        <v/>
      </c>
      <c r="C323" s="943" t="n">
        <v>0.445</v>
      </c>
      <c r="D323" s="484" t="inlineStr">
        <is>
          <t>Giusti</t>
        </is>
      </c>
      <c r="E323" s="484">
        <f>IFERROR(IF(H323="BC",Tabella118[[#This Row],[composizione concatenata]],IF(H323="C",Tabella118[[#This Row],[composizione concatenata]],VLOOKUP(I323,$K$2:$O$7,5,FALSE))),+Tabella118[[#This Row],[composizione concatenata]])</f>
        <v/>
      </c>
      <c r="F323" s="944">
        <f>+_xlfn.IFNA(VLOOKUP(Tabella118[[#This Row],[Composizione alternativa per digitale]],Tabella118[[composizione concatenata]:[Euro/Mq]],2,FALSE),VLOOKUP(H323,digitale[[ONDA]:[Fornitore]],3,FALSE))</f>
        <v/>
      </c>
      <c r="G323" s="484" t="n"/>
      <c r="H323" s="484">
        <f>IF(MID(A323, FIND("/", A323, FIND("/", A323) + 1) + 1, 2)="A","C",MID(A323, FIND("/", A323, FIND("/", A323) + 1) + 1, 2))</f>
        <v/>
      </c>
      <c r="I323" s="486">
        <f>TRIM(H323)</f>
        <v/>
      </c>
    </row>
    <row r="324" ht="15" customHeight="1">
      <c r="A324" s="484" t="inlineStr">
        <is>
          <t>KMFMK/34243/BC</t>
        </is>
      </c>
      <c r="B324" s="484">
        <f>+_xlfn.CONCAT(Tabella118[[#This Row],[Composizione]], " - ", Tabella118[[#This Row],[Fornitore]])</f>
        <v/>
      </c>
      <c r="C324" s="943" t="n">
        <v>0.478</v>
      </c>
      <c r="D324" s="484" t="inlineStr">
        <is>
          <t>Giusti</t>
        </is>
      </c>
      <c r="E324" s="484">
        <f>IFERROR(IF(H324="BC",Tabella118[[#This Row],[composizione concatenata]],IF(H324="C",Tabella118[[#This Row],[composizione concatenata]],VLOOKUP(I324,$K$2:$O$7,5,FALSE))),+Tabella118[[#This Row],[composizione concatenata]])</f>
        <v/>
      </c>
      <c r="F324" s="944">
        <f>+_xlfn.IFNA(VLOOKUP(Tabella118[[#This Row],[Composizione alternativa per digitale]],Tabella118[[composizione concatenata]:[Euro/Mq]],2,FALSE),VLOOKUP(H324,digitale[[ONDA]:[Fornitore]],3,FALSE))</f>
        <v/>
      </c>
      <c r="G324" s="484" t="n"/>
      <c r="H324" s="484">
        <f>IF(MID(A324, FIND("/", A324, FIND("/", A324) + 1) + 1, 2)="A","C",MID(A324, FIND("/", A324, FIND("/", A324) + 1) + 1, 2))</f>
        <v/>
      </c>
      <c r="I324" s="486">
        <f>TRIM(H324)</f>
        <v/>
      </c>
    </row>
    <row r="325" ht="15" customHeight="1">
      <c r="A325" s="484" t="inlineStr">
        <is>
          <t>KMFMK/34243/EB</t>
        </is>
      </c>
      <c r="B325" s="484">
        <f>+_xlfn.CONCAT(Tabella118[[#This Row],[Composizione]], " - ", Tabella118[[#This Row],[Fornitore]])</f>
        <v/>
      </c>
      <c r="C325" s="943" t="n">
        <v>0.458</v>
      </c>
      <c r="D325" s="484" t="inlineStr">
        <is>
          <t>Giusti</t>
        </is>
      </c>
      <c r="E325" s="484">
        <f>IFERROR(IF(H325="BC",Tabella118[[#This Row],[composizione concatenata]],IF(H325="C",Tabella118[[#This Row],[composizione concatenata]],VLOOKUP(I325,$K$2:$O$7,5,FALSE))),+Tabella118[[#This Row],[composizione concatenata]])</f>
        <v/>
      </c>
      <c r="F325" s="944">
        <f>+_xlfn.IFNA(VLOOKUP(Tabella118[[#This Row],[Composizione alternativa per digitale]],Tabella118[[composizione concatenata]:[Euro/Mq]],2,FALSE),VLOOKUP(H325,digitale[[ONDA]:[Fornitore]],3,FALSE))</f>
        <v/>
      </c>
      <c r="G325" s="484" t="n"/>
      <c r="H325" s="484">
        <f>IF(MID(A325, FIND("/", A325, FIND("/", A325) + 1) + 1, 2)="A","C",MID(A325, FIND("/", A325, FIND("/", A325) + 1) + 1, 2))</f>
        <v/>
      </c>
      <c r="I325" s="486">
        <f>TRIM(H325)</f>
        <v/>
      </c>
    </row>
    <row r="326" ht="15" customHeight="1">
      <c r="A326" s="484" t="inlineStr">
        <is>
          <t>KMFMK/36263/BC</t>
        </is>
      </c>
      <c r="B326" s="484">
        <f>+_xlfn.CONCAT(Tabella118[[#This Row],[Composizione]], " - ", Tabella118[[#This Row],[Fornitore]])</f>
        <v/>
      </c>
      <c r="C326" s="943" t="n">
        <v>0.5</v>
      </c>
      <c r="D326" s="484" t="inlineStr">
        <is>
          <t>Giusti</t>
        </is>
      </c>
      <c r="E326" s="484">
        <f>IFERROR(IF(H326="BC",Tabella118[[#This Row],[composizione concatenata]],IF(H326="C",Tabella118[[#This Row],[composizione concatenata]],VLOOKUP(I326,$K$2:$O$7,5,FALSE))),+Tabella118[[#This Row],[composizione concatenata]])</f>
        <v/>
      </c>
      <c r="F326" s="944">
        <f>+_xlfn.IFNA(VLOOKUP(Tabella118[[#This Row],[Composizione alternativa per digitale]],Tabella118[[composizione concatenata]:[Euro/Mq]],2,FALSE),VLOOKUP(H326,digitale[[ONDA]:[Fornitore]],3,FALSE))</f>
        <v/>
      </c>
      <c r="G326" s="484" t="n"/>
      <c r="H326" s="484">
        <f>IF(MID(A326, FIND("/", A326, FIND("/", A326) + 1) + 1, 2)="A","C",MID(A326, FIND("/", A326, FIND("/", A326) + 1) + 1, 2))</f>
        <v/>
      </c>
      <c r="I326" s="486">
        <f>TRIM(H326)</f>
        <v/>
      </c>
    </row>
    <row r="327" ht="15" customHeight="1">
      <c r="A327" s="484" t="inlineStr">
        <is>
          <t>KMFMK/36263/EB</t>
        </is>
      </c>
      <c r="B327" s="484">
        <f>+_xlfn.CONCAT(Tabella118[[#This Row],[Composizione]], " - ", Tabella118[[#This Row],[Fornitore]])</f>
        <v/>
      </c>
      <c r="C327" s="943" t="n">
        <v>0.488</v>
      </c>
      <c r="D327" s="484" t="inlineStr">
        <is>
          <t>Giusti</t>
        </is>
      </c>
      <c r="E327" s="484">
        <f>IFERROR(IF(H327="BC",Tabella118[[#This Row],[composizione concatenata]],IF(H327="C",Tabella118[[#This Row],[composizione concatenata]],VLOOKUP(I327,$K$2:$O$7,5,FALSE))),+Tabella118[[#This Row],[composizione concatenata]])</f>
        <v/>
      </c>
      <c r="F327" s="944">
        <f>+_xlfn.IFNA(VLOOKUP(Tabella118[[#This Row],[Composizione alternativa per digitale]],Tabella118[[composizione concatenata]:[Euro/Mq]],2,FALSE),VLOOKUP(H327,digitale[[ONDA]:[Fornitore]],3,FALSE))</f>
        <v/>
      </c>
      <c r="G327" s="484" t="n"/>
      <c r="H327" s="484">
        <f>IF(MID(A327, FIND("/", A327, FIND("/", A327) + 1) + 1, 2)="A","C",MID(A327, FIND("/", A327, FIND("/", A327) + 1) + 1, 2))</f>
        <v/>
      </c>
      <c r="I327" s="486">
        <f>TRIM(H327)</f>
        <v/>
      </c>
    </row>
    <row r="328" ht="15" customHeight="1">
      <c r="A328" s="484" t="inlineStr">
        <is>
          <t>KMFMK/44242/EB</t>
        </is>
      </c>
      <c r="B328" s="484">
        <f>+_xlfn.CONCAT(Tabella118[[#This Row],[Composizione]], " - ", Tabella118[[#This Row],[Fornitore]])</f>
        <v/>
      </c>
      <c r="C328" s="943" t="n">
        <v>0.48</v>
      </c>
      <c r="D328" s="484" t="inlineStr">
        <is>
          <t xml:space="preserve">Ds Smith </t>
        </is>
      </c>
      <c r="E328" s="484">
        <f>IFERROR(IF(H328="BC",Tabella118[[#This Row],[composizione concatenata]],IF(H328="C",Tabella118[[#This Row],[composizione concatenata]],VLOOKUP(I328,$K$2:$O$7,5,FALSE))),+Tabella118[[#This Row],[composizione concatenata]])</f>
        <v/>
      </c>
      <c r="F328" s="943">
        <f>+_xlfn.IFNA(VLOOKUP(Tabella118[[#This Row],[Composizione alternativa per digitale]],Tabella118[[composizione concatenata]:[Euro/Mq]],2,FALSE),VLOOKUP(H328,digitale[[ONDA]:[Fornitore]],3,FALSE))</f>
        <v/>
      </c>
      <c r="G328" s="484" t="n"/>
      <c r="H328" s="484">
        <f>IF(MID(A328, FIND("/", A328, FIND("/", A328) + 1) + 1, 2)="A","C",MID(A328, FIND("/", A328, FIND("/", A328) + 1) + 1, 2))</f>
        <v/>
      </c>
      <c r="I328" s="486">
        <f>TRIM(H328)</f>
        <v/>
      </c>
    </row>
    <row r="329" ht="15" customHeight="1">
      <c r="A329" s="484" t="inlineStr">
        <is>
          <t>KMFMT/24242/BC</t>
        </is>
      </c>
      <c r="B329" s="484">
        <f>+_xlfn.CONCAT(Tabella118[[#This Row],[Composizione]], " - ", Tabella118[[#This Row],[Fornitore]])</f>
        <v/>
      </c>
      <c r="C329" s="943" t="n">
        <v>0.435</v>
      </c>
      <c r="D329" s="484" t="inlineStr">
        <is>
          <t xml:space="preserve">Ds Smith </t>
        </is>
      </c>
      <c r="E329" s="484">
        <f>IFERROR(IF(H329="BC",Tabella118[[#This Row],[composizione concatenata]],IF(H329="C",Tabella118[[#This Row],[composizione concatenata]],VLOOKUP(I329,$K$2:$O$7,5,FALSE))),+Tabella118[[#This Row],[composizione concatenata]])</f>
        <v/>
      </c>
      <c r="F329" s="943">
        <f>+_xlfn.IFNA(VLOOKUP(Tabella118[[#This Row],[Composizione alternativa per digitale]],Tabella118[[composizione concatenata]:[Euro/Mq]],2,FALSE),VLOOKUP(H329,digitale[[ONDA]:[Fornitore]],3,FALSE))</f>
        <v/>
      </c>
      <c r="G329" s="484" t="n"/>
      <c r="H329" s="484">
        <f>IF(MID(A329, FIND("/", A329, FIND("/", A329) + 1) + 1, 2)="A","C",MID(A329, FIND("/", A329, FIND("/", A329) + 1) + 1, 2))</f>
        <v/>
      </c>
      <c r="I329" s="486">
        <f>TRIM(H329)</f>
        <v/>
      </c>
    </row>
    <row r="330" ht="15" customHeight="1">
      <c r="A330" s="484" t="inlineStr">
        <is>
          <t>KMFMT/24242/BC</t>
        </is>
      </c>
      <c r="B330" s="484">
        <f>+_xlfn.CONCAT(Tabella118[[#This Row],[Composizione]], " - ", Tabella118[[#This Row],[Fornitore]])</f>
        <v/>
      </c>
      <c r="C330" s="943" t="n">
        <v>0.428</v>
      </c>
      <c r="D330" s="484" t="inlineStr">
        <is>
          <t>Giusti</t>
        </is>
      </c>
      <c r="E330" s="484">
        <f>IFERROR(IF(H330="BC",Tabella118[[#This Row],[composizione concatenata]],IF(H330="C",Tabella118[[#This Row],[composizione concatenata]],VLOOKUP(I330,$K$2:$O$7,5,FALSE))),+Tabella118[[#This Row],[composizione concatenata]])</f>
        <v/>
      </c>
      <c r="F330" s="944">
        <f>+_xlfn.IFNA(VLOOKUP(Tabella118[[#This Row],[Composizione alternativa per digitale]],Tabella118[[composizione concatenata]:[Euro/Mq]],2,FALSE),VLOOKUP(H330,digitale[[ONDA]:[Fornitore]],3,FALSE))</f>
        <v/>
      </c>
      <c r="G330" s="484" t="n"/>
      <c r="H330" s="484">
        <f>IF(MID(A330, FIND("/", A330, FIND("/", A330) + 1) + 1, 2)="A","C",MID(A330, FIND("/", A330, FIND("/", A330) + 1) + 1, 2))</f>
        <v/>
      </c>
      <c r="I330" s="486">
        <f>TRIM(H330)</f>
        <v/>
      </c>
    </row>
    <row r="331" ht="15" customHeight="1">
      <c r="A331" s="483" t="inlineStr">
        <is>
          <t>KMFMT/24242/BC</t>
        </is>
      </c>
      <c r="B331" s="484">
        <f>+_xlfn.CONCAT(Tabella118[[#This Row],[Composizione]], " - ", Tabella118[[#This Row],[Fornitore]])</f>
        <v/>
      </c>
      <c r="C331" s="950" t="n">
        <v>0.385</v>
      </c>
      <c r="D331" s="484" t="inlineStr">
        <is>
          <t>Cartstrong</t>
        </is>
      </c>
      <c r="E331" s="484">
        <f>IFERROR(IF(H331="BC",Tabella118[[#This Row],[composizione concatenata]],IF(H331="C",Tabella118[[#This Row],[composizione concatenata]],VLOOKUP(I331,$K$2:$O$7,5,FALSE))),+Tabella118[[#This Row],[composizione concatenata]])</f>
        <v/>
      </c>
      <c r="F331" s="943">
        <f>+_xlfn.IFNA(VLOOKUP(Tabella118[[#This Row],[Composizione alternativa per digitale]],Tabella118[[composizione concatenata]:[Euro/Mq]],2,FALSE),VLOOKUP(H331,digitale[[ONDA]:[Fornitore]],3,FALSE))</f>
        <v/>
      </c>
      <c r="G331" s="484" t="n"/>
      <c r="H331" s="484">
        <f>IF(MID(A331, FIND("/", A331, FIND("/", A331) + 1) + 1, 2)="A","C",MID(A331, FIND("/", A331, FIND("/", A331) + 1) + 1, 2))</f>
        <v/>
      </c>
      <c r="I331" s="486">
        <f>TRIM(H331)</f>
        <v/>
      </c>
    </row>
    <row r="332" ht="15" customHeight="1">
      <c r="A332" s="484" t="inlineStr">
        <is>
          <t>KMFMT/24242/EB</t>
        </is>
      </c>
      <c r="B332" s="484">
        <f>+_xlfn.CONCAT(Tabella118[[#This Row],[Composizione]], " - ", Tabella118[[#This Row],[Fornitore]])</f>
        <v/>
      </c>
      <c r="C332" s="943" t="n">
        <v>0.415</v>
      </c>
      <c r="D332" s="484" t="inlineStr">
        <is>
          <t xml:space="preserve">Ds Smith </t>
        </is>
      </c>
      <c r="E332" s="484">
        <f>IFERROR(IF(H332="BC",Tabella118[[#This Row],[composizione concatenata]],IF(H332="C",Tabella118[[#This Row],[composizione concatenata]],VLOOKUP(I332,$K$2:$O$7,5,FALSE))),+Tabella118[[#This Row],[composizione concatenata]])</f>
        <v/>
      </c>
      <c r="F332" s="943">
        <f>+_xlfn.IFNA(VLOOKUP(Tabella118[[#This Row],[Composizione alternativa per digitale]],Tabella118[[composizione concatenata]:[Euro/Mq]],2,FALSE),VLOOKUP(H332,digitale[[ONDA]:[Fornitore]],3,FALSE))</f>
        <v/>
      </c>
      <c r="G332" s="484" t="n"/>
      <c r="H332" s="484">
        <f>IF(MID(A332, FIND("/", A332, FIND("/", A332) + 1) + 1, 2)="A","C",MID(A332, FIND("/", A332, FIND("/", A332) + 1) + 1, 2))</f>
        <v/>
      </c>
      <c r="I332" s="486">
        <f>TRIM(H332)</f>
        <v/>
      </c>
    </row>
    <row r="333" ht="15" customHeight="1">
      <c r="A333" s="484" t="inlineStr">
        <is>
          <t>KMFMT/24242/EB</t>
        </is>
      </c>
      <c r="B333" s="484">
        <f>+_xlfn.CONCAT(Tabella118[[#This Row],[Composizione]], " - ", Tabella118[[#This Row],[Fornitore]])</f>
        <v/>
      </c>
      <c r="C333" s="943" t="n">
        <v>0.404</v>
      </c>
      <c r="D333" s="484" t="inlineStr">
        <is>
          <t>Giusti</t>
        </is>
      </c>
      <c r="E333" s="484">
        <f>IFERROR(IF(H333="BC",Tabella118[[#This Row],[composizione concatenata]],IF(H333="C",Tabella118[[#This Row],[composizione concatenata]],VLOOKUP(I333,$K$2:$O$7,5,FALSE))),+Tabella118[[#This Row],[composizione concatenata]])</f>
        <v/>
      </c>
      <c r="F333" s="944">
        <f>+_xlfn.IFNA(VLOOKUP(Tabella118[[#This Row],[Composizione alternativa per digitale]],Tabella118[[composizione concatenata]:[Euro/Mq]],2,FALSE),VLOOKUP(H333,digitale[[ONDA]:[Fornitore]],3,FALSE))</f>
        <v/>
      </c>
      <c r="G333" s="484" t="n"/>
      <c r="H333" s="484">
        <f>IF(MID(A333, FIND("/", A333, FIND("/", A333) + 1) + 1, 2)="A","C",MID(A333, FIND("/", A333, FIND("/", A333) + 1) + 1, 2))</f>
        <v/>
      </c>
      <c r="I333" s="486">
        <f>TRIM(H333)</f>
        <v/>
      </c>
    </row>
    <row r="334" ht="15" customHeight="1">
      <c r="A334" s="483" t="inlineStr">
        <is>
          <t>KMFMT/24242/EB</t>
        </is>
      </c>
      <c r="B334" s="484">
        <f>+_xlfn.CONCAT(Tabella118[[#This Row],[Composizione]], " - ", Tabella118[[#This Row],[Fornitore]])</f>
        <v/>
      </c>
      <c r="C334" s="950" t="n">
        <v>0.376</v>
      </c>
      <c r="D334" s="484" t="inlineStr">
        <is>
          <t>Cartstrong</t>
        </is>
      </c>
      <c r="E334" s="484">
        <f>IFERROR(IF(H334="BC",Tabella118[[#This Row],[composizione concatenata]],IF(H334="C",Tabella118[[#This Row],[composizione concatenata]],VLOOKUP(I334,$K$2:$O$7,5,FALSE))),+Tabella118[[#This Row],[composizione concatenata]])</f>
        <v/>
      </c>
      <c r="F334" s="943">
        <f>+_xlfn.IFNA(VLOOKUP(Tabella118[[#This Row],[Composizione alternativa per digitale]],Tabella118[[composizione concatenata]:[Euro/Mq]],2,FALSE),VLOOKUP(H334,digitale[[ONDA]:[Fornitore]],3,FALSE))</f>
        <v/>
      </c>
      <c r="G334" s="484" t="n"/>
      <c r="H334" s="484">
        <f>IF(MID(A334, FIND("/", A334, FIND("/", A334) + 1) + 1, 2)="A","C",MID(A334, FIND("/", A334, FIND("/", A334) + 1) + 1, 2))</f>
        <v/>
      </c>
      <c r="I334" s="486">
        <f>TRIM(H334)</f>
        <v/>
      </c>
    </row>
    <row r="335" ht="15" customHeight="1">
      <c r="A335" s="491" t="inlineStr">
        <is>
          <t>KMFMT/24242/EE</t>
        </is>
      </c>
      <c r="B335" s="484">
        <f>+_xlfn.CONCAT(Tabella118[[#This Row],[Composizione]], " - ", Tabella118[[#This Row],[Fornitore]])</f>
        <v/>
      </c>
      <c r="C335" s="943" t="n">
        <v>0.487</v>
      </c>
      <c r="D335" s="484" t="inlineStr">
        <is>
          <t>Santerno</t>
        </is>
      </c>
      <c r="E335" s="484">
        <f>IFERROR(IF(H335="BC",Tabella118[[#This Row],[composizione concatenata]],IF(H335="C",Tabella118[[#This Row],[composizione concatenata]],VLOOKUP(I335,$K$2:$O$7,5,FALSE))),+Tabella118[[#This Row],[composizione concatenata]])</f>
        <v/>
      </c>
      <c r="F335" s="943">
        <f>+_xlfn.IFNA(VLOOKUP(Tabella118[[#This Row],[Composizione alternativa per digitale]],Tabella118[[composizione concatenata]:[Euro/Mq]],2,FALSE),VLOOKUP(H335,digitale[[ONDA]:[Fornitore]],3,FALSE))</f>
        <v/>
      </c>
      <c r="G335" s="484" t="n"/>
      <c r="H335" s="484">
        <f>IF(MID(A335, FIND("/", A335, FIND("/", A335) + 1) + 1, 2)="A","C",MID(A335, FIND("/", A335, FIND("/", A335) + 1) + 1, 2))</f>
        <v/>
      </c>
      <c r="I335" s="486">
        <f>TRIM(H335)</f>
        <v/>
      </c>
    </row>
    <row r="336" ht="15" customHeight="1">
      <c r="A336" s="491" t="inlineStr">
        <is>
          <t>KMFMT/24242/EE + ACC.</t>
        </is>
      </c>
      <c r="B336" s="484">
        <f>+_xlfn.CONCAT(Tabella118[[#This Row],[Composizione]], " - ", Tabella118[[#This Row],[Fornitore]])</f>
        <v/>
      </c>
      <c r="C336" s="943" t="n">
        <v>0.5570000000000001</v>
      </c>
      <c r="D336" s="484" t="inlineStr">
        <is>
          <t>Santerno</t>
        </is>
      </c>
      <c r="E336" s="484">
        <f>IFERROR(IF(H336="BC",Tabella118[[#This Row],[composizione concatenata]],IF(H336="C",Tabella118[[#This Row],[composizione concatenata]],VLOOKUP(I336,$K$2:$O$7,5,FALSE))),+Tabella118[[#This Row],[composizione concatenata]])</f>
        <v/>
      </c>
      <c r="F336" s="943">
        <f>+_xlfn.IFNA(VLOOKUP(Tabella118[[#This Row],[Composizione alternativa per digitale]],Tabella118[[composizione concatenata]:[Euro/Mq]],2,FALSE),VLOOKUP(H336,digitale[[ONDA]:[Fornitore]],3,FALSE))</f>
        <v/>
      </c>
      <c r="G336" s="484" t="n"/>
      <c r="H336" s="484">
        <f>IF(MID(A336, FIND("/", A336, FIND("/", A336) + 1) + 1, 2)="A","C",MID(A336, FIND("/", A336, FIND("/", A336) + 1) + 1, 2))</f>
        <v/>
      </c>
      <c r="I336" s="486">
        <f>TRIM(H336)</f>
        <v/>
      </c>
    </row>
    <row r="337" ht="15" customHeight="1">
      <c r="A337" s="484" t="inlineStr">
        <is>
          <t>KMFMT/26262/EB</t>
        </is>
      </c>
      <c r="B337" s="484">
        <f>+_xlfn.CONCAT(Tabella118[[#This Row],[Composizione]], " - ", Tabella118[[#This Row],[Fornitore]])</f>
        <v/>
      </c>
      <c r="C337" s="943" t="n">
        <v>0.449</v>
      </c>
      <c r="D337" s="484" t="inlineStr">
        <is>
          <t>Giusti</t>
        </is>
      </c>
      <c r="E337" s="484">
        <f>IFERROR(IF(H337="BC",Tabella118[[#This Row],[composizione concatenata]],IF(H337="C",Tabella118[[#This Row],[composizione concatenata]],VLOOKUP(I337,$K$2:$O$7,5,FALSE))),+Tabella118[[#This Row],[composizione concatenata]])</f>
        <v/>
      </c>
      <c r="F337" s="944">
        <f>+_xlfn.IFNA(VLOOKUP(Tabella118[[#This Row],[Composizione alternativa per digitale]],Tabella118[[composizione concatenata]:[Euro/Mq]],2,FALSE),VLOOKUP(H337,digitale[[ONDA]:[Fornitore]],3,FALSE))</f>
        <v/>
      </c>
      <c r="G337" s="484" t="n"/>
      <c r="H337" s="484">
        <f>IF(MID(A337, FIND("/", A337, FIND("/", A337) + 1) + 1, 2)="A","C",MID(A337, FIND("/", A337, FIND("/", A337) + 1) + 1, 2))</f>
        <v/>
      </c>
      <c r="I337" s="486">
        <f>TRIM(H337)</f>
        <v/>
      </c>
    </row>
    <row r="338" ht="15" customHeight="1">
      <c r="A338" s="484" t="inlineStr">
        <is>
          <t>KMFMT/26262/EB</t>
        </is>
      </c>
      <c r="B338" s="484">
        <f>+_xlfn.CONCAT(Tabella118[[#This Row],[Composizione]], " - ", Tabella118[[#This Row],[Fornitore]])</f>
        <v/>
      </c>
      <c r="C338" s="943" t="n">
        <v>0.43</v>
      </c>
      <c r="D338" s="484" t="inlineStr">
        <is>
          <t xml:space="preserve">Ds Smith </t>
        </is>
      </c>
      <c r="E338" s="484">
        <f>IFERROR(IF(H338="BC",Tabella118[[#This Row],[composizione concatenata]],IF(H338="C",Tabella118[[#This Row],[composizione concatenata]],VLOOKUP(I338,$K$2:$O$7,5,FALSE))),+Tabella118[[#This Row],[composizione concatenata]])</f>
        <v/>
      </c>
      <c r="F338" s="943">
        <f>+_xlfn.IFNA(VLOOKUP(Tabella118[[#This Row],[Composizione alternativa per digitale]],Tabella118[[composizione concatenata]:[Euro/Mq]],2,FALSE),VLOOKUP(H338,digitale[[ONDA]:[Fornitore]],3,FALSE))</f>
        <v/>
      </c>
      <c r="G338" s="484" t="n"/>
      <c r="H338" s="484">
        <f>IF(MID(A338, FIND("/", A338, FIND("/", A338) + 1) + 1, 2)="A","C",MID(A338, FIND("/", A338, FIND("/", A338) + 1) + 1, 2))</f>
        <v/>
      </c>
      <c r="I338" s="486">
        <f>TRIM(H338)</f>
        <v/>
      </c>
    </row>
    <row r="339" ht="15" customHeight="1">
      <c r="A339" s="484" t="inlineStr">
        <is>
          <t>KMFMT/34242/BC</t>
        </is>
      </c>
      <c r="B339" s="484">
        <f>+_xlfn.CONCAT(Tabella118[[#This Row],[Composizione]], " - ", Tabella118[[#This Row],[Fornitore]])</f>
        <v/>
      </c>
      <c r="C339" s="943" t="n">
        <v>0.432</v>
      </c>
      <c r="D339" s="484" t="inlineStr">
        <is>
          <t>Giusti</t>
        </is>
      </c>
      <c r="E339" s="484">
        <f>IFERROR(IF(H339="BC",Tabella118[[#This Row],[composizione concatenata]],IF(H339="C",Tabella118[[#This Row],[composizione concatenata]],VLOOKUP(I339,$K$2:$O$7,5,FALSE))),+Tabella118[[#This Row],[composizione concatenata]])</f>
        <v/>
      </c>
      <c r="F339" s="944">
        <f>+_xlfn.IFNA(VLOOKUP(Tabella118[[#This Row],[Composizione alternativa per digitale]],Tabella118[[composizione concatenata]:[Euro/Mq]],2,FALSE),VLOOKUP(H339,digitale[[ONDA]:[Fornitore]],3,FALSE))</f>
        <v/>
      </c>
      <c r="G339" s="484" t="n"/>
      <c r="H339" s="484">
        <f>IF(MID(A339, FIND("/", A339, FIND("/", A339) + 1) + 1, 2)="A","C",MID(A339, FIND("/", A339, FIND("/", A339) + 1) + 1, 2))</f>
        <v/>
      </c>
      <c r="I339" s="486">
        <f>TRIM(H339)</f>
        <v/>
      </c>
    </row>
    <row r="340" ht="15" customHeight="1">
      <c r="A340" s="484" t="inlineStr">
        <is>
          <t>KMFMT/34242/EB</t>
        </is>
      </c>
      <c r="B340" s="484">
        <f>+_xlfn.CONCAT(Tabella118[[#This Row],[Composizione]], " - ", Tabella118[[#This Row],[Fornitore]])</f>
        <v/>
      </c>
      <c r="C340" s="943" t="n">
        <v>0.418</v>
      </c>
      <c r="D340" s="484" t="inlineStr">
        <is>
          <t>Giusti</t>
        </is>
      </c>
      <c r="E340" s="484">
        <f>IFERROR(IF(H340="BC",Tabella118[[#This Row],[composizione concatenata]],IF(H340="C",Tabella118[[#This Row],[composizione concatenata]],VLOOKUP(I340,$K$2:$O$7,5,FALSE))),+Tabella118[[#This Row],[composizione concatenata]])</f>
        <v/>
      </c>
      <c r="F340" s="944">
        <f>+_xlfn.IFNA(VLOOKUP(Tabella118[[#This Row],[Composizione alternativa per digitale]],Tabella118[[composizione concatenata]:[Euro/Mq]],2,FALSE),VLOOKUP(H340,digitale[[ONDA]:[Fornitore]],3,FALSE))</f>
        <v/>
      </c>
      <c r="G340" s="484" t="n"/>
      <c r="H340" s="484">
        <f>IF(MID(A340, FIND("/", A340, FIND("/", A340) + 1) + 1, 2)="A","C",MID(A340, FIND("/", A340, FIND("/", A340) + 1) + 1, 2))</f>
        <v/>
      </c>
      <c r="I340" s="486">
        <f>TRIM(H340)</f>
        <v/>
      </c>
    </row>
    <row r="341" ht="15" customHeight="1">
      <c r="A341" s="484" t="inlineStr">
        <is>
          <t>KMFMT/34243/BC</t>
        </is>
      </c>
      <c r="B341" s="484">
        <f>+_xlfn.CONCAT(Tabella118[[#This Row],[Composizione]], " - ", Tabella118[[#This Row],[Fornitore]])</f>
        <v/>
      </c>
      <c r="C341" s="943" t="n">
        <v>0.455</v>
      </c>
      <c r="D341" s="484" t="inlineStr">
        <is>
          <t>Giusti</t>
        </is>
      </c>
      <c r="E341" s="484">
        <f>IFERROR(IF(H341="BC",Tabella118[[#This Row],[composizione concatenata]],IF(H341="C",Tabella118[[#This Row],[composizione concatenata]],VLOOKUP(I341,$K$2:$O$7,5,FALSE))),+Tabella118[[#This Row],[composizione concatenata]])</f>
        <v/>
      </c>
      <c r="F341" s="944">
        <f>+_xlfn.IFNA(VLOOKUP(Tabella118[[#This Row],[Composizione alternativa per digitale]],Tabella118[[composizione concatenata]:[Euro/Mq]],2,FALSE),VLOOKUP(H341,digitale[[ONDA]:[Fornitore]],3,FALSE))</f>
        <v/>
      </c>
      <c r="G341" s="484" t="n"/>
      <c r="H341" s="484">
        <f>IF(MID(A341, FIND("/", A341, FIND("/", A341) + 1) + 1, 2)="A","C",MID(A341, FIND("/", A341, FIND("/", A341) + 1) + 1, 2))</f>
        <v/>
      </c>
      <c r="I341" s="486">
        <f>TRIM(H341)</f>
        <v/>
      </c>
    </row>
    <row r="342" ht="15" customHeight="1">
      <c r="A342" s="484" t="inlineStr">
        <is>
          <t>KMFMT/34243/EB</t>
        </is>
      </c>
      <c r="B342" s="484">
        <f>+_xlfn.CONCAT(Tabella118[[#This Row],[Composizione]], " - ", Tabella118[[#This Row],[Fornitore]])</f>
        <v/>
      </c>
      <c r="C342" s="943" t="n">
        <v>0.44</v>
      </c>
      <c r="D342" s="484" t="inlineStr">
        <is>
          <t>Giusti</t>
        </is>
      </c>
      <c r="E342" s="484">
        <f>IFERROR(IF(H342="BC",Tabella118[[#This Row],[composizione concatenata]],IF(H342="C",Tabella118[[#This Row],[composizione concatenata]],VLOOKUP(I342,$K$2:$O$7,5,FALSE))),+Tabella118[[#This Row],[composizione concatenata]])</f>
        <v/>
      </c>
      <c r="F342" s="944">
        <f>+_xlfn.IFNA(VLOOKUP(Tabella118[[#This Row],[Composizione alternativa per digitale]],Tabella118[[composizione concatenata]:[Euro/Mq]],2,FALSE),VLOOKUP(H342,digitale[[ONDA]:[Fornitore]],3,FALSE))</f>
        <v/>
      </c>
      <c r="G342" s="484" t="n"/>
      <c r="H342" s="484">
        <f>IF(MID(A342, FIND("/", A342, FIND("/", A342) + 1) + 1, 2)="A","C",MID(A342, FIND("/", A342, FIND("/", A342) + 1) + 1, 2))</f>
        <v/>
      </c>
      <c r="I342" s="486">
        <f>TRIM(H342)</f>
        <v/>
      </c>
    </row>
    <row r="343" ht="15" customHeight="1">
      <c r="A343" s="484" t="inlineStr">
        <is>
          <t>KMK/242/B</t>
        </is>
      </c>
      <c r="B343" s="484">
        <f>+_xlfn.CONCAT(Tabella118[[#This Row],[Composizione]], " - ", Tabella118[[#This Row],[Fornitore]])</f>
        <v/>
      </c>
      <c r="C343" s="943" t="n">
        <v>0.292</v>
      </c>
      <c r="D343" s="484" t="inlineStr">
        <is>
          <t>Giusti</t>
        </is>
      </c>
      <c r="E343" s="484">
        <f>IFERROR(IF(H343="BC",Tabella118[[#This Row],[composizione concatenata]],IF(H343="C",Tabella118[[#This Row],[composizione concatenata]],VLOOKUP(I343,$K$2:$O$7,5,FALSE))),+Tabella118[[#This Row],[composizione concatenata]])</f>
        <v/>
      </c>
      <c r="F343" s="944">
        <f>+_xlfn.IFNA(VLOOKUP(Tabella118[[#This Row],[Composizione alternativa per digitale]],Tabella118[[composizione concatenata]:[Euro/Mq]],2,FALSE),VLOOKUP(H343,digitale[[ONDA]:[Fornitore]],3,FALSE))</f>
        <v/>
      </c>
      <c r="G343" s="484" t="n"/>
      <c r="H343" s="484">
        <f>IF(MID(A343, FIND("/", A343, FIND("/", A343) + 1) + 1, 2)="A","C",MID(A343, FIND("/", A343, FIND("/", A343) + 1) + 1, 2))</f>
        <v/>
      </c>
      <c r="I343" s="486">
        <f>TRIM(H343)</f>
        <v/>
      </c>
    </row>
    <row r="344" ht="15" customHeight="1">
      <c r="A344" s="484" t="inlineStr">
        <is>
          <t>KMK/242/C</t>
        </is>
      </c>
      <c r="B344" s="484">
        <f>+_xlfn.CONCAT(Tabella118[[#This Row],[Composizione]], " - ", Tabella118[[#This Row],[Fornitore]])</f>
        <v/>
      </c>
      <c r="C344" s="943" t="n">
        <v>0.297</v>
      </c>
      <c r="D344" s="484" t="inlineStr">
        <is>
          <t>Giusti</t>
        </is>
      </c>
      <c r="E344" s="484">
        <f>IFERROR(IF(H344="BC",Tabella118[[#This Row],[composizione concatenata]],IF(H344="C",Tabella118[[#This Row],[composizione concatenata]],VLOOKUP(I344,$K$2:$O$7,5,FALSE))),+Tabella118[[#This Row],[composizione concatenata]])</f>
        <v/>
      </c>
      <c r="F344" s="944">
        <f>+_xlfn.IFNA(VLOOKUP(Tabella118[[#This Row],[Composizione alternativa per digitale]],Tabella118[[composizione concatenata]:[Euro/Mq]],2,FALSE),VLOOKUP(H344,digitale[[ONDA]:[Fornitore]],3,FALSE))</f>
        <v/>
      </c>
      <c r="G344" s="484" t="n"/>
      <c r="H344" s="484">
        <f>IF(MID(A344, FIND("/", A344, FIND("/", A344) + 1) + 1, 2)="A","C",MID(A344, FIND("/", A344, FIND("/", A344) + 1) + 1, 2))</f>
        <v/>
      </c>
      <c r="I344" s="486">
        <f>TRIM(H344)</f>
        <v/>
      </c>
    </row>
    <row r="345" ht="15" customHeight="1">
      <c r="A345" s="484" t="inlineStr">
        <is>
          <t>KMK/242/E</t>
        </is>
      </c>
      <c r="B345" s="484">
        <f>+_xlfn.CONCAT(Tabella118[[#This Row],[Composizione]], " - ", Tabella118[[#This Row],[Fornitore]])</f>
        <v/>
      </c>
      <c r="C345" s="943" t="n">
        <v>0.34</v>
      </c>
      <c r="D345" s="484" t="inlineStr">
        <is>
          <t xml:space="preserve">Ds Smith </t>
        </is>
      </c>
      <c r="E345" s="484">
        <f>IFERROR(IF(H345="BC",Tabella118[[#This Row],[composizione concatenata]],IF(H345="C",Tabella118[[#This Row],[composizione concatenata]],VLOOKUP(I345,$K$2:$O$7,5,FALSE))),+Tabella118[[#This Row],[composizione concatenata]])</f>
        <v/>
      </c>
      <c r="F345" s="943">
        <f>+_xlfn.IFNA(VLOOKUP(Tabella118[[#This Row],[Composizione alternativa per digitale]],Tabella118[[composizione concatenata]:[Euro/Mq]],2,FALSE),VLOOKUP(H345,digitale[[ONDA]:[Fornitore]],3,FALSE))</f>
        <v/>
      </c>
      <c r="G345" s="484" t="n"/>
      <c r="H345" s="484">
        <f>IF(MID(A345, FIND("/", A345, FIND("/", A345) + 1) + 1, 2)="A","C",MID(A345, FIND("/", A345, FIND("/", A345) + 1) + 1, 2))</f>
        <v/>
      </c>
      <c r="I345" s="486">
        <f>TRIM(H345)</f>
        <v/>
      </c>
    </row>
    <row r="346" ht="15" customHeight="1">
      <c r="A346" s="484" t="inlineStr">
        <is>
          <t>KMK/242/E</t>
        </is>
      </c>
      <c r="B346" s="484">
        <f>+_xlfn.CONCAT(Tabella118[[#This Row],[Composizione]], " - ", Tabella118[[#This Row],[Fornitore]])</f>
        <v/>
      </c>
      <c r="C346" s="943" t="n">
        <v>0.31</v>
      </c>
      <c r="D346" s="484" t="inlineStr">
        <is>
          <t>FEPA</t>
        </is>
      </c>
      <c r="E346" s="484">
        <f>IFERROR(IF(H346="BC",Tabella118[[#This Row],[composizione concatenata]],IF(H346="C",Tabella118[[#This Row],[composizione concatenata]],VLOOKUP(I346,$K$2:$O$7,5,FALSE))),+Tabella118[[#This Row],[composizione concatenata]])</f>
        <v/>
      </c>
      <c r="F346" s="944">
        <f>+_xlfn.IFNA(VLOOKUP(Tabella118[[#This Row],[Composizione alternativa per digitale]],Tabella118[[composizione concatenata]:[Euro/Mq]],2,FALSE),VLOOKUP(H346,digitale[[ONDA]:[Fornitore]],3,FALSE))</f>
        <v/>
      </c>
      <c r="G346" s="484" t="n"/>
      <c r="H346" s="484">
        <f>IF(MID(A346, FIND("/", A346, FIND("/", A346) + 1) + 1, 2)="A","C",MID(A346, FIND("/", A346, FIND("/", A346) + 1) + 1, 2))</f>
        <v/>
      </c>
      <c r="I346" s="486">
        <f>TRIM(H346)</f>
        <v/>
      </c>
    </row>
    <row r="347" ht="15" customHeight="1">
      <c r="A347" s="484" t="inlineStr">
        <is>
          <t>KMK/242/E</t>
        </is>
      </c>
      <c r="B347" s="484">
        <f>+_xlfn.CONCAT(Tabella118[[#This Row],[Composizione]], " - ", Tabella118[[#This Row],[Fornitore]])</f>
        <v/>
      </c>
      <c r="C347" s="943" t="n">
        <v>0.287</v>
      </c>
      <c r="D347" s="484" t="inlineStr">
        <is>
          <t>Giusti</t>
        </is>
      </c>
      <c r="E347" s="484">
        <f>IFERROR(IF(H347="BC",Tabella118[[#This Row],[composizione concatenata]],IF(H347="C",Tabella118[[#This Row],[composizione concatenata]],VLOOKUP(I347,$K$2:$O$7,5,FALSE))),+Tabella118[[#This Row],[composizione concatenata]])</f>
        <v/>
      </c>
      <c r="F347" s="944">
        <f>+_xlfn.IFNA(VLOOKUP(Tabella118[[#This Row],[Composizione alternativa per digitale]],Tabella118[[composizione concatenata]:[Euro/Mq]],2,FALSE),VLOOKUP(H347,digitale[[ONDA]:[Fornitore]],3,FALSE))</f>
        <v/>
      </c>
      <c r="G347" s="484" t="n"/>
      <c r="H347" s="484">
        <f>IF(MID(A347, FIND("/", A347, FIND("/", A347) + 1) + 1, 2)="A","C",MID(A347, FIND("/", A347, FIND("/", A347) + 1) + 1, 2))</f>
        <v/>
      </c>
      <c r="I347" s="486">
        <f>TRIM(H347)</f>
        <v/>
      </c>
    </row>
    <row r="348" ht="15" customHeight="1">
      <c r="A348" s="483" t="inlineStr">
        <is>
          <t>KMK/242/E</t>
        </is>
      </c>
      <c r="B348" s="484">
        <f>+_xlfn.CONCAT(Tabella118[[#This Row],[Composizione]], " - ", Tabella118[[#This Row],[Fornitore]])</f>
        <v/>
      </c>
      <c r="C348" s="950" t="n">
        <v>0.266</v>
      </c>
      <c r="D348" s="484" t="inlineStr">
        <is>
          <t>Cartstrong</t>
        </is>
      </c>
      <c r="E348" s="484">
        <f>IFERROR(IF(H348="BC",Tabella118[[#This Row],[composizione concatenata]],IF(H348="C",Tabella118[[#This Row],[composizione concatenata]],VLOOKUP(I348,$K$2:$O$7,5,FALSE))),+Tabella118[[#This Row],[composizione concatenata]])</f>
        <v/>
      </c>
      <c r="F348" s="943">
        <f>+_xlfn.IFNA(VLOOKUP(Tabella118[[#This Row],[Composizione alternativa per digitale]],Tabella118[[composizione concatenata]:[Euro/Mq]],2,FALSE),VLOOKUP(H348,digitale[[ONDA]:[Fornitore]],3,FALSE))</f>
        <v/>
      </c>
      <c r="G348" s="484" t="n"/>
      <c r="H348" s="484">
        <f>IF(MID(A348, FIND("/", A348, FIND("/", A348) + 1) + 1, 2)="A","C",MID(A348, FIND("/", A348, FIND("/", A348) + 1) + 1, 2))</f>
        <v/>
      </c>
      <c r="I348" s="486">
        <f>TRIM(H348)</f>
        <v/>
      </c>
    </row>
    <row r="349" ht="15" customHeight="1">
      <c r="A349" s="491" t="inlineStr">
        <is>
          <t>KMK/242/F</t>
        </is>
      </c>
      <c r="B349" s="484">
        <f>+_xlfn.CONCAT(Tabella118[[#This Row],[Composizione]], " - ", Tabella118[[#This Row],[Fornitore]])</f>
        <v/>
      </c>
      <c r="C349" s="943" t="n">
        <v>0.385</v>
      </c>
      <c r="D349" s="484" t="inlineStr">
        <is>
          <t>Santerno</t>
        </is>
      </c>
      <c r="E349" s="484">
        <f>IFERROR(IF(H349="BC",Tabella118[[#This Row],[composizione concatenata]],IF(H349="C",Tabella118[[#This Row],[composizione concatenata]],VLOOKUP(I349,$K$2:$O$7,5,FALSE))),+Tabella118[[#This Row],[composizione concatenata]])</f>
        <v/>
      </c>
      <c r="F349" s="943">
        <f>+_xlfn.IFNA(VLOOKUP(Tabella118[[#This Row],[Composizione alternativa per digitale]],Tabella118[[composizione concatenata]:[Euro/Mq]],2,FALSE),VLOOKUP(H349,digitale[[ONDA]:[Fornitore]],3,FALSE))</f>
        <v/>
      </c>
      <c r="G349" s="484" t="n"/>
      <c r="H349" s="484">
        <f>IF(MID(A349, FIND("/", A349, FIND("/", A349) + 1) + 1, 2)="A","C",MID(A349, FIND("/", A349, FIND("/", A349) + 1) + 1, 2))</f>
        <v/>
      </c>
      <c r="I349" s="486">
        <f>TRIM(H349)</f>
        <v/>
      </c>
    </row>
    <row r="350" ht="15" customHeight="1">
      <c r="A350" s="491" t="inlineStr">
        <is>
          <t>KMK/242/F + ACC.</t>
        </is>
      </c>
      <c r="B350" s="484">
        <f>+_xlfn.CONCAT(Tabella118[[#This Row],[Composizione]], " - ", Tabella118[[#This Row],[Fornitore]])</f>
        <v/>
      </c>
      <c r="C350" s="943" t="n">
        <v>0.445</v>
      </c>
      <c r="D350" s="484" t="inlineStr">
        <is>
          <t>Santerno</t>
        </is>
      </c>
      <c r="E350" s="484">
        <f>IFERROR(IF(H350="BC",Tabella118[[#This Row],[composizione concatenata]],IF(H350="C",Tabella118[[#This Row],[composizione concatenata]],VLOOKUP(I350,$K$2:$O$7,5,FALSE))),+Tabella118[[#This Row],[composizione concatenata]])</f>
        <v/>
      </c>
      <c r="F350" s="943">
        <f>+_xlfn.IFNA(VLOOKUP(Tabella118[[#This Row],[Composizione alternativa per digitale]],Tabella118[[composizione concatenata]:[Euro/Mq]],2,FALSE),VLOOKUP(H350,digitale[[ONDA]:[Fornitore]],3,FALSE))</f>
        <v/>
      </c>
      <c r="G350" s="484" t="n"/>
      <c r="H350" s="484">
        <f>IF(MID(A350, FIND("/", A350, FIND("/", A350) + 1) + 1, 2)="A","C",MID(A350, FIND("/", A350, FIND("/", A350) + 1) + 1, 2))</f>
        <v/>
      </c>
      <c r="I350" s="486">
        <f>TRIM(H350)</f>
        <v/>
      </c>
    </row>
    <row r="351" ht="15" customHeight="1">
      <c r="A351" s="484" t="inlineStr">
        <is>
          <t>KMK/262/B</t>
        </is>
      </c>
      <c r="B351" s="484">
        <f>+_xlfn.CONCAT(Tabella118[[#This Row],[Composizione]], " - ", Tabella118[[#This Row],[Fornitore]])</f>
        <v/>
      </c>
      <c r="C351" s="943" t="n">
        <v>0.35</v>
      </c>
      <c r="D351" s="484" t="inlineStr">
        <is>
          <t xml:space="preserve">Ds Smith </t>
        </is>
      </c>
      <c r="E351" s="484">
        <f>IFERROR(IF(H351="BC",Tabella118[[#This Row],[composizione concatenata]],IF(H351="C",Tabella118[[#This Row],[composizione concatenata]],VLOOKUP(I351,$K$2:$O$7,5,FALSE))),+Tabella118[[#This Row],[composizione concatenata]])</f>
        <v/>
      </c>
      <c r="F351" s="943">
        <f>+_xlfn.IFNA(VLOOKUP(Tabella118[[#This Row],[Composizione alternativa per digitale]],Tabella118[[composizione concatenata]:[Euro/Mq]],2,FALSE),VLOOKUP(H351,digitale[[ONDA]:[Fornitore]],3,FALSE))</f>
        <v/>
      </c>
      <c r="G351" s="484" t="n"/>
      <c r="H351" s="484">
        <f>IF(MID(A351, FIND("/", A351, FIND("/", A351) + 1) + 1, 2)="A","C",MID(A351, FIND("/", A351, FIND("/", A351) + 1) + 1, 2))</f>
        <v/>
      </c>
      <c r="I351" s="486">
        <f>TRIM(H351)</f>
        <v/>
      </c>
    </row>
    <row r="352" ht="15" customHeight="1">
      <c r="A352" s="484" t="inlineStr">
        <is>
          <t>KMK/262/C</t>
        </is>
      </c>
      <c r="B352" s="484">
        <f>+_xlfn.CONCAT(Tabella118[[#This Row],[Composizione]], " - ", Tabella118[[#This Row],[Fornitore]])</f>
        <v/>
      </c>
      <c r="C352" s="943" t="n">
        <v>0.365</v>
      </c>
      <c r="D352" s="484" t="inlineStr">
        <is>
          <t xml:space="preserve">Ds Smith </t>
        </is>
      </c>
      <c r="E352" s="484">
        <f>IFERROR(IF(H352="BC",Tabella118[[#This Row],[composizione concatenata]],IF(H352="C",Tabella118[[#This Row],[composizione concatenata]],VLOOKUP(I352,$K$2:$O$7,5,FALSE))),+Tabella118[[#This Row],[composizione concatenata]])</f>
        <v/>
      </c>
      <c r="F352" s="943">
        <f>+_xlfn.IFNA(VLOOKUP(Tabella118[[#This Row],[Composizione alternativa per digitale]],Tabella118[[composizione concatenata]:[Euro/Mq]],2,FALSE),VLOOKUP(H352,digitale[[ONDA]:[Fornitore]],3,FALSE))</f>
        <v/>
      </c>
      <c r="G352" s="484" t="n"/>
      <c r="H352" s="484">
        <f>IF(MID(A352, FIND("/", A352, FIND("/", A352) + 1) + 1, 2)="A","C",MID(A352, FIND("/", A352, FIND("/", A352) + 1) + 1, 2))</f>
        <v/>
      </c>
      <c r="I352" s="486">
        <f>TRIM(H352)</f>
        <v/>
      </c>
    </row>
    <row r="353" ht="15" customHeight="1">
      <c r="A353" s="484" t="inlineStr">
        <is>
          <t>KMK/262/C</t>
        </is>
      </c>
      <c r="B353" s="484">
        <f>+_xlfn.CONCAT(Tabella118[[#This Row],[Composizione]], " - ", Tabella118[[#This Row],[Fornitore]])</f>
        <v/>
      </c>
      <c r="C353" s="943" t="n">
        <v>0.323</v>
      </c>
      <c r="D353" s="484" t="inlineStr">
        <is>
          <t>Giusti</t>
        </is>
      </c>
      <c r="E353" s="484">
        <f>IFERROR(IF(H353="BC",Tabella118[[#This Row],[composizione concatenata]],IF(H353="C",Tabella118[[#This Row],[composizione concatenata]],VLOOKUP(I353,$K$2:$O$7,5,FALSE))),+Tabella118[[#This Row],[composizione concatenata]])</f>
        <v/>
      </c>
      <c r="F353" s="944">
        <f>+_xlfn.IFNA(VLOOKUP(Tabella118[[#This Row],[Composizione alternativa per digitale]],Tabella118[[composizione concatenata]:[Euro/Mq]],2,FALSE),VLOOKUP(H353,digitale[[ONDA]:[Fornitore]],3,FALSE))</f>
        <v/>
      </c>
      <c r="G353" s="484" t="n"/>
      <c r="H353" s="484">
        <f>IF(MID(A353, FIND("/", A353, FIND("/", A353) + 1) + 1, 2)="A","C",MID(A353, FIND("/", A353, FIND("/", A353) + 1) + 1, 2))</f>
        <v/>
      </c>
      <c r="I353" s="486">
        <f>TRIM(H353)</f>
        <v/>
      </c>
    </row>
    <row r="354" ht="15" customHeight="1">
      <c r="A354" s="484" t="inlineStr">
        <is>
          <t>KMK/342/B</t>
        </is>
      </c>
      <c r="B354" s="484">
        <f>+_xlfn.CONCAT(Tabella118[[#This Row],[Composizione]], " - ", Tabella118[[#This Row],[Fornitore]])</f>
        <v/>
      </c>
      <c r="C354" s="943" t="n">
        <v>0.3</v>
      </c>
      <c r="D354" s="484" t="inlineStr">
        <is>
          <t>Giusti</t>
        </is>
      </c>
      <c r="E354" s="484">
        <f>IFERROR(IF(H354="BC",Tabella118[[#This Row],[composizione concatenata]],IF(H354="C",Tabella118[[#This Row],[composizione concatenata]],VLOOKUP(I354,$K$2:$O$7,5,FALSE))),+Tabella118[[#This Row],[composizione concatenata]])</f>
        <v/>
      </c>
      <c r="F354" s="944">
        <f>+_xlfn.IFNA(VLOOKUP(Tabella118[[#This Row],[Composizione alternativa per digitale]],Tabella118[[composizione concatenata]:[Euro/Mq]],2,FALSE),VLOOKUP(H354,digitale[[ONDA]:[Fornitore]],3,FALSE))</f>
        <v/>
      </c>
      <c r="G354" s="484" t="n"/>
      <c r="H354" s="484">
        <f>IF(MID(A354, FIND("/", A354, FIND("/", A354) + 1) + 1, 2)="A","C",MID(A354, FIND("/", A354, FIND("/", A354) + 1) + 1, 2))</f>
        <v/>
      </c>
      <c r="I354" s="486">
        <f>TRIM(H354)</f>
        <v/>
      </c>
    </row>
    <row r="355" ht="15" customHeight="1">
      <c r="A355" s="484" t="inlineStr">
        <is>
          <t>KMK/342/C</t>
        </is>
      </c>
      <c r="B355" s="484">
        <f>+_xlfn.CONCAT(Tabella118[[#This Row],[Composizione]], " - ", Tabella118[[#This Row],[Fornitore]])</f>
        <v/>
      </c>
      <c r="C355" s="943" t="n">
        <v>0.311</v>
      </c>
      <c r="D355" s="484" t="inlineStr">
        <is>
          <t>Giusti</t>
        </is>
      </c>
      <c r="E355" s="484">
        <f>IFERROR(IF(H355="BC",Tabella118[[#This Row],[composizione concatenata]],IF(H355="C",Tabella118[[#This Row],[composizione concatenata]],VLOOKUP(I355,$K$2:$O$7,5,FALSE))),+Tabella118[[#This Row],[composizione concatenata]])</f>
        <v/>
      </c>
      <c r="F355" s="944">
        <f>+_xlfn.IFNA(VLOOKUP(Tabella118[[#This Row],[Composizione alternativa per digitale]],Tabella118[[composizione concatenata]:[Euro/Mq]],2,FALSE),VLOOKUP(H355,digitale[[ONDA]:[Fornitore]],3,FALSE))</f>
        <v/>
      </c>
      <c r="G355" s="484" t="n"/>
      <c r="H355" s="484">
        <f>IF(MID(A355, FIND("/", A355, FIND("/", A355) + 1) + 1, 2)="A","C",MID(A355, FIND("/", A355, FIND("/", A355) + 1) + 1, 2))</f>
        <v/>
      </c>
      <c r="I355" s="486">
        <f>TRIM(H355)</f>
        <v/>
      </c>
    </row>
    <row r="356" ht="15" customHeight="1">
      <c r="A356" s="484" t="inlineStr">
        <is>
          <t>KMK/343/B</t>
        </is>
      </c>
      <c r="B356" s="484">
        <f>+_xlfn.CONCAT(Tabella118[[#This Row],[Composizione]], " - ", Tabella118[[#This Row],[Fornitore]])</f>
        <v/>
      </c>
      <c r="C356" s="943" t="n">
        <v>0.319</v>
      </c>
      <c r="D356" s="484" t="inlineStr">
        <is>
          <t>Giusti</t>
        </is>
      </c>
      <c r="E356" s="484">
        <f>IFERROR(IF(H356="BC",Tabella118[[#This Row],[composizione concatenata]],IF(H356="C",Tabella118[[#This Row],[composizione concatenata]],VLOOKUP(I356,$K$2:$O$7,5,FALSE))),+Tabella118[[#This Row],[composizione concatenata]])</f>
        <v/>
      </c>
      <c r="F356" s="944">
        <f>+_xlfn.IFNA(VLOOKUP(Tabella118[[#This Row],[Composizione alternativa per digitale]],Tabella118[[composizione concatenata]:[Euro/Mq]],2,FALSE),VLOOKUP(H356,digitale[[ONDA]:[Fornitore]],3,FALSE))</f>
        <v/>
      </c>
      <c r="G356" s="484" t="n"/>
      <c r="H356" s="484">
        <f>IF(MID(A356, FIND("/", A356, FIND("/", A356) + 1) + 1, 2)="A","C",MID(A356, FIND("/", A356, FIND("/", A356) + 1) + 1, 2))</f>
        <v/>
      </c>
      <c r="I356" s="486">
        <f>TRIM(H356)</f>
        <v/>
      </c>
    </row>
    <row r="357" ht="15" customHeight="1">
      <c r="A357" s="483" t="inlineStr">
        <is>
          <t>KMK/343/B</t>
        </is>
      </c>
      <c r="B357" s="484">
        <f>+_xlfn.CONCAT(Tabella118[[#This Row],[Composizione]], " - ", Tabella118[[#This Row],[Fornitore]])</f>
        <v/>
      </c>
      <c r="C357" s="950" t="n">
        <v>0.302</v>
      </c>
      <c r="D357" s="484" t="inlineStr">
        <is>
          <t>Cartstrong</t>
        </is>
      </c>
      <c r="E357" s="484">
        <f>IFERROR(IF(H357="BC",Tabella118[[#This Row],[composizione concatenata]],IF(H357="C",Tabella118[[#This Row],[composizione concatenata]],VLOOKUP(I357,$K$2:$O$7,5,FALSE))),+Tabella118[[#This Row],[composizione concatenata]])</f>
        <v/>
      </c>
      <c r="F357" s="943">
        <f>+_xlfn.IFNA(VLOOKUP(Tabella118[[#This Row],[Composizione alternativa per digitale]],Tabella118[[composizione concatenata]:[Euro/Mq]],2,FALSE),VLOOKUP(H357,digitale[[ONDA]:[Fornitore]],3,FALSE))</f>
        <v/>
      </c>
      <c r="G357" s="484" t="n"/>
      <c r="H357" s="484">
        <f>IF(MID(A357, FIND("/", A357, FIND("/", A357) + 1) + 1, 2)="A","C",MID(A357, FIND("/", A357, FIND("/", A357) + 1) + 1, 2))</f>
        <v/>
      </c>
      <c r="I357" s="486">
        <f>TRIM(H357)</f>
        <v/>
      </c>
    </row>
    <row r="358" ht="15" customHeight="1">
      <c r="A358" s="484" t="inlineStr">
        <is>
          <t>KMK/343/C</t>
        </is>
      </c>
      <c r="B358" s="484">
        <f>+_xlfn.CONCAT(Tabella118[[#This Row],[Composizione]], " - ", Tabella118[[#This Row],[Fornitore]])</f>
        <v/>
      </c>
      <c r="C358" s="943" t="n">
        <v>0.324</v>
      </c>
      <c r="D358" s="484" t="inlineStr">
        <is>
          <t>Giusti</t>
        </is>
      </c>
      <c r="E358" s="484">
        <f>IFERROR(IF(H358="BC",Tabella118[[#This Row],[composizione concatenata]],IF(H358="C",Tabella118[[#This Row],[composizione concatenata]],VLOOKUP(I358,$K$2:$O$7,5,FALSE))),+Tabella118[[#This Row],[composizione concatenata]])</f>
        <v/>
      </c>
      <c r="F358" s="944">
        <f>+_xlfn.IFNA(VLOOKUP(Tabella118[[#This Row],[Composizione alternativa per digitale]],Tabella118[[composizione concatenata]:[Euro/Mq]],2,FALSE),VLOOKUP(H358,digitale[[ONDA]:[Fornitore]],3,FALSE))</f>
        <v/>
      </c>
      <c r="G358" s="484" t="n"/>
      <c r="H358" s="484">
        <f>IF(MID(A358, FIND("/", A358, FIND("/", A358) + 1) + 1, 2)="A","C",MID(A358, FIND("/", A358, FIND("/", A358) + 1) + 1, 2))</f>
        <v/>
      </c>
      <c r="I358" s="486">
        <f>TRIM(H358)</f>
        <v/>
      </c>
    </row>
    <row r="359" ht="15" customHeight="1">
      <c r="A359" s="484" t="inlineStr">
        <is>
          <t>KMK/343/E</t>
        </is>
      </c>
      <c r="B359" s="484">
        <f>+_xlfn.CONCAT(Tabella118[[#This Row],[Composizione]], " - ", Tabella118[[#This Row],[Fornitore]])</f>
        <v/>
      </c>
      <c r="C359" s="943" t="n">
        <v>0.32</v>
      </c>
      <c r="D359" s="484" t="inlineStr">
        <is>
          <t>Giusti</t>
        </is>
      </c>
      <c r="E359" s="484">
        <f>IFERROR(IF(H359="BC",Tabella118[[#This Row],[composizione concatenata]],IF(H359="C",Tabella118[[#This Row],[composizione concatenata]],VLOOKUP(I359,$K$2:$O$7,5,FALSE))),+Tabella118[[#This Row],[composizione concatenata]])</f>
        <v/>
      </c>
      <c r="F359" s="944">
        <f>+_xlfn.IFNA(VLOOKUP(Tabella118[[#This Row],[Composizione alternativa per digitale]],Tabella118[[composizione concatenata]:[Euro/Mq]],2,FALSE),VLOOKUP(H359,digitale[[ONDA]:[Fornitore]],3,FALSE))</f>
        <v/>
      </c>
      <c r="G359" s="484" t="n"/>
      <c r="H359" s="484">
        <f>IF(MID(A359, FIND("/", A359, FIND("/", A359) + 1) + 1, 2)="A","C",MID(A359, FIND("/", A359, FIND("/", A359) + 1) + 1, 2))</f>
        <v/>
      </c>
      <c r="I359" s="486">
        <f>TRIM(H359)</f>
        <v/>
      </c>
    </row>
    <row r="360" ht="15" customHeight="1">
      <c r="A360" s="484" t="inlineStr">
        <is>
          <t>KMK/362/B</t>
        </is>
      </c>
      <c r="B360" s="484">
        <f>+_xlfn.CONCAT(Tabella118[[#This Row],[Composizione]], " - ", Tabella118[[#This Row],[Fornitore]])</f>
        <v/>
      </c>
      <c r="C360" s="943" t="n">
        <v>0.326</v>
      </c>
      <c r="D360" s="484" t="inlineStr">
        <is>
          <t>Giusti</t>
        </is>
      </c>
      <c r="E360" s="484">
        <f>IFERROR(IF(H360="BC",Tabella118[[#This Row],[composizione concatenata]],IF(H360="C",Tabella118[[#This Row],[composizione concatenata]],VLOOKUP(I360,$K$2:$O$7,5,FALSE))),+Tabella118[[#This Row],[composizione concatenata]])</f>
        <v/>
      </c>
      <c r="F360" s="944">
        <f>+_xlfn.IFNA(VLOOKUP(Tabella118[[#This Row],[Composizione alternativa per digitale]],Tabella118[[composizione concatenata]:[Euro/Mq]],2,FALSE),VLOOKUP(H360,digitale[[ONDA]:[Fornitore]],3,FALSE))</f>
        <v/>
      </c>
      <c r="G360" s="484" t="n"/>
      <c r="H360" s="484">
        <f>IF(MID(A360, FIND("/", A360, FIND("/", A360) + 1) + 1, 2)="A","C",MID(A360, FIND("/", A360, FIND("/", A360) + 1) + 1, 2))</f>
        <v/>
      </c>
      <c r="I360" s="486">
        <f>TRIM(H360)</f>
        <v/>
      </c>
    </row>
    <row r="361" ht="15" customHeight="1">
      <c r="A361" s="484" t="inlineStr">
        <is>
          <t>KMK/362/C</t>
        </is>
      </c>
      <c r="B361" s="484">
        <f>+_xlfn.CONCAT(Tabella118[[#This Row],[Composizione]], " - ", Tabella118[[#This Row],[Fornitore]])</f>
        <v/>
      </c>
      <c r="C361" s="943" t="n">
        <v>0.337</v>
      </c>
      <c r="D361" s="484" t="inlineStr">
        <is>
          <t>Giusti</t>
        </is>
      </c>
      <c r="E361" s="484">
        <f>IFERROR(IF(H361="BC",Tabella118[[#This Row],[composizione concatenata]],IF(H361="C",Tabella118[[#This Row],[composizione concatenata]],VLOOKUP(I361,$K$2:$O$7,5,FALSE))),+Tabella118[[#This Row],[composizione concatenata]])</f>
        <v/>
      </c>
      <c r="F361" s="944">
        <f>+_xlfn.IFNA(VLOOKUP(Tabella118[[#This Row],[Composizione alternativa per digitale]],Tabella118[[composizione concatenata]:[Euro/Mq]],2,FALSE),VLOOKUP(H361,digitale[[ONDA]:[Fornitore]],3,FALSE))</f>
        <v/>
      </c>
      <c r="G361" s="484" t="n"/>
      <c r="H361" s="484">
        <f>IF(MID(A361, FIND("/", A361, FIND("/", A361) + 1) + 1, 2)="A","C",MID(A361, FIND("/", A361, FIND("/", A361) + 1) + 1, 2))</f>
        <v/>
      </c>
      <c r="I361" s="486">
        <f>TRIM(H361)</f>
        <v/>
      </c>
    </row>
    <row r="362" ht="15" customHeight="1">
      <c r="A362" s="484" t="inlineStr">
        <is>
          <t>KMK/363/B</t>
        </is>
      </c>
      <c r="B362" s="484">
        <f>+_xlfn.CONCAT(Tabella118[[#This Row],[Composizione]], " - ", Tabella118[[#This Row],[Fornitore]])</f>
        <v/>
      </c>
      <c r="C362" s="943" t="n">
        <v>0.33</v>
      </c>
      <c r="D362" s="484" t="inlineStr">
        <is>
          <t>Giusti</t>
        </is>
      </c>
      <c r="E362" s="484">
        <f>IFERROR(IF(H362="BC",Tabella118[[#This Row],[composizione concatenata]],IF(H362="C",Tabella118[[#This Row],[composizione concatenata]],VLOOKUP(I362,$K$2:$O$7,5,FALSE))),+Tabella118[[#This Row],[composizione concatenata]])</f>
        <v/>
      </c>
      <c r="F362" s="944">
        <f>+_xlfn.IFNA(VLOOKUP(Tabella118[[#This Row],[Composizione alternativa per digitale]],Tabella118[[composizione concatenata]:[Euro/Mq]],2,FALSE),VLOOKUP(H362,digitale[[ONDA]:[Fornitore]],3,FALSE))</f>
        <v/>
      </c>
      <c r="G362" s="484" t="n"/>
      <c r="H362" s="484">
        <f>IF(MID(A362, FIND("/", A362, FIND("/", A362) + 1) + 1, 2)="A","C",MID(A362, FIND("/", A362, FIND("/", A362) + 1) + 1, 2))</f>
        <v/>
      </c>
      <c r="I362" s="486">
        <f>TRIM(H362)</f>
        <v/>
      </c>
    </row>
    <row r="363" ht="15" customHeight="1">
      <c r="A363" s="483" t="inlineStr">
        <is>
          <t>KMK/363/B</t>
        </is>
      </c>
      <c r="B363" s="484">
        <f>+_xlfn.CONCAT(Tabella118[[#This Row],[Composizione]], " - ", Tabella118[[#This Row],[Fornitore]])</f>
        <v/>
      </c>
      <c r="C363" s="950" t="n">
        <v>0.315</v>
      </c>
      <c r="D363" s="484" t="inlineStr">
        <is>
          <t>Cartstrong</t>
        </is>
      </c>
      <c r="E363" s="484">
        <f>IFERROR(IF(H363="BC",Tabella118[[#This Row],[composizione concatenata]],IF(H363="C",Tabella118[[#This Row],[composizione concatenata]],VLOOKUP(I363,$K$2:$O$7,5,FALSE))),+Tabella118[[#This Row],[composizione concatenata]])</f>
        <v/>
      </c>
      <c r="F363" s="943">
        <f>+_xlfn.IFNA(VLOOKUP(Tabella118[[#This Row],[Composizione alternativa per digitale]],Tabella118[[composizione concatenata]:[Euro/Mq]],2,FALSE),VLOOKUP(H363,digitale[[ONDA]:[Fornitore]],3,FALSE))</f>
        <v/>
      </c>
      <c r="G363" s="484" t="n"/>
      <c r="H363" s="484">
        <f>IF(MID(A363, FIND("/", A363, FIND("/", A363) + 1) + 1, 2)="A","C",MID(A363, FIND("/", A363, FIND("/", A363) + 1) + 1, 2))</f>
        <v/>
      </c>
      <c r="I363" s="486">
        <f>TRIM(H363)</f>
        <v/>
      </c>
    </row>
    <row r="364" ht="15" customHeight="1">
      <c r="A364" s="484" t="inlineStr">
        <is>
          <t>KMK/363/C</t>
        </is>
      </c>
      <c r="B364" s="484">
        <f>+_xlfn.CONCAT(Tabella118[[#This Row],[Composizione]], " - ", Tabella118[[#This Row],[Fornitore]])</f>
        <v/>
      </c>
      <c r="C364" s="943" t="n">
        <v>0.341</v>
      </c>
      <c r="D364" s="484" t="inlineStr">
        <is>
          <t>Giusti</t>
        </is>
      </c>
      <c r="E364" s="484">
        <f>IFERROR(IF(H364="BC",Tabella118[[#This Row],[composizione concatenata]],IF(H364="C",Tabella118[[#This Row],[composizione concatenata]],VLOOKUP(I364,$K$2:$O$7,5,FALSE))),+Tabella118[[#This Row],[composizione concatenata]])</f>
        <v/>
      </c>
      <c r="F364" s="944">
        <f>+_xlfn.IFNA(VLOOKUP(Tabella118[[#This Row],[Composizione alternativa per digitale]],Tabella118[[composizione concatenata]:[Euro/Mq]],2,FALSE),VLOOKUP(H364,digitale[[ONDA]:[Fornitore]],3,FALSE))</f>
        <v/>
      </c>
      <c r="G364" s="484" t="n"/>
      <c r="H364" s="484">
        <f>IF(MID(A364, FIND("/", A364, FIND("/", A364) + 1) + 1, 2)="A","C",MID(A364, FIND("/", A364, FIND("/", A364) + 1) + 1, 2))</f>
        <v/>
      </c>
      <c r="I364" s="486">
        <f>TRIM(H364)</f>
        <v/>
      </c>
    </row>
    <row r="365" ht="15" customHeight="1">
      <c r="A365" s="484" t="inlineStr">
        <is>
          <t>KMK/363/E</t>
        </is>
      </c>
      <c r="B365" s="484">
        <f>+_xlfn.CONCAT(Tabella118[[#This Row],[Composizione]], " - ", Tabella118[[#This Row],[Fornitore]])</f>
        <v/>
      </c>
      <c r="C365" s="943" t="n">
        <v>0.329</v>
      </c>
      <c r="D365" s="484" t="inlineStr">
        <is>
          <t>Giusti</t>
        </is>
      </c>
      <c r="E365" s="484">
        <f>IFERROR(IF(H365="BC",Tabella118[[#This Row],[composizione concatenata]],IF(H365="C",Tabella118[[#This Row],[composizione concatenata]],VLOOKUP(I365,$K$2:$O$7,5,FALSE))),+Tabella118[[#This Row],[composizione concatenata]])</f>
        <v/>
      </c>
      <c r="F365" s="944">
        <f>+_xlfn.IFNA(VLOOKUP(Tabella118[[#This Row],[Composizione alternativa per digitale]],Tabella118[[composizione concatenata]:[Euro/Mq]],2,FALSE),VLOOKUP(H365,digitale[[ONDA]:[Fornitore]],3,FALSE))</f>
        <v/>
      </c>
      <c r="G365" s="484" t="n"/>
      <c r="H365" s="484">
        <f>IF(MID(A365, FIND("/", A365, FIND("/", A365) + 1) + 1, 2)="A","C",MID(A365, FIND("/", A365, FIND("/", A365) + 1) + 1, 2))</f>
        <v/>
      </c>
      <c r="I365" s="486">
        <f>TRIM(H365)</f>
        <v/>
      </c>
    </row>
    <row r="366" ht="15" customHeight="1">
      <c r="A366" s="484" t="inlineStr">
        <is>
          <t>KMK/442/C</t>
        </is>
      </c>
      <c r="B366" s="484">
        <f>+_xlfn.CONCAT(Tabella118[[#This Row],[Composizione]], " - ", Tabella118[[#This Row],[Fornitore]])</f>
        <v/>
      </c>
      <c r="C366" s="943" t="n">
        <v>0.375</v>
      </c>
      <c r="D366" s="484" t="inlineStr">
        <is>
          <t xml:space="preserve">Ds Smith </t>
        </is>
      </c>
      <c r="E366" s="484">
        <f>IFERROR(IF(H366="BC",Tabella118[[#This Row],[composizione concatenata]],IF(H366="C",Tabella118[[#This Row],[composizione concatenata]],VLOOKUP(I366,$K$2:$O$7,5,FALSE))),+Tabella118[[#This Row],[composizione concatenata]])</f>
        <v/>
      </c>
      <c r="F366" s="943">
        <f>+_xlfn.IFNA(VLOOKUP(Tabella118[[#This Row],[Composizione alternativa per digitale]],Tabella118[[composizione concatenata]:[Euro/Mq]],2,FALSE),VLOOKUP(H366,digitale[[ONDA]:[Fornitore]],3,FALSE))</f>
        <v/>
      </c>
      <c r="G366" s="484" t="n"/>
      <c r="H366" s="484">
        <f>IF(MID(A366, FIND("/", A366, FIND("/", A366) + 1) + 1, 2)="A","C",MID(A366, FIND("/", A366, FIND("/", A366) + 1) + 1, 2))</f>
        <v/>
      </c>
      <c r="I366" s="486">
        <f>TRIM(H366)</f>
        <v/>
      </c>
    </row>
    <row r="367" ht="15" customHeight="1">
      <c r="A367" s="491" t="inlineStr">
        <is>
          <t>KMK/442/E</t>
        </is>
      </c>
      <c r="B367" s="484">
        <f>+_xlfn.CONCAT(Tabella118[[#This Row],[Composizione]], " - ", Tabella118[[#This Row],[Fornitore]])</f>
        <v/>
      </c>
      <c r="C367" s="943" t="n">
        <v>0.408</v>
      </c>
      <c r="D367" s="484" t="inlineStr">
        <is>
          <t>Santerno</t>
        </is>
      </c>
      <c r="E367" s="484">
        <f>IFERROR(IF(H367="BC",Tabella118[[#This Row],[composizione concatenata]],IF(H367="C",Tabella118[[#This Row],[composizione concatenata]],VLOOKUP(I367,$K$2:$O$7,5,FALSE))),+Tabella118[[#This Row],[composizione concatenata]])</f>
        <v/>
      </c>
      <c r="F367" s="943">
        <f>+_xlfn.IFNA(VLOOKUP(Tabella118[[#This Row],[Composizione alternativa per digitale]],Tabella118[[composizione concatenata]:[Euro/Mq]],2,FALSE),VLOOKUP(H367,digitale[[ONDA]:[Fornitore]],3,FALSE))</f>
        <v/>
      </c>
      <c r="G367" s="484" t="n"/>
      <c r="H367" s="484">
        <f>IF(MID(A367, FIND("/", A367, FIND("/", A367) + 1) + 1, 2)="A","C",MID(A367, FIND("/", A367, FIND("/", A367) + 1) + 1, 2))</f>
        <v/>
      </c>
      <c r="I367" s="486">
        <f>TRIM(H367)</f>
        <v/>
      </c>
    </row>
    <row r="368" ht="15" customHeight="1">
      <c r="A368" s="484" t="inlineStr">
        <is>
          <t>KMK/442/E</t>
        </is>
      </c>
      <c r="B368" s="484">
        <f>+_xlfn.CONCAT(Tabella118[[#This Row],[Composizione]], " - ", Tabella118[[#This Row],[Fornitore]])</f>
        <v/>
      </c>
      <c r="C368" s="943" t="n">
        <v>0.365</v>
      </c>
      <c r="D368" s="484" t="inlineStr">
        <is>
          <t xml:space="preserve">Ds Smith </t>
        </is>
      </c>
      <c r="E368" s="484">
        <f>IFERROR(IF(H368="BC",Tabella118[[#This Row],[composizione concatenata]],IF(H368="C",Tabella118[[#This Row],[composizione concatenata]],VLOOKUP(I368,$K$2:$O$7,5,FALSE))),+Tabella118[[#This Row],[composizione concatenata]])</f>
        <v/>
      </c>
      <c r="F368" s="943">
        <f>+_xlfn.IFNA(VLOOKUP(Tabella118[[#This Row],[Composizione alternativa per digitale]],Tabella118[[composizione concatenata]:[Euro/Mq]],2,FALSE),VLOOKUP(H368,digitale[[ONDA]:[Fornitore]],3,FALSE))</f>
        <v/>
      </c>
      <c r="G368" s="484" t="n"/>
      <c r="H368" s="484">
        <f>IF(MID(A368, FIND("/", A368, FIND("/", A368) + 1) + 1, 2)="A","C",MID(A368, FIND("/", A368, FIND("/", A368) + 1) + 1, 2))</f>
        <v/>
      </c>
      <c r="I368" s="486">
        <f>TRIM(H368)</f>
        <v/>
      </c>
    </row>
    <row r="369" ht="15" customHeight="1">
      <c r="A369" s="491" t="inlineStr">
        <is>
          <t>KMK/442/E + ACC.</t>
        </is>
      </c>
      <c r="B369" s="484">
        <f>+_xlfn.CONCAT(Tabella118[[#This Row],[Composizione]], " - ", Tabella118[[#This Row],[Fornitore]])</f>
        <v/>
      </c>
      <c r="C369" s="943" t="n">
        <v>0.468</v>
      </c>
      <c r="D369" s="484" t="inlineStr">
        <is>
          <t>Santerno</t>
        </is>
      </c>
      <c r="E369" s="484">
        <f>IFERROR(IF(H369="BC",Tabella118[[#This Row],[composizione concatenata]],IF(H369="C",Tabella118[[#This Row],[composizione concatenata]],VLOOKUP(I369,$K$2:$O$7,5,FALSE))),+Tabella118[[#This Row],[composizione concatenata]])</f>
        <v/>
      </c>
      <c r="F369" s="943">
        <f>+_xlfn.IFNA(VLOOKUP(Tabella118[[#This Row],[Composizione alternativa per digitale]],Tabella118[[composizione concatenata]:[Euro/Mq]],2,FALSE),VLOOKUP(H369,digitale[[ONDA]:[Fornitore]],3,FALSE))</f>
        <v/>
      </c>
      <c r="G369" s="484" t="n"/>
      <c r="H369" s="484">
        <f>IF(MID(A369, FIND("/", A369, FIND("/", A369) + 1) + 1, 2)="A","C",MID(A369, FIND("/", A369, FIND("/", A369) + 1) + 1, 2))</f>
        <v/>
      </c>
      <c r="I369" s="486">
        <f>TRIM(H369)</f>
        <v/>
      </c>
    </row>
    <row r="370" ht="15" customHeight="1">
      <c r="A370" s="484" t="inlineStr">
        <is>
          <t>KMK/462/B</t>
        </is>
      </c>
      <c r="B370" s="484">
        <f>+_xlfn.CONCAT(Tabella118[[#This Row],[Composizione]], " - ", Tabella118[[#This Row],[Fornitore]])</f>
        <v/>
      </c>
      <c r="C370" s="943" t="n">
        <v>0.38</v>
      </c>
      <c r="D370" s="484" t="inlineStr">
        <is>
          <t xml:space="preserve">Ds Smith </t>
        </is>
      </c>
      <c r="E370" s="484">
        <f>IFERROR(IF(H370="BC",Tabella118[[#This Row],[composizione concatenata]],IF(H370="C",Tabella118[[#This Row],[composizione concatenata]],VLOOKUP(I370,$K$2:$O$7,5,FALSE))),+Tabella118[[#This Row],[composizione concatenata]])</f>
        <v/>
      </c>
      <c r="F370" s="943">
        <f>+_xlfn.IFNA(VLOOKUP(Tabella118[[#This Row],[Composizione alternativa per digitale]],Tabella118[[composizione concatenata]:[Euro/Mq]],2,FALSE),VLOOKUP(H370,digitale[[ONDA]:[Fornitore]],3,FALSE))</f>
        <v/>
      </c>
      <c r="G370" s="484" t="n"/>
      <c r="H370" s="484">
        <f>IF(MID(A370, FIND("/", A370, FIND("/", A370) + 1) + 1, 2)="A","C",MID(A370, FIND("/", A370, FIND("/", A370) + 1) + 1, 2))</f>
        <v/>
      </c>
      <c r="I370" s="486">
        <f>TRIM(H370)</f>
        <v/>
      </c>
    </row>
    <row r="371" ht="15" customHeight="1">
      <c r="A371" s="491" t="inlineStr">
        <is>
          <t>KMK/464/B + ACC.</t>
        </is>
      </c>
      <c r="B371" s="484">
        <f>+_xlfn.CONCAT(Tabella118[[#This Row],[Composizione]], " - ", Tabella118[[#This Row],[Fornitore]])</f>
        <v/>
      </c>
      <c r="C371" s="943" t="n">
        <v>0.06999999999999999</v>
      </c>
      <c r="D371" s="484" t="inlineStr">
        <is>
          <t>Santerno</t>
        </is>
      </c>
      <c r="E371" s="484">
        <f>IFERROR(IF(H371="BC",Tabella118[[#This Row],[composizione concatenata]],IF(H371="C",Tabella118[[#This Row],[composizione concatenata]],VLOOKUP(I371,$K$2:$O$7,5,FALSE))),+Tabella118[[#This Row],[composizione concatenata]])</f>
        <v/>
      </c>
      <c r="F371" s="943">
        <f>+_xlfn.IFNA(VLOOKUP(Tabella118[[#This Row],[Composizione alternativa per digitale]],Tabella118[[composizione concatenata]:[Euro/Mq]],2,FALSE),VLOOKUP(H371,digitale[[ONDA]:[Fornitore]],3,FALSE))</f>
        <v/>
      </c>
      <c r="G371" s="484" t="n"/>
      <c r="H371" s="484">
        <f>IF(MID(A371, FIND("/", A371, FIND("/", A371) + 1) + 1, 2)="A","C",MID(A371, FIND("/", A371, FIND("/", A371) + 1) + 1, 2))</f>
        <v/>
      </c>
      <c r="I371" s="486">
        <f>TRIM(H371)</f>
        <v/>
      </c>
    </row>
    <row r="372" ht="15" customHeight="1">
      <c r="A372" s="491" t="inlineStr">
        <is>
          <t>KMK/464/E</t>
        </is>
      </c>
      <c r="B372" s="484">
        <f>+_xlfn.CONCAT(Tabella118[[#This Row],[Composizione]], " - ", Tabella118[[#This Row],[Fornitore]])</f>
        <v/>
      </c>
      <c r="C372" s="943" t="n">
        <v>0.46</v>
      </c>
      <c r="D372" s="484" t="inlineStr">
        <is>
          <t>Santerno</t>
        </is>
      </c>
      <c r="E372" s="484">
        <f>IFERROR(IF(H372="BC",Tabella118[[#This Row],[composizione concatenata]],IF(H372="C",Tabella118[[#This Row],[composizione concatenata]],VLOOKUP(I372,$K$2:$O$7,5,FALSE))),+Tabella118[[#This Row],[composizione concatenata]])</f>
        <v/>
      </c>
      <c r="F372" s="943">
        <f>+_xlfn.IFNA(VLOOKUP(Tabella118[[#This Row],[Composizione alternativa per digitale]],Tabella118[[composizione concatenata]:[Euro/Mq]],2,FALSE),VLOOKUP(H372,digitale[[ONDA]:[Fornitore]],3,FALSE))</f>
        <v/>
      </c>
      <c r="G372" s="484" t="n"/>
      <c r="H372" s="484">
        <f>IF(MID(A372, FIND("/", A372, FIND("/", A372) + 1) + 1, 2)="A","C",MID(A372, FIND("/", A372, FIND("/", A372) + 1) + 1, 2))</f>
        <v/>
      </c>
      <c r="I372" s="486">
        <f>TRIM(H372)</f>
        <v/>
      </c>
    </row>
    <row r="373" ht="15" customHeight="1">
      <c r="A373" s="484" t="inlineStr">
        <is>
          <t>KMK/464/E</t>
        </is>
      </c>
      <c r="B373" s="484">
        <f>+_xlfn.CONCAT(Tabella118[[#This Row],[Composizione]], " - ", Tabella118[[#This Row],[Fornitore]])</f>
        <v/>
      </c>
      <c r="C373" s="943" t="n">
        <v>0.39</v>
      </c>
      <c r="D373" s="484" t="inlineStr">
        <is>
          <t xml:space="preserve">Ds Smith </t>
        </is>
      </c>
      <c r="E373" s="484">
        <f>IFERROR(IF(H373="BC",Tabella118[[#This Row],[composizione concatenata]],IF(H373="C",Tabella118[[#This Row],[composizione concatenata]],VLOOKUP(I373,$K$2:$O$7,5,FALSE))),+Tabella118[[#This Row],[composizione concatenata]])</f>
        <v/>
      </c>
      <c r="F373" s="943">
        <f>+_xlfn.IFNA(VLOOKUP(Tabella118[[#This Row],[Composizione alternativa per digitale]],Tabella118[[composizione concatenata]:[Euro/Mq]],2,FALSE),VLOOKUP(H373,digitale[[ONDA]:[Fornitore]],3,FALSE))</f>
        <v/>
      </c>
      <c r="G373" s="484" t="n"/>
      <c r="H373" s="484">
        <f>IF(MID(A373, FIND("/", A373, FIND("/", A373) + 1) + 1, 2)="A","C",MID(A373, FIND("/", A373, FIND("/", A373) + 1) + 1, 2))</f>
        <v/>
      </c>
      <c r="I373" s="486">
        <f>TRIM(H373)</f>
        <v/>
      </c>
    </row>
    <row r="374" ht="15" customHeight="1">
      <c r="A374" s="491" t="inlineStr">
        <is>
          <t>KMK/464/E + ACC.</t>
        </is>
      </c>
      <c r="B374" s="484">
        <f>+_xlfn.CONCAT(Tabella118[[#This Row],[Composizione]], " - ", Tabella118[[#This Row],[Fornitore]])</f>
        <v/>
      </c>
      <c r="C374" s="943" t="n">
        <v>0.52</v>
      </c>
      <c r="D374" s="484" t="inlineStr">
        <is>
          <t>Santerno</t>
        </is>
      </c>
      <c r="E374" s="484">
        <f>IFERROR(IF(H374="BC",Tabella118[[#This Row],[composizione concatenata]],IF(H374="C",Tabella118[[#This Row],[composizione concatenata]],VLOOKUP(I374,$K$2:$O$7,5,FALSE))),+Tabella118[[#This Row],[composizione concatenata]])</f>
        <v/>
      </c>
      <c r="F374" s="943">
        <f>+_xlfn.IFNA(VLOOKUP(Tabella118[[#This Row],[Composizione alternativa per digitale]],Tabella118[[composizione concatenata]:[Euro/Mq]],2,FALSE),VLOOKUP(H374,digitale[[ONDA]:[Fornitore]],3,FALSE))</f>
        <v/>
      </c>
      <c r="G374" s="484" t="n"/>
      <c r="H374" s="484">
        <f>IF(MID(A374, FIND("/", A374, FIND("/", A374) + 1) + 1, 2)="A","C",MID(A374, FIND("/", A374, FIND("/", A374) + 1) + 1, 2))</f>
        <v/>
      </c>
      <c r="I374" s="486">
        <f>TRIM(H374)</f>
        <v/>
      </c>
    </row>
    <row r="375" ht="15" customHeight="1">
      <c r="A375" s="484" t="inlineStr">
        <is>
          <t>KMK/563/E</t>
        </is>
      </c>
      <c r="B375" s="484">
        <f>+_xlfn.CONCAT(Tabella118[[#This Row],[Composizione]], " - ", Tabella118[[#This Row],[Fornitore]])</f>
        <v/>
      </c>
      <c r="C375" s="943" t="n">
        <v>0.352</v>
      </c>
      <c r="D375" s="484" t="inlineStr">
        <is>
          <t>Giusti</t>
        </is>
      </c>
      <c r="E375" s="484">
        <f>IFERROR(IF(H375="BC",Tabella118[[#This Row],[composizione concatenata]],IF(H375="C",Tabella118[[#This Row],[composizione concatenata]],VLOOKUP(I375,$K$2:$O$7,5,FALSE))),+Tabella118[[#This Row],[composizione concatenata]])</f>
        <v/>
      </c>
      <c r="F375" s="944">
        <f>+_xlfn.IFNA(VLOOKUP(Tabella118[[#This Row],[Composizione alternativa per digitale]],Tabella118[[composizione concatenata]:[Euro/Mq]],2,FALSE),VLOOKUP(H375,digitale[[ONDA]:[Fornitore]],3,FALSE))</f>
        <v/>
      </c>
      <c r="G375" s="484" t="n"/>
      <c r="H375" s="484">
        <f>IF(MID(A375, FIND("/", A375, FIND("/", A375) + 1) + 1, 2)="A","C",MID(A375, FIND("/", A375, FIND("/", A375) + 1) + 1, 2))</f>
        <v/>
      </c>
      <c r="I375" s="486">
        <f>TRIM(H375)</f>
        <v/>
      </c>
    </row>
    <row r="376" ht="15" customHeight="1">
      <c r="A376" s="484" t="inlineStr">
        <is>
          <t>KMT/242/B</t>
        </is>
      </c>
      <c r="B376" s="484">
        <f>+_xlfn.CONCAT(Tabella118[[#This Row],[Composizione]], " - ", Tabella118[[#This Row],[Fornitore]])</f>
        <v/>
      </c>
      <c r="C376" s="943" t="n">
        <v>0.295</v>
      </c>
      <c r="D376" s="484" t="inlineStr">
        <is>
          <t xml:space="preserve">Ds Smith </t>
        </is>
      </c>
      <c r="E376" s="484">
        <f>IFERROR(IF(H376="BC",Tabella118[[#This Row],[composizione concatenata]],IF(H376="C",Tabella118[[#This Row],[composizione concatenata]],VLOOKUP(I376,$K$2:$O$7,5,FALSE))),+Tabella118[[#This Row],[composizione concatenata]])</f>
        <v/>
      </c>
      <c r="F376" s="943">
        <f>+_xlfn.IFNA(VLOOKUP(Tabella118[[#This Row],[Composizione alternativa per digitale]],Tabella118[[composizione concatenata]:[Euro/Mq]],2,FALSE),VLOOKUP(H376,digitale[[ONDA]:[Fornitore]],3,FALSE))</f>
        <v/>
      </c>
      <c r="G376" s="484" t="n"/>
      <c r="H376" s="484">
        <f>IF(MID(A376, FIND("/", A376, FIND("/", A376) + 1) + 1, 2)="A","C",MID(A376, FIND("/", A376, FIND("/", A376) + 1) + 1, 2))</f>
        <v/>
      </c>
      <c r="I376" s="486">
        <f>TRIM(H376)</f>
        <v/>
      </c>
    </row>
    <row r="377" ht="15" customHeight="1">
      <c r="A377" s="484" t="inlineStr">
        <is>
          <t>KMT/242/B</t>
        </is>
      </c>
      <c r="B377" s="484">
        <f>+_xlfn.CONCAT(Tabella118[[#This Row],[Composizione]], " - ", Tabella118[[#This Row],[Fornitore]])</f>
        <v/>
      </c>
      <c r="C377" s="943" t="n">
        <v>0.265</v>
      </c>
      <c r="D377" s="484" t="inlineStr">
        <is>
          <t>Giusti</t>
        </is>
      </c>
      <c r="E377" s="484">
        <f>IFERROR(IF(H377="BC",Tabella118[[#This Row],[composizione concatenata]],IF(H377="C",Tabella118[[#This Row],[composizione concatenata]],VLOOKUP(I377,$K$2:$O$7,5,FALSE))),+Tabella118[[#This Row],[composizione concatenata]])</f>
        <v/>
      </c>
      <c r="F377" s="944">
        <f>+_xlfn.IFNA(VLOOKUP(Tabella118[[#This Row],[Composizione alternativa per digitale]],Tabella118[[composizione concatenata]:[Euro/Mq]],2,FALSE),VLOOKUP(H377,digitale[[ONDA]:[Fornitore]],3,FALSE))</f>
        <v/>
      </c>
      <c r="G377" s="484" t="n"/>
      <c r="H377" s="484">
        <f>IF(MID(A377, FIND("/", A377, FIND("/", A377) + 1) + 1, 2)="A","C",MID(A377, FIND("/", A377, FIND("/", A377) + 1) + 1, 2))</f>
        <v/>
      </c>
      <c r="I377" s="486">
        <f>TRIM(H377)</f>
        <v/>
      </c>
    </row>
    <row r="378" ht="15" customHeight="1">
      <c r="A378" s="483" t="inlineStr">
        <is>
          <t>KMT/242/B</t>
        </is>
      </c>
      <c r="B378" s="484">
        <f>+_xlfn.CONCAT(Tabella118[[#This Row],[Composizione]], " - ", Tabella118[[#This Row],[Fornitore]])</f>
        <v/>
      </c>
      <c r="C378" s="950" t="n">
        <v>0.249</v>
      </c>
      <c r="D378" s="484" t="inlineStr">
        <is>
          <t>Cartstrong</t>
        </is>
      </c>
      <c r="E378" s="484">
        <f>IFERROR(IF(H378="BC",Tabella118[[#This Row],[composizione concatenata]],IF(H378="C",Tabella118[[#This Row],[composizione concatenata]],VLOOKUP(I378,$K$2:$O$7,5,FALSE))),+Tabella118[[#This Row],[composizione concatenata]])</f>
        <v/>
      </c>
      <c r="F378" s="943">
        <f>+_xlfn.IFNA(VLOOKUP(Tabella118[[#This Row],[Composizione alternativa per digitale]],Tabella118[[composizione concatenata]:[Euro/Mq]],2,FALSE),VLOOKUP(H378,digitale[[ONDA]:[Fornitore]],3,FALSE))</f>
        <v/>
      </c>
      <c r="G378" s="484" t="n"/>
      <c r="H378" s="484">
        <f>IF(MID(A378, FIND("/", A378, FIND("/", A378) + 1) + 1, 2)="A","C",MID(A378, FIND("/", A378, FIND("/", A378) + 1) + 1, 2))</f>
        <v/>
      </c>
      <c r="I378" s="486">
        <f>TRIM(H378)</f>
        <v/>
      </c>
    </row>
    <row r="379" ht="15" customHeight="1">
      <c r="A379" s="484" t="inlineStr">
        <is>
          <t>KMT/242/C</t>
        </is>
      </c>
      <c r="B379" s="484">
        <f>+_xlfn.CONCAT(Tabella118[[#This Row],[Composizione]], " - ", Tabella118[[#This Row],[Fornitore]])</f>
        <v/>
      </c>
      <c r="C379" s="943" t="n">
        <v>0.305</v>
      </c>
      <c r="D379" s="484" t="inlineStr">
        <is>
          <t xml:space="preserve">Ds Smith </t>
        </is>
      </c>
      <c r="E379" s="484">
        <f>IFERROR(IF(H379="BC",Tabella118[[#This Row],[composizione concatenata]],IF(H379="C",Tabella118[[#This Row],[composizione concatenata]],VLOOKUP(I379,$K$2:$O$7,5,FALSE))),+Tabella118[[#This Row],[composizione concatenata]])</f>
        <v/>
      </c>
      <c r="F379" s="943">
        <f>+_xlfn.IFNA(VLOOKUP(Tabella118[[#This Row],[Composizione alternativa per digitale]],Tabella118[[composizione concatenata]:[Euro/Mq]],2,FALSE),VLOOKUP(H379,digitale[[ONDA]:[Fornitore]],3,FALSE))</f>
        <v/>
      </c>
      <c r="G379" s="484" t="n"/>
      <c r="H379" s="484">
        <f>IF(MID(A379, FIND("/", A379, FIND("/", A379) + 1) + 1, 2)="A","C",MID(A379, FIND("/", A379, FIND("/", A379) + 1) + 1, 2))</f>
        <v/>
      </c>
      <c r="I379" s="486">
        <f>TRIM(H379)</f>
        <v/>
      </c>
    </row>
    <row r="380" ht="15" customHeight="1">
      <c r="A380" s="484" t="inlineStr">
        <is>
          <t>KMT/242/C</t>
        </is>
      </c>
      <c r="B380" s="484">
        <f>+_xlfn.CONCAT(Tabella118[[#This Row],[Composizione]], " - ", Tabella118[[#This Row],[Fornitore]])</f>
        <v/>
      </c>
      <c r="C380" s="943" t="n">
        <v>0.275</v>
      </c>
      <c r="D380" s="484" t="inlineStr">
        <is>
          <t>Giusti</t>
        </is>
      </c>
      <c r="E380" s="484">
        <f>IFERROR(IF(H380="BC",Tabella118[[#This Row],[composizione concatenata]],IF(H380="C",Tabella118[[#This Row],[composizione concatenata]],VLOOKUP(I380,$K$2:$O$7,5,FALSE))),+Tabella118[[#This Row],[composizione concatenata]])</f>
        <v/>
      </c>
      <c r="F380" s="944">
        <f>+_xlfn.IFNA(VLOOKUP(Tabella118[[#This Row],[Composizione alternativa per digitale]],Tabella118[[composizione concatenata]:[Euro/Mq]],2,FALSE),VLOOKUP(H380,digitale[[ONDA]:[Fornitore]],3,FALSE))</f>
        <v/>
      </c>
      <c r="G380" s="484" t="n"/>
      <c r="H380" s="484">
        <f>IF(MID(A380, FIND("/", A380, FIND("/", A380) + 1) + 1, 2)="A","C",MID(A380, FIND("/", A380, FIND("/", A380) + 1) + 1, 2))</f>
        <v/>
      </c>
      <c r="I380" s="486">
        <f>TRIM(H380)</f>
        <v/>
      </c>
    </row>
    <row r="381" ht="15" customHeight="1">
      <c r="A381" s="491" t="inlineStr">
        <is>
          <t>KMT/242/E</t>
        </is>
      </c>
      <c r="B381" s="484">
        <f>+_xlfn.CONCAT(Tabella118[[#This Row],[Composizione]], " - ", Tabella118[[#This Row],[Fornitore]])</f>
        <v/>
      </c>
      <c r="C381" s="943" t="n">
        <v>0.317</v>
      </c>
      <c r="D381" s="484" t="inlineStr">
        <is>
          <t>Santerno</t>
        </is>
      </c>
      <c r="E381" s="484">
        <f>IFERROR(IF(H381="BC",Tabella118[[#This Row],[composizione concatenata]],IF(H381="C",Tabella118[[#This Row],[composizione concatenata]],VLOOKUP(I381,$K$2:$O$7,5,FALSE))),+Tabella118[[#This Row],[composizione concatenata]])</f>
        <v/>
      </c>
      <c r="F381" s="943">
        <f>+_xlfn.IFNA(VLOOKUP(Tabella118[[#This Row],[Composizione alternativa per digitale]],Tabella118[[composizione concatenata]:[Euro/Mq]],2,FALSE),VLOOKUP(H381,digitale[[ONDA]:[Fornitore]],3,FALSE))</f>
        <v/>
      </c>
      <c r="G381" s="484" t="n"/>
      <c r="H381" s="484">
        <f>IF(MID(A381, FIND("/", A381, FIND("/", A381) + 1) + 1, 2)="A","C",MID(A381, FIND("/", A381, FIND("/", A381) + 1) + 1, 2))</f>
        <v/>
      </c>
      <c r="I381" s="486">
        <f>TRIM(H381)</f>
        <v/>
      </c>
    </row>
    <row r="382" ht="15" customHeight="1">
      <c r="A382" s="484" t="inlineStr">
        <is>
          <t>KMT/242/E</t>
        </is>
      </c>
      <c r="B382" s="484">
        <f>+_xlfn.CONCAT(Tabella118[[#This Row],[Composizione]], " - ", Tabella118[[#This Row],[Fornitore]])</f>
        <v/>
      </c>
      <c r="C382" s="943" t="n">
        <v>0.285</v>
      </c>
      <c r="D382" s="484" t="inlineStr">
        <is>
          <t xml:space="preserve">Ds Smith </t>
        </is>
      </c>
      <c r="E382" s="484">
        <f>IFERROR(IF(H382="BC",Tabella118[[#This Row],[composizione concatenata]],IF(H382="C",Tabella118[[#This Row],[composizione concatenata]],VLOOKUP(I382,$K$2:$O$7,5,FALSE))),+Tabella118[[#This Row],[composizione concatenata]])</f>
        <v/>
      </c>
      <c r="F382" s="943">
        <f>+_xlfn.IFNA(VLOOKUP(Tabella118[[#This Row],[Composizione alternativa per digitale]],Tabella118[[composizione concatenata]:[Euro/Mq]],2,FALSE),VLOOKUP(H382,digitale[[ONDA]:[Fornitore]],3,FALSE))</f>
        <v/>
      </c>
      <c r="G382" s="484" t="n"/>
      <c r="H382" s="484">
        <f>IF(MID(A382, FIND("/", A382, FIND("/", A382) + 1) + 1, 2)="A","C",MID(A382, FIND("/", A382, FIND("/", A382) + 1) + 1, 2))</f>
        <v/>
      </c>
      <c r="I382" s="486">
        <f>TRIM(H382)</f>
        <v/>
      </c>
    </row>
    <row r="383" ht="15" customHeight="1">
      <c r="A383" s="484" t="inlineStr">
        <is>
          <t>KMT/242/E</t>
        </is>
      </c>
      <c r="B383" s="484">
        <f>+_xlfn.CONCAT(Tabella118[[#This Row],[Composizione]], " - ", Tabella118[[#This Row],[Fornitore]])</f>
        <v/>
      </c>
      <c r="C383" s="943" t="n">
        <v>0.26</v>
      </c>
      <c r="D383" s="484" t="inlineStr">
        <is>
          <t>Giusti</t>
        </is>
      </c>
      <c r="E383" s="484">
        <f>IFERROR(IF(H383="BC",Tabella118[[#This Row],[composizione concatenata]],IF(H383="C",Tabella118[[#This Row],[composizione concatenata]],VLOOKUP(I383,$K$2:$O$7,5,FALSE))),+Tabella118[[#This Row],[composizione concatenata]])</f>
        <v/>
      </c>
      <c r="F383" s="944">
        <f>+_xlfn.IFNA(VLOOKUP(Tabella118[[#This Row],[Composizione alternativa per digitale]],Tabella118[[composizione concatenata]:[Euro/Mq]],2,FALSE),VLOOKUP(H383,digitale[[ONDA]:[Fornitore]],3,FALSE))</f>
        <v/>
      </c>
      <c r="G383" s="484" t="n"/>
      <c r="H383" s="484">
        <f>IF(MID(A383, FIND("/", A383, FIND("/", A383) + 1) + 1, 2)="A","C",MID(A383, FIND("/", A383, FIND("/", A383) + 1) + 1, 2))</f>
        <v/>
      </c>
      <c r="I383" s="486">
        <f>TRIM(H383)</f>
        <v/>
      </c>
    </row>
    <row r="384" ht="15" customHeight="1">
      <c r="A384" s="483" t="inlineStr">
        <is>
          <t>KMT/242/E</t>
        </is>
      </c>
      <c r="B384" s="484">
        <f>+_xlfn.CONCAT(Tabella118[[#This Row],[Composizione]], " - ", Tabella118[[#This Row],[Fornitore]])</f>
        <v/>
      </c>
      <c r="C384" s="950" t="n">
        <v>0.244</v>
      </c>
      <c r="D384" s="484" t="inlineStr">
        <is>
          <t>Cartstrong</t>
        </is>
      </c>
      <c r="E384" s="484">
        <f>IFERROR(IF(H384="BC",Tabella118[[#This Row],[composizione concatenata]],IF(H384="C",Tabella118[[#This Row],[composizione concatenata]],VLOOKUP(I384,$K$2:$O$7,5,FALSE))),+Tabella118[[#This Row],[composizione concatenata]])</f>
        <v/>
      </c>
      <c r="F384" s="943">
        <f>+_xlfn.IFNA(VLOOKUP(Tabella118[[#This Row],[Composizione alternativa per digitale]],Tabella118[[composizione concatenata]:[Euro/Mq]],2,FALSE),VLOOKUP(H384,digitale[[ONDA]:[Fornitore]],3,FALSE))</f>
        <v/>
      </c>
      <c r="G384" s="484" t="n"/>
      <c r="H384" s="484">
        <f>IF(MID(A384, FIND("/", A384, FIND("/", A384) + 1) + 1, 2)="A","C",MID(A384, FIND("/", A384, FIND("/", A384) + 1) + 1, 2))</f>
        <v/>
      </c>
      <c r="I384" s="486">
        <f>TRIM(H384)</f>
        <v/>
      </c>
    </row>
    <row r="385" ht="15" customHeight="1">
      <c r="A385" s="491" t="inlineStr">
        <is>
          <t>KMT/242/E + ACC.</t>
        </is>
      </c>
      <c r="B385" s="484">
        <f>+_xlfn.CONCAT(Tabella118[[#This Row],[Composizione]], " - ", Tabella118[[#This Row],[Fornitore]])</f>
        <v/>
      </c>
      <c r="C385" s="943" t="n">
        <v>0.377</v>
      </c>
      <c r="D385" s="484" t="inlineStr">
        <is>
          <t>Santerno</t>
        </is>
      </c>
      <c r="E385" s="484">
        <f>IFERROR(IF(H385="BC",Tabella118[[#This Row],[composizione concatenata]],IF(H385="C",Tabella118[[#This Row],[composizione concatenata]],VLOOKUP(I385,$K$2:$O$7,5,FALSE))),+Tabella118[[#This Row],[composizione concatenata]])</f>
        <v/>
      </c>
      <c r="F385" s="943">
        <f>+_xlfn.IFNA(VLOOKUP(Tabella118[[#This Row],[Composizione alternativa per digitale]],Tabella118[[composizione concatenata]:[Euro/Mq]],2,FALSE),VLOOKUP(H385,digitale[[ONDA]:[Fornitore]],3,FALSE))</f>
        <v/>
      </c>
      <c r="G385" s="484" t="n"/>
      <c r="H385" s="484">
        <f>IF(MID(A385, FIND("/", A385, FIND("/", A385) + 1) + 1, 2)="A","C",MID(A385, FIND("/", A385, FIND("/", A385) + 1) + 1, 2))</f>
        <v/>
      </c>
      <c r="I385" s="486">
        <f>TRIM(H385)</f>
        <v/>
      </c>
    </row>
    <row r="386" ht="15" customHeight="1">
      <c r="A386" s="484" t="inlineStr">
        <is>
          <t>KMT/262/B</t>
        </is>
      </c>
      <c r="B386" s="484">
        <f>+_xlfn.CONCAT(Tabella118[[#This Row],[Composizione]], " - ", Tabella118[[#This Row],[Fornitore]])</f>
        <v/>
      </c>
      <c r="C386" s="943" t="n">
        <v>0.305</v>
      </c>
      <c r="D386" s="484" t="inlineStr">
        <is>
          <t xml:space="preserve">Ds Smith </t>
        </is>
      </c>
      <c r="E386" s="484">
        <f>IFERROR(IF(H386="BC",Tabella118[[#This Row],[composizione concatenata]],IF(H386="C",Tabella118[[#This Row],[composizione concatenata]],VLOOKUP(I386,$K$2:$O$7,5,FALSE))),+Tabella118[[#This Row],[composizione concatenata]])</f>
        <v/>
      </c>
      <c r="F386" s="943">
        <f>+_xlfn.IFNA(VLOOKUP(Tabella118[[#This Row],[Composizione alternativa per digitale]],Tabella118[[composizione concatenata]:[Euro/Mq]],2,FALSE),VLOOKUP(H386,digitale[[ONDA]:[Fornitore]],3,FALSE))</f>
        <v/>
      </c>
      <c r="G386" s="484" t="n"/>
      <c r="H386" s="484">
        <f>IF(MID(A386, FIND("/", A386, FIND("/", A386) + 1) + 1, 2)="A","C",MID(A386, FIND("/", A386, FIND("/", A386) + 1) + 1, 2))</f>
        <v/>
      </c>
      <c r="I386" s="486">
        <f>TRIM(H386)</f>
        <v/>
      </c>
    </row>
    <row r="387" ht="15" customHeight="1">
      <c r="A387" s="484" t="inlineStr">
        <is>
          <t>KMT/262/B</t>
        </is>
      </c>
      <c r="B387" s="484">
        <f>+_xlfn.CONCAT(Tabella118[[#This Row],[Composizione]], " - ", Tabella118[[#This Row],[Fornitore]])</f>
        <v/>
      </c>
      <c r="C387" s="943" t="n">
        <v>0.295</v>
      </c>
      <c r="D387" s="484" t="inlineStr">
        <is>
          <t>Giusti</t>
        </is>
      </c>
      <c r="E387" s="484">
        <f>IFERROR(IF(H387="BC",Tabella118[[#This Row],[composizione concatenata]],IF(H387="C",Tabella118[[#This Row],[composizione concatenata]],VLOOKUP(I387,$K$2:$O$7,5,FALSE))),+Tabella118[[#This Row],[composizione concatenata]])</f>
        <v/>
      </c>
      <c r="F387" s="944">
        <f>+_xlfn.IFNA(VLOOKUP(Tabella118[[#This Row],[Composizione alternativa per digitale]],Tabella118[[composizione concatenata]:[Euro/Mq]],2,FALSE),VLOOKUP(H387,digitale[[ONDA]:[Fornitore]],3,FALSE))</f>
        <v/>
      </c>
      <c r="G387" s="484" t="n"/>
      <c r="H387" s="484">
        <f>IF(MID(A387, FIND("/", A387, FIND("/", A387) + 1) + 1, 2)="A","C",MID(A387, FIND("/", A387, FIND("/", A387) + 1) + 1, 2))</f>
        <v/>
      </c>
      <c r="I387" s="486">
        <f>TRIM(H387)</f>
        <v/>
      </c>
    </row>
    <row r="388" ht="15" customHeight="1">
      <c r="A388" s="483" t="inlineStr">
        <is>
          <t>KMT/262/B</t>
        </is>
      </c>
      <c r="B388" s="484">
        <f>+_xlfn.CONCAT(Tabella118[[#This Row],[Composizione]], " - ", Tabella118[[#This Row],[Fornitore]])</f>
        <v/>
      </c>
      <c r="C388" s="950" t="n">
        <v>0.272</v>
      </c>
      <c r="D388" s="484" t="inlineStr">
        <is>
          <t>Cartstrong</t>
        </is>
      </c>
      <c r="E388" s="484">
        <f>IFERROR(IF(H388="BC",Tabella118[[#This Row],[composizione concatenata]],IF(H388="C",Tabella118[[#This Row],[composizione concatenata]],VLOOKUP(I388,$K$2:$O$7,5,FALSE))),+Tabella118[[#This Row],[composizione concatenata]])</f>
        <v/>
      </c>
      <c r="F388" s="943">
        <f>+_xlfn.IFNA(VLOOKUP(Tabella118[[#This Row],[Composizione alternativa per digitale]],Tabella118[[composizione concatenata]:[Euro/Mq]],2,FALSE),VLOOKUP(H388,digitale[[ONDA]:[Fornitore]],3,FALSE))</f>
        <v/>
      </c>
      <c r="G388" s="484" t="n"/>
      <c r="H388" s="484">
        <f>IF(MID(A388, FIND("/", A388, FIND("/", A388) + 1) + 1, 2)="A","C",MID(A388, FIND("/", A388, FIND("/", A388) + 1) + 1, 2))</f>
        <v/>
      </c>
      <c r="I388" s="486">
        <f>TRIM(H388)</f>
        <v/>
      </c>
    </row>
    <row r="389" ht="15" customHeight="1">
      <c r="A389" s="484" t="inlineStr">
        <is>
          <t>KMT/262/C</t>
        </is>
      </c>
      <c r="B389" s="484">
        <f>+_xlfn.CONCAT(Tabella118[[#This Row],[Composizione]], " - ", Tabella118[[#This Row],[Fornitore]])</f>
        <v/>
      </c>
      <c r="C389" s="943" t="n">
        <v>0.315</v>
      </c>
      <c r="D389" s="484" t="inlineStr">
        <is>
          <t xml:space="preserve">Ds Smith </t>
        </is>
      </c>
      <c r="E389" s="484">
        <f>IFERROR(IF(H389="BC",Tabella118[[#This Row],[composizione concatenata]],IF(H389="C",Tabella118[[#This Row],[composizione concatenata]],VLOOKUP(I389,$K$2:$O$7,5,FALSE))),+Tabella118[[#This Row],[composizione concatenata]])</f>
        <v/>
      </c>
      <c r="F389" s="943">
        <f>+_xlfn.IFNA(VLOOKUP(Tabella118[[#This Row],[Composizione alternativa per digitale]],Tabella118[[composizione concatenata]:[Euro/Mq]],2,FALSE),VLOOKUP(H389,digitale[[ONDA]:[Fornitore]],3,FALSE))</f>
        <v/>
      </c>
      <c r="G389" s="484" t="n"/>
      <c r="H389" s="484">
        <f>IF(MID(A389, FIND("/", A389, FIND("/", A389) + 1) + 1, 2)="A","C",MID(A389, FIND("/", A389, FIND("/", A389) + 1) + 1, 2))</f>
        <v/>
      </c>
      <c r="I389" s="486">
        <f>TRIM(H389)</f>
        <v/>
      </c>
    </row>
    <row r="390" ht="15" customHeight="1">
      <c r="A390" s="484" t="inlineStr">
        <is>
          <t>KMT/262/C</t>
        </is>
      </c>
      <c r="B390" s="484">
        <f>+_xlfn.CONCAT(Tabella118[[#This Row],[Composizione]], " - ", Tabella118[[#This Row],[Fornitore]])</f>
        <v/>
      </c>
      <c r="C390" s="943" t="n">
        <v>0.301</v>
      </c>
      <c r="D390" s="484" t="inlineStr">
        <is>
          <t>Giusti</t>
        </is>
      </c>
      <c r="E390" s="484">
        <f>IFERROR(IF(H390="BC",Tabella118[[#This Row],[composizione concatenata]],IF(H390="C",Tabella118[[#This Row],[composizione concatenata]],VLOOKUP(I390,$K$2:$O$7,5,FALSE))),+Tabella118[[#This Row],[composizione concatenata]])</f>
        <v/>
      </c>
      <c r="F390" s="944">
        <f>+_xlfn.IFNA(VLOOKUP(Tabella118[[#This Row],[Composizione alternativa per digitale]],Tabella118[[composizione concatenata]:[Euro/Mq]],2,FALSE),VLOOKUP(H390,digitale[[ONDA]:[Fornitore]],3,FALSE))</f>
        <v/>
      </c>
      <c r="G390" s="484" t="n"/>
      <c r="H390" s="484">
        <f>IF(MID(A390, FIND("/", A390, FIND("/", A390) + 1) + 1, 2)="A","C",MID(A390, FIND("/", A390, FIND("/", A390) + 1) + 1, 2))</f>
        <v/>
      </c>
      <c r="I390" s="486">
        <f>TRIM(H390)</f>
        <v/>
      </c>
    </row>
    <row r="391" ht="15" customHeight="1">
      <c r="A391" s="483" t="inlineStr">
        <is>
          <t>KMT/262/C</t>
        </is>
      </c>
      <c r="B391" s="484">
        <f>+_xlfn.CONCAT(Tabella118[[#This Row],[Composizione]], " - ", Tabella118[[#This Row],[Fornitore]])</f>
        <v/>
      </c>
      <c r="C391" s="950" t="n">
        <v>0.278</v>
      </c>
      <c r="D391" s="484" t="inlineStr">
        <is>
          <t>Cartstrong</t>
        </is>
      </c>
      <c r="E391" s="484">
        <f>IFERROR(IF(H391="BC",Tabella118[[#This Row],[composizione concatenata]],IF(H391="C",Tabella118[[#This Row],[composizione concatenata]],VLOOKUP(I391,$K$2:$O$7,5,FALSE))),+Tabella118[[#This Row],[composizione concatenata]])</f>
        <v/>
      </c>
      <c r="F391" s="943">
        <f>+_xlfn.IFNA(VLOOKUP(Tabella118[[#This Row],[Composizione alternativa per digitale]],Tabella118[[composizione concatenata]:[Euro/Mq]],2,FALSE),VLOOKUP(H391,digitale[[ONDA]:[Fornitore]],3,FALSE))</f>
        <v/>
      </c>
      <c r="G391" s="484" t="n"/>
      <c r="H391" s="484">
        <f>IF(MID(A391, FIND("/", A391, FIND("/", A391) + 1) + 1, 2)="A","C",MID(A391, FIND("/", A391, FIND("/", A391) + 1) + 1, 2))</f>
        <v/>
      </c>
      <c r="I391" s="486">
        <f>TRIM(H391)</f>
        <v/>
      </c>
    </row>
    <row r="392" ht="15" customHeight="1">
      <c r="A392" s="484" t="inlineStr">
        <is>
          <t>KMT/262/E</t>
        </is>
      </c>
      <c r="B392" s="484">
        <f>+_xlfn.CONCAT(Tabella118[[#This Row],[Composizione]], " - ", Tabella118[[#This Row],[Fornitore]])</f>
        <v/>
      </c>
      <c r="C392" s="943" t="n">
        <v>0.3</v>
      </c>
      <c r="D392" s="484" t="inlineStr">
        <is>
          <t xml:space="preserve">Ds Smith </t>
        </is>
      </c>
      <c r="E392" s="484">
        <f>IFERROR(IF(H392="BC",Tabella118[[#This Row],[composizione concatenata]],IF(H392="C",Tabella118[[#This Row],[composizione concatenata]],VLOOKUP(I392,$K$2:$O$7,5,FALSE))),+Tabella118[[#This Row],[composizione concatenata]])</f>
        <v/>
      </c>
      <c r="F392" s="943">
        <f>+_xlfn.IFNA(VLOOKUP(Tabella118[[#This Row],[Composizione alternativa per digitale]],Tabella118[[composizione concatenata]:[Euro/Mq]],2,FALSE),VLOOKUP(H392,digitale[[ONDA]:[Fornitore]],3,FALSE))</f>
        <v/>
      </c>
      <c r="G392" s="484" t="n"/>
      <c r="H392" s="484">
        <f>IF(MID(A392, FIND("/", A392, FIND("/", A392) + 1) + 1, 2)="A","C",MID(A392, FIND("/", A392, FIND("/", A392) + 1) + 1, 2))</f>
        <v/>
      </c>
      <c r="I392" s="486">
        <f>TRIM(H392)</f>
        <v/>
      </c>
    </row>
    <row r="393" ht="15" customHeight="1">
      <c r="A393" s="491" t="inlineStr">
        <is>
          <t>KMT/264/B</t>
        </is>
      </c>
      <c r="B393" s="484">
        <f>+_xlfn.CONCAT(Tabella118[[#This Row],[Composizione]], " - ", Tabella118[[#This Row],[Fornitore]])</f>
        <v/>
      </c>
      <c r="C393" s="943" t="n">
        <v>0.37</v>
      </c>
      <c r="D393" s="484" t="inlineStr">
        <is>
          <t>Santerno</t>
        </is>
      </c>
      <c r="E393" s="484">
        <f>IFERROR(IF(H393="BC",Tabella118[[#This Row],[composizione concatenata]],IF(H393="C",Tabella118[[#This Row],[composizione concatenata]],VLOOKUP(I393,$K$2:$O$7,5,FALSE))),+Tabella118[[#This Row],[composizione concatenata]])</f>
        <v/>
      </c>
      <c r="F393" s="943">
        <f>+_xlfn.IFNA(VLOOKUP(Tabella118[[#This Row],[Composizione alternativa per digitale]],Tabella118[[composizione concatenata]:[Euro/Mq]],2,FALSE),VLOOKUP(H393,digitale[[ONDA]:[Fornitore]],3,FALSE))</f>
        <v/>
      </c>
      <c r="G393" s="484" t="n"/>
      <c r="H393" s="484">
        <f>IF(MID(A393, FIND("/", A393, FIND("/", A393) + 1) + 1, 2)="A","C",MID(A393, FIND("/", A393, FIND("/", A393) + 1) + 1, 2))</f>
        <v/>
      </c>
      <c r="I393" s="486">
        <f>TRIM(H393)</f>
        <v/>
      </c>
    </row>
    <row r="394" ht="15" customHeight="1">
      <c r="A394" s="491" t="inlineStr">
        <is>
          <t>KMT/264/B + ACC.</t>
        </is>
      </c>
      <c r="B394" s="484">
        <f>+_xlfn.CONCAT(Tabella118[[#This Row],[Composizione]], " - ", Tabella118[[#This Row],[Fornitore]])</f>
        <v/>
      </c>
      <c r="C394" s="943" t="n">
        <v>0.43</v>
      </c>
      <c r="D394" s="484" t="inlineStr">
        <is>
          <t>Santerno</t>
        </is>
      </c>
      <c r="E394" s="484">
        <f>IFERROR(IF(H394="BC",Tabella118[[#This Row],[composizione concatenata]],IF(H394="C",Tabella118[[#This Row],[composizione concatenata]],VLOOKUP(I394,$K$2:$O$7,5,FALSE))),+Tabella118[[#This Row],[composizione concatenata]])</f>
        <v/>
      </c>
      <c r="F394" s="943">
        <f>+_xlfn.IFNA(VLOOKUP(Tabella118[[#This Row],[Composizione alternativa per digitale]],Tabella118[[composizione concatenata]:[Euro/Mq]],2,FALSE),VLOOKUP(H394,digitale[[ONDA]:[Fornitore]],3,FALSE))</f>
        <v/>
      </c>
      <c r="G394" s="484" t="n"/>
      <c r="H394" s="484">
        <f>IF(MID(A394, FIND("/", A394, FIND("/", A394) + 1) + 1, 2)="A","C",MID(A394, FIND("/", A394, FIND("/", A394) + 1) + 1, 2))</f>
        <v/>
      </c>
      <c r="I394" s="486">
        <f>TRIM(H394)</f>
        <v/>
      </c>
    </row>
    <row r="395" ht="15" customHeight="1">
      <c r="A395" s="484" t="inlineStr">
        <is>
          <t>KMT/342/B</t>
        </is>
      </c>
      <c r="B395" s="484">
        <f>+_xlfn.CONCAT(Tabella118[[#This Row],[Composizione]], " - ", Tabella118[[#This Row],[Fornitore]])</f>
        <v/>
      </c>
      <c r="C395" s="943" t="n">
        <v>0.278</v>
      </c>
      <c r="D395" s="484" t="inlineStr">
        <is>
          <t>Giusti</t>
        </is>
      </c>
      <c r="E395" s="484">
        <f>IFERROR(IF(H395="BC",Tabella118[[#This Row],[composizione concatenata]],IF(H395="C",Tabella118[[#This Row],[composizione concatenata]],VLOOKUP(I395,$K$2:$O$7,5,FALSE))),+Tabella118[[#This Row],[composizione concatenata]])</f>
        <v/>
      </c>
      <c r="F395" s="944">
        <f>+_xlfn.IFNA(VLOOKUP(Tabella118[[#This Row],[Composizione alternativa per digitale]],Tabella118[[composizione concatenata]:[Euro/Mq]],2,FALSE),VLOOKUP(H395,digitale[[ONDA]:[Fornitore]],3,FALSE))</f>
        <v/>
      </c>
      <c r="G395" s="484" t="n"/>
      <c r="H395" s="484">
        <f>IF(MID(A395, FIND("/", A395, FIND("/", A395) + 1) + 1, 2)="A","C",MID(A395, FIND("/", A395, FIND("/", A395) + 1) + 1, 2))</f>
        <v/>
      </c>
      <c r="I395" s="486">
        <f>TRIM(H395)</f>
        <v/>
      </c>
    </row>
    <row r="396" ht="15" customHeight="1">
      <c r="A396" s="483" t="inlineStr">
        <is>
          <t>KMT/342/B</t>
        </is>
      </c>
      <c r="B396" s="484">
        <f>+_xlfn.CONCAT(Tabella118[[#This Row],[Composizione]], " - ", Tabella118[[#This Row],[Fornitore]])</f>
        <v/>
      </c>
      <c r="C396" s="950" t="n">
        <v>0.26</v>
      </c>
      <c r="D396" s="484" t="inlineStr">
        <is>
          <t>Cartstrong</t>
        </is>
      </c>
      <c r="E396" s="484">
        <f>IFERROR(IF(H396="BC",Tabella118[[#This Row],[composizione concatenata]],IF(H396="C",Tabella118[[#This Row],[composizione concatenata]],VLOOKUP(I396,$K$2:$O$7,5,FALSE))),+Tabella118[[#This Row],[composizione concatenata]])</f>
        <v/>
      </c>
      <c r="F396" s="943">
        <f>+_xlfn.IFNA(VLOOKUP(Tabella118[[#This Row],[Composizione alternativa per digitale]],Tabella118[[composizione concatenata]:[Euro/Mq]],2,FALSE),VLOOKUP(H396,digitale[[ONDA]:[Fornitore]],3,FALSE))</f>
        <v/>
      </c>
      <c r="G396" s="484" t="n"/>
      <c r="H396" s="484">
        <f>IF(MID(A396, FIND("/", A396, FIND("/", A396) + 1) + 1, 2)="A","C",MID(A396, FIND("/", A396, FIND("/", A396) + 1) + 1, 2))</f>
        <v/>
      </c>
      <c r="I396" s="486">
        <f>TRIM(H396)</f>
        <v/>
      </c>
    </row>
    <row r="397" ht="15" customHeight="1">
      <c r="A397" s="484" t="inlineStr">
        <is>
          <t>KMT/342/E</t>
        </is>
      </c>
      <c r="B397" s="484">
        <f>+_xlfn.CONCAT(Tabella118[[#This Row],[Composizione]], " - ", Tabella118[[#This Row],[Fornitore]])</f>
        <v/>
      </c>
      <c r="C397" s="943" t="n">
        <v>0.274</v>
      </c>
      <c r="D397" s="484" t="inlineStr">
        <is>
          <t>Giusti</t>
        </is>
      </c>
      <c r="E397" s="484">
        <f>IFERROR(IF(H397="BC",Tabella118[[#This Row],[composizione concatenata]],IF(H397="C",Tabella118[[#This Row],[composizione concatenata]],VLOOKUP(I397,$K$2:$O$7,5,FALSE))),+Tabella118[[#This Row],[composizione concatenata]])</f>
        <v/>
      </c>
      <c r="F397" s="944">
        <f>+_xlfn.IFNA(VLOOKUP(Tabella118[[#This Row],[Composizione alternativa per digitale]],Tabella118[[composizione concatenata]:[Euro/Mq]],2,FALSE),VLOOKUP(H397,digitale[[ONDA]:[Fornitore]],3,FALSE))</f>
        <v/>
      </c>
      <c r="G397" s="484" t="n"/>
      <c r="H397" s="484">
        <f>IF(MID(A397, FIND("/", A397, FIND("/", A397) + 1) + 1, 2)="A","C",MID(A397, FIND("/", A397, FIND("/", A397) + 1) + 1, 2))</f>
        <v/>
      </c>
      <c r="I397" s="486">
        <f>TRIM(H397)</f>
        <v/>
      </c>
    </row>
    <row r="398" ht="15" customHeight="1">
      <c r="A398" s="484" t="inlineStr">
        <is>
          <t>KMT/343/B</t>
        </is>
      </c>
      <c r="B398" s="484">
        <f>+_xlfn.CONCAT(Tabella118[[#This Row],[Composizione]], " - ", Tabella118[[#This Row],[Fornitore]])</f>
        <v/>
      </c>
      <c r="C398" s="943" t="n">
        <v>0.301</v>
      </c>
      <c r="D398" s="484" t="inlineStr">
        <is>
          <t>Giusti</t>
        </is>
      </c>
      <c r="E398" s="484">
        <f>IFERROR(IF(H398="BC",Tabella118[[#This Row],[composizione concatenata]],IF(H398="C",Tabella118[[#This Row],[composizione concatenata]],VLOOKUP(I398,$K$2:$O$7,5,FALSE))),+Tabella118[[#This Row],[composizione concatenata]])</f>
        <v/>
      </c>
      <c r="F398" s="944">
        <f>+_xlfn.IFNA(VLOOKUP(Tabella118[[#This Row],[Composizione alternativa per digitale]],Tabella118[[composizione concatenata]:[Euro/Mq]],2,FALSE),VLOOKUP(H398,digitale[[ONDA]:[Fornitore]],3,FALSE))</f>
        <v/>
      </c>
      <c r="G398" s="484" t="n"/>
      <c r="H398" s="484">
        <f>IF(MID(A398, FIND("/", A398, FIND("/", A398) + 1) + 1, 2)="A","C",MID(A398, FIND("/", A398, FIND("/", A398) + 1) + 1, 2))</f>
        <v/>
      </c>
      <c r="I398" s="486">
        <f>TRIM(H398)</f>
        <v/>
      </c>
    </row>
    <row r="399" ht="15" customHeight="1">
      <c r="A399" s="484" t="inlineStr">
        <is>
          <t>KMT/362/B</t>
        </is>
      </c>
      <c r="B399" s="484">
        <f>+_xlfn.CONCAT(Tabella118[[#This Row],[Composizione]], " - ", Tabella118[[#This Row],[Fornitore]])</f>
        <v/>
      </c>
      <c r="C399" s="943" t="n">
        <v>0.304</v>
      </c>
      <c r="D399" s="484" t="inlineStr">
        <is>
          <t>Giusti</t>
        </is>
      </c>
      <c r="E399" s="484">
        <f>IFERROR(IF(H399="BC",Tabella118[[#This Row],[composizione concatenata]],IF(H399="C",Tabella118[[#This Row],[composizione concatenata]],VLOOKUP(I399,$K$2:$O$7,5,FALSE))),+Tabella118[[#This Row],[composizione concatenata]])</f>
        <v/>
      </c>
      <c r="F399" s="944">
        <f>+_xlfn.IFNA(VLOOKUP(Tabella118[[#This Row],[Composizione alternativa per digitale]],Tabella118[[composizione concatenata]:[Euro/Mq]],2,FALSE),VLOOKUP(H399,digitale[[ONDA]:[Fornitore]],3,FALSE))</f>
        <v/>
      </c>
      <c r="G399" s="484" t="n"/>
      <c r="H399" s="484">
        <f>IF(MID(A399, FIND("/", A399, FIND("/", A399) + 1) + 1, 2)="A","C",MID(A399, FIND("/", A399, FIND("/", A399) + 1) + 1, 2))</f>
        <v/>
      </c>
      <c r="I399" s="486">
        <f>TRIM(H399)</f>
        <v/>
      </c>
    </row>
    <row r="400" ht="15" customHeight="1">
      <c r="A400" s="483" t="inlineStr">
        <is>
          <t>KMT/363/B</t>
        </is>
      </c>
      <c r="B400" s="484">
        <f>+_xlfn.CONCAT(Tabella118[[#This Row],[Composizione]], " - ", Tabella118[[#This Row],[Fornitore]])</f>
        <v/>
      </c>
      <c r="C400" s="950" t="n">
        <v>0.293</v>
      </c>
      <c r="D400" s="484" t="inlineStr">
        <is>
          <t>Cartstrong</t>
        </is>
      </c>
      <c r="E400" s="484">
        <f>IFERROR(IF(H400="BC",Tabella118[[#This Row],[composizione concatenata]],IF(H400="C",Tabella118[[#This Row],[composizione concatenata]],VLOOKUP(I400,$K$2:$O$7,5,FALSE))),+Tabella118[[#This Row],[composizione concatenata]])</f>
        <v/>
      </c>
      <c r="F400" s="943">
        <f>+_xlfn.IFNA(VLOOKUP(Tabella118[[#This Row],[Composizione alternativa per digitale]],Tabella118[[composizione concatenata]:[Euro/Mq]],2,FALSE),VLOOKUP(H400,digitale[[ONDA]:[Fornitore]],3,FALSE))</f>
        <v/>
      </c>
      <c r="G400" s="484" t="n"/>
      <c r="H400" s="484">
        <f>IF(MID(A400, FIND("/", A400, FIND("/", A400) + 1) + 1, 2)="A","C",MID(A400, FIND("/", A400, FIND("/", A400) + 1) + 1, 2))</f>
        <v/>
      </c>
      <c r="I400" s="486">
        <f>TRIM(H400)</f>
        <v/>
      </c>
    </row>
    <row r="401" ht="15" customHeight="1">
      <c r="A401" s="491" t="inlineStr">
        <is>
          <t>KMTb/463/B</t>
        </is>
      </c>
      <c r="B401" s="484">
        <f>+_xlfn.CONCAT(Tabella118[[#This Row],[Composizione]], " - ", Tabella118[[#This Row],[Fornitore]])</f>
        <v/>
      </c>
      <c r="C401" s="943" t="n">
        <v>0.432</v>
      </c>
      <c r="D401" s="484" t="inlineStr">
        <is>
          <t>Santerno</t>
        </is>
      </c>
      <c r="E401" s="484">
        <f>IFERROR(IF(H401="BC",Tabella118[[#This Row],[composizione concatenata]],IF(H401="C",Tabella118[[#This Row],[composizione concatenata]],VLOOKUP(I401,$K$2:$O$7,5,FALSE))),+Tabella118[[#This Row],[composizione concatenata]])</f>
        <v/>
      </c>
      <c r="F401" s="943">
        <f>+_xlfn.IFNA(VLOOKUP(Tabella118[[#This Row],[Composizione alternativa per digitale]],Tabella118[[composizione concatenata]:[Euro/Mq]],2,FALSE),VLOOKUP(H401,digitale[[ONDA]:[Fornitore]],3,FALSE))</f>
        <v/>
      </c>
      <c r="G401" s="484" t="n"/>
      <c r="H401" s="484">
        <f>IF(MID(A401, FIND("/", A401, FIND("/", A401) + 1) + 1, 2)="A","C",MID(A401, FIND("/", A401, FIND("/", A401) + 1) + 1, 2))</f>
        <v/>
      </c>
      <c r="I401" s="486">
        <f>TRIM(H401)</f>
        <v/>
      </c>
    </row>
    <row r="402" ht="15" customHeight="1">
      <c r="A402" s="491" t="inlineStr">
        <is>
          <t>KMTb/463/B + ACC.</t>
        </is>
      </c>
      <c r="B402" s="484">
        <f>+_xlfn.CONCAT(Tabella118[[#This Row],[Composizione]], " - ", Tabella118[[#This Row],[Fornitore]])</f>
        <v/>
      </c>
      <c r="C402" s="943" t="n">
        <v>0.492</v>
      </c>
      <c r="D402" s="484" t="inlineStr">
        <is>
          <t>Santerno</t>
        </is>
      </c>
      <c r="E402" s="484">
        <f>IFERROR(IF(H402="BC",Tabella118[[#This Row],[composizione concatenata]],IF(H402="C",Tabella118[[#This Row],[composizione concatenata]],VLOOKUP(I402,$K$2:$O$7,5,FALSE))),+Tabella118[[#This Row],[composizione concatenata]])</f>
        <v/>
      </c>
      <c r="F402" s="943">
        <f>+_xlfn.IFNA(VLOOKUP(Tabella118[[#This Row],[Composizione alternativa per digitale]],Tabella118[[composizione concatenata]:[Euro/Mq]],2,FALSE),VLOOKUP(H402,digitale[[ONDA]:[Fornitore]],3,FALSE))</f>
        <v/>
      </c>
      <c r="G402" s="484" t="n"/>
      <c r="H402" s="484">
        <f>IF(MID(A402, FIND("/", A402, FIND("/", A402) + 1) + 1, 2)="A","C",MID(A402, FIND("/", A402, FIND("/", A402) + 1) + 1, 2))</f>
        <v/>
      </c>
      <c r="I402" s="486">
        <f>TRIM(H402)</f>
        <v/>
      </c>
    </row>
    <row r="403" ht="15" customHeight="1">
      <c r="A403" s="484" t="inlineStr">
        <is>
          <t>KMUK/242/E</t>
        </is>
      </c>
      <c r="B403" s="484">
        <f>+_xlfn.CONCAT(Tabella118[[#This Row],[Composizione]], " - ", Tabella118[[#This Row],[Fornitore]])</f>
        <v/>
      </c>
      <c r="C403" s="943" t="n">
        <v>0.285</v>
      </c>
      <c r="D403" s="484" t="inlineStr">
        <is>
          <t>FEPA</t>
        </is>
      </c>
      <c r="E403" s="484">
        <f>IFERROR(IF(H403="BC",Tabella118[[#This Row],[composizione concatenata]],IF(H403="C",Tabella118[[#This Row],[composizione concatenata]],VLOOKUP(I403,$K$2:$O$7,5,FALSE))),+Tabella118[[#This Row],[composizione concatenata]])</f>
        <v/>
      </c>
      <c r="F403" s="944">
        <f>+_xlfn.IFNA(VLOOKUP(Tabella118[[#This Row],[Composizione alternativa per digitale]],Tabella118[[composizione concatenata]:[Euro/Mq]],2,FALSE),VLOOKUP(H403,digitale[[ONDA]:[Fornitore]],3,FALSE))</f>
        <v/>
      </c>
      <c r="G403" s="484" t="n"/>
      <c r="H403" s="484">
        <f>IF(MID(A403, FIND("/", A403, FIND("/", A403) + 1) + 1, 2)="A","C",MID(A403, FIND("/", A403, FIND("/", A403) + 1) + 1, 2))</f>
        <v/>
      </c>
      <c r="I403" s="486">
        <f>TRIM(H403)</f>
        <v/>
      </c>
    </row>
    <row r="404" ht="15" customHeight="1">
      <c r="A404" s="491" t="inlineStr">
        <is>
          <t>KS/22/e</t>
        </is>
      </c>
      <c r="B404" s="484">
        <f>+_xlfn.CONCAT(Tabella118[[#This Row],[Composizione]], " - ", Tabella118[[#This Row],[Fornitore]])</f>
        <v/>
      </c>
      <c r="C404" s="943" t="n">
        <v>0.303</v>
      </c>
      <c r="D404" s="484" t="inlineStr">
        <is>
          <t>Santerno</t>
        </is>
      </c>
      <c r="E404" s="484">
        <f>IFERROR(IF(H404="BC",Tabella118[[#This Row],[composizione concatenata]],IF(H404="C",Tabella118[[#This Row],[composizione concatenata]],VLOOKUP(I404,$K$2:$O$7,5,FALSE))),+Tabella118[[#This Row],[composizione concatenata]])</f>
        <v/>
      </c>
      <c r="F404" s="943">
        <f>+_xlfn.IFNA(VLOOKUP(Tabella118[[#This Row],[Composizione alternativa per digitale]],Tabella118[[composizione concatenata]:[Euro/Mq]],2,FALSE),VLOOKUP(H404,digitale[[ONDA]:[Fornitore]],3,FALSE))</f>
        <v/>
      </c>
      <c r="G404" s="484" t="n"/>
      <c r="H404" s="484">
        <f>IF(MID(A404, FIND("/", A404, FIND("/", A404) + 1) + 1, 2)="A","C",MID(A404, FIND("/", A404, FIND("/", A404) + 1) + 1, 2))</f>
        <v/>
      </c>
      <c r="I404" s="486">
        <f>TRIM(H404)</f>
        <v/>
      </c>
    </row>
    <row r="405" ht="15" customHeight="1">
      <c r="A405" s="491" t="inlineStr">
        <is>
          <t>KS/22/e + ACC.</t>
        </is>
      </c>
      <c r="B405" s="484">
        <f>+_xlfn.CONCAT(Tabella118[[#This Row],[Composizione]], " - ", Tabella118[[#This Row],[Fornitore]])</f>
        <v/>
      </c>
      <c r="C405" s="943" t="n">
        <v>0.358</v>
      </c>
      <c r="D405" s="484" t="inlineStr">
        <is>
          <t>Santerno</t>
        </is>
      </c>
      <c r="E405" s="484">
        <f>IFERROR(IF(H405="BC",Tabella118[[#This Row],[composizione concatenata]],IF(H405="C",Tabella118[[#This Row],[composizione concatenata]],VLOOKUP(I405,$K$2:$O$7,5,FALSE))),+Tabella118[[#This Row],[composizione concatenata]])</f>
        <v/>
      </c>
      <c r="F405" s="943">
        <f>+_xlfn.IFNA(VLOOKUP(Tabella118[[#This Row],[Composizione alternativa per digitale]],Tabella118[[composizione concatenata]:[Euro/Mq]],2,FALSE),VLOOKUP(H405,digitale[[ONDA]:[Fornitore]],3,FALSE))</f>
        <v/>
      </c>
      <c r="G405" s="484" t="n"/>
      <c r="H405" s="484">
        <f>IF(MID(A405, FIND("/", A405, FIND("/", A405) + 1) + 1, 2)="A","C",MID(A405, FIND("/", A405, FIND("/", A405) + 1) + 1, 2))</f>
        <v/>
      </c>
      <c r="I405" s="486">
        <f>TRIM(H405)</f>
        <v/>
      </c>
    </row>
    <row r="406" ht="15" customHeight="1">
      <c r="A406" s="484" t="inlineStr">
        <is>
          <t>KSEK/222/E</t>
        </is>
      </c>
      <c r="B406" s="484">
        <f>+_xlfn.CONCAT(Tabella118[[#This Row],[Composizione]], " - ", Tabella118[[#This Row],[Fornitore]])</f>
        <v/>
      </c>
      <c r="C406" s="943" t="n">
        <v>0.38</v>
      </c>
      <c r="D406" s="484" t="inlineStr">
        <is>
          <t>FEPA</t>
        </is>
      </c>
      <c r="E406" s="484">
        <f>IFERROR(IF(H406="BC",Tabella118[[#This Row],[composizione concatenata]],IF(H406="C",Tabella118[[#This Row],[composizione concatenata]],VLOOKUP(I406,$K$2:$O$7,5,FALSE))),+Tabella118[[#This Row],[composizione concatenata]])</f>
        <v/>
      </c>
      <c r="F406" s="944">
        <f>+_xlfn.IFNA(VLOOKUP(Tabella118[[#This Row],[Composizione alternativa per digitale]],Tabella118[[composizione concatenata]:[Euro/Mq]],2,FALSE),VLOOKUP(H406,digitale[[ONDA]:[Fornitore]],3,FALSE))</f>
        <v/>
      </c>
      <c r="G406" s="484" t="n"/>
      <c r="H406" s="484">
        <f>IF(MID(A406, FIND("/", A406, FIND("/", A406) + 1) + 1, 2)="A","C",MID(A406, FIND("/", A406, FIND("/", A406) + 1) + 1, 2))</f>
        <v/>
      </c>
      <c r="I406" s="486">
        <f>TRIM(H406)</f>
        <v/>
      </c>
    </row>
    <row r="407" ht="15" customHeight="1">
      <c r="A407" s="484" t="inlineStr">
        <is>
          <t>KSEK/363/A</t>
        </is>
      </c>
      <c r="B407" s="484">
        <f>+_xlfn.CONCAT(Tabella118[[#This Row],[Composizione]], " - ", Tabella118[[#This Row],[Fornitore]])</f>
        <v/>
      </c>
      <c r="C407" s="943" t="n">
        <v>0.362</v>
      </c>
      <c r="D407" s="484" t="inlineStr">
        <is>
          <t>FEPA</t>
        </is>
      </c>
      <c r="E407" s="484">
        <f>IFERROR(IF(H407="BC",Tabella118[[#This Row],[composizione concatenata]],IF(H407="C",Tabella118[[#This Row],[composizione concatenata]],VLOOKUP(I407,$K$2:$O$7,5,FALSE))),+Tabella118[[#This Row],[composizione concatenata]])</f>
        <v/>
      </c>
      <c r="F407" s="944">
        <f>+_xlfn.IFNA(VLOOKUP(Tabella118[[#This Row],[Composizione alternativa per digitale]],Tabella118[[composizione concatenata]:[Euro/Mq]],2,FALSE),VLOOKUP(H407,digitale[[ONDA]:[Fornitore]],3,FALSE))</f>
        <v/>
      </c>
      <c r="G407" s="484" t="n"/>
      <c r="H407" s="484">
        <f>IF(MID(A407, FIND("/", A407, FIND("/", A407) + 1) + 1, 2)="A","C",MID(A407, FIND("/", A407, FIND("/", A407) + 1) + 1, 2))</f>
        <v/>
      </c>
      <c r="I407" s="486">
        <f>TRIM(H407)</f>
        <v/>
      </c>
    </row>
    <row r="408" ht="15" customHeight="1">
      <c r="A408" s="489" t="inlineStr">
        <is>
          <t>KSEK/363/B</t>
        </is>
      </c>
      <c r="B408" s="484">
        <f>+_xlfn.CONCAT(Tabella118[[#This Row],[Composizione]], " - ", Tabella118[[#This Row],[Fornitore]])</f>
        <v/>
      </c>
      <c r="C408" s="943" t="n">
        <v>0.35</v>
      </c>
      <c r="D408" s="484" t="inlineStr">
        <is>
          <t>FEPA</t>
        </is>
      </c>
      <c r="E408" s="484">
        <f>IFERROR(IF(H408="BC",Tabella118[[#This Row],[composizione concatenata]],IF(H408="C",Tabella118[[#This Row],[composizione concatenata]],VLOOKUP(I408,$K$2:$O$7,5,FALSE))),+Tabella118[[#This Row],[composizione concatenata]])</f>
        <v/>
      </c>
      <c r="F408" s="944">
        <f>+_xlfn.IFNA(VLOOKUP(Tabella118[[#This Row],[Composizione alternativa per digitale]],Tabella118[[composizione concatenata]:[Euro/Mq]],2,FALSE),VLOOKUP(H408,digitale[[ONDA]:[Fornitore]],3,FALSE))</f>
        <v/>
      </c>
      <c r="G408" s="484" t="n"/>
      <c r="H408" s="484">
        <f>IF(MID(A408, FIND("/", A408, FIND("/", A408) + 1) + 1, 2)="A","C",MID(A408, FIND("/", A408, FIND("/", A408) + 1) + 1, 2))</f>
        <v/>
      </c>
      <c r="I408" s="486">
        <f>TRIM(H408)</f>
        <v/>
      </c>
    </row>
    <row r="409" ht="15" customHeight="1">
      <c r="A409" s="489" t="inlineStr">
        <is>
          <t>KSET/363/A</t>
        </is>
      </c>
      <c r="B409" s="484">
        <f>+_xlfn.CONCAT(Tabella118[[#This Row],[Composizione]], " - ", Tabella118[[#This Row],[Fornitore]])</f>
        <v/>
      </c>
      <c r="C409" s="943" t="n">
        <v>0.326</v>
      </c>
      <c r="D409" s="484" t="inlineStr">
        <is>
          <t>FEPA</t>
        </is>
      </c>
      <c r="E409" s="484">
        <f>IFERROR(IF(H409="BC",Tabella118[[#This Row],[composizione concatenata]],IF(H409="C",Tabella118[[#This Row],[composizione concatenata]],VLOOKUP(I409,$K$2:$O$7,5,FALSE))),+Tabella118[[#This Row],[composizione concatenata]])</f>
        <v/>
      </c>
      <c r="F409" s="944">
        <f>+_xlfn.IFNA(VLOOKUP(Tabella118[[#This Row],[Composizione alternativa per digitale]],Tabella118[[composizione concatenata]:[Euro/Mq]],2,FALSE),VLOOKUP(H409,digitale[[ONDA]:[Fornitore]],3,FALSE))</f>
        <v/>
      </c>
      <c r="G409" s="484" t="n"/>
      <c r="H409" s="484">
        <f>IF(MID(A409, FIND("/", A409, FIND("/", A409) + 1) + 1, 2)="A","C",MID(A409, FIND("/", A409, FIND("/", A409) + 1) + 1, 2))</f>
        <v/>
      </c>
      <c r="I409" s="486">
        <f>TRIM(H409)</f>
        <v/>
      </c>
    </row>
    <row r="410" ht="15" customHeight="1">
      <c r="A410" s="484" t="inlineStr">
        <is>
          <t>KSFSK/24242/BC</t>
        </is>
      </c>
      <c r="B410" s="484">
        <f>+_xlfn.CONCAT(Tabella118[[#This Row],[Composizione]], " - ", Tabella118[[#This Row],[Fornitore]])</f>
        <v/>
      </c>
      <c r="C410" s="943" t="n">
        <v>0.505</v>
      </c>
      <c r="D410" s="484" t="inlineStr">
        <is>
          <t xml:space="preserve">Ds Smith </t>
        </is>
      </c>
      <c r="E410" s="484">
        <f>IFERROR(IF(H410="BC",Tabella118[[#This Row],[composizione concatenata]],IF(H410="C",Tabella118[[#This Row],[composizione concatenata]],VLOOKUP(I410,$K$2:$O$7,5,FALSE))),+Tabella118[[#This Row],[composizione concatenata]])</f>
        <v/>
      </c>
      <c r="F410" s="943">
        <f>+_xlfn.IFNA(VLOOKUP(Tabella118[[#This Row],[Composizione alternativa per digitale]],Tabella118[[composizione concatenata]:[Euro/Mq]],2,FALSE),VLOOKUP(H410,digitale[[ONDA]:[Fornitore]],3,FALSE))</f>
        <v/>
      </c>
      <c r="G410" s="484" t="n"/>
      <c r="H410" s="484">
        <f>IF(MID(A410, FIND("/", A410, FIND("/", A410) + 1) + 1, 2)="A","C",MID(A410, FIND("/", A410, FIND("/", A410) + 1) + 1, 2))</f>
        <v/>
      </c>
      <c r="I410" s="486">
        <f>TRIM(H410)</f>
        <v/>
      </c>
    </row>
    <row r="411" ht="15" customHeight="1">
      <c r="A411" s="484" t="inlineStr">
        <is>
          <t>KSFSK/24242/EB</t>
        </is>
      </c>
      <c r="B411" s="484">
        <f>+_xlfn.CONCAT(Tabella118[[#This Row],[Composizione]], " - ", Tabella118[[#This Row],[Fornitore]])</f>
        <v/>
      </c>
      <c r="C411" s="943" t="n">
        <v>0.457</v>
      </c>
      <c r="D411" s="484" t="inlineStr">
        <is>
          <t>Giusti</t>
        </is>
      </c>
      <c r="E411" s="484">
        <f>IFERROR(IF(H411="BC",Tabella118[[#This Row],[composizione concatenata]],IF(H411="C",Tabella118[[#This Row],[composizione concatenata]],VLOOKUP(I411,$K$2:$O$7,5,FALSE))),+Tabella118[[#This Row],[composizione concatenata]])</f>
        <v/>
      </c>
      <c r="F411" s="944">
        <f>+_xlfn.IFNA(VLOOKUP(Tabella118[[#This Row],[Composizione alternativa per digitale]],Tabella118[[composizione concatenata]:[Euro/Mq]],2,FALSE),VLOOKUP(H411,digitale[[ONDA]:[Fornitore]],3,FALSE))</f>
        <v/>
      </c>
      <c r="G411" s="484" t="n"/>
      <c r="H411" s="484">
        <f>IF(MID(A411, FIND("/", A411, FIND("/", A411) + 1) + 1, 2)="A","C",MID(A411, FIND("/", A411, FIND("/", A411) + 1) + 1, 2))</f>
        <v/>
      </c>
      <c r="I411" s="486">
        <f>TRIM(H411)</f>
        <v/>
      </c>
    </row>
    <row r="412" ht="15" customHeight="1">
      <c r="A412" s="484" t="inlineStr">
        <is>
          <t>KSFSK/26262/BC</t>
        </is>
      </c>
      <c r="B412" s="484">
        <f>+_xlfn.CONCAT(Tabella118[[#This Row],[Composizione]], " - ", Tabella118[[#This Row],[Fornitore]])</f>
        <v/>
      </c>
      <c r="C412" s="943" t="n">
        <v>0.526</v>
      </c>
      <c r="D412" s="484" t="inlineStr">
        <is>
          <t>Giusti</t>
        </is>
      </c>
      <c r="E412" s="484">
        <f>IFERROR(IF(H412="BC",Tabella118[[#This Row],[composizione concatenata]],IF(H412="C",Tabella118[[#This Row],[composizione concatenata]],VLOOKUP(I412,$K$2:$O$7,5,FALSE))),+Tabella118[[#This Row],[composizione concatenata]])</f>
        <v/>
      </c>
      <c r="F412" s="944">
        <f>+_xlfn.IFNA(VLOOKUP(Tabella118[[#This Row],[Composizione alternativa per digitale]],Tabella118[[composizione concatenata]:[Euro/Mq]],2,FALSE),VLOOKUP(H412,digitale[[ONDA]:[Fornitore]],3,FALSE))</f>
        <v/>
      </c>
      <c r="G412" s="484" t="n"/>
      <c r="H412" s="484">
        <f>IF(MID(A412, FIND("/", A412, FIND("/", A412) + 1) + 1, 2)="A","C",MID(A412, FIND("/", A412, FIND("/", A412) + 1) + 1, 2))</f>
        <v/>
      </c>
      <c r="I412" s="486">
        <f>TRIM(H412)</f>
        <v/>
      </c>
    </row>
    <row r="413" ht="15" customHeight="1">
      <c r="A413" s="484" t="inlineStr">
        <is>
          <t>KSFSK/26262/BC</t>
        </is>
      </c>
      <c r="B413" s="484">
        <f>+_xlfn.CONCAT(Tabella118[[#This Row],[Composizione]], " - ", Tabella118[[#This Row],[Fornitore]])</f>
        <v/>
      </c>
      <c r="C413" s="943" t="n">
        <v>0.515</v>
      </c>
      <c r="D413" s="484" t="inlineStr">
        <is>
          <t xml:space="preserve">Ds Smith </t>
        </is>
      </c>
      <c r="E413" s="484">
        <f>IFERROR(IF(H413="BC",Tabella118[[#This Row],[composizione concatenata]],IF(H413="C",Tabella118[[#This Row],[composizione concatenata]],VLOOKUP(I413,$K$2:$O$7,5,FALSE))),+Tabella118[[#This Row],[composizione concatenata]])</f>
        <v/>
      </c>
      <c r="F413" s="943">
        <f>+_xlfn.IFNA(VLOOKUP(Tabella118[[#This Row],[Composizione alternativa per digitale]],Tabella118[[composizione concatenata]:[Euro/Mq]],2,FALSE),VLOOKUP(H413,digitale[[ONDA]:[Fornitore]],3,FALSE))</f>
        <v/>
      </c>
      <c r="G413" s="484" t="n"/>
      <c r="H413" s="484">
        <f>IF(MID(A413, FIND("/", A413, FIND("/", A413) + 1) + 1, 2)="A","C",MID(A413, FIND("/", A413, FIND("/", A413) + 1) + 1, 2))</f>
        <v/>
      </c>
      <c r="I413" s="486">
        <f>TRIM(H413)</f>
        <v/>
      </c>
    </row>
    <row r="414" ht="15" customHeight="1">
      <c r="A414" s="483" t="inlineStr">
        <is>
          <t>KSFSK/26262/BC</t>
        </is>
      </c>
      <c r="B414" s="484">
        <f>+_xlfn.CONCAT(Tabella118[[#This Row],[Composizione]], " - ", Tabella118[[#This Row],[Fornitore]])</f>
        <v/>
      </c>
      <c r="C414" s="950" t="n">
        <v>0.471</v>
      </c>
      <c r="D414" s="484" t="inlineStr">
        <is>
          <t>Cartstrong</t>
        </is>
      </c>
      <c r="E414" s="484">
        <f>IFERROR(IF(H414="BC",Tabella118[[#This Row],[composizione concatenata]],IF(H414="C",Tabella118[[#This Row],[composizione concatenata]],VLOOKUP(I414,$K$2:$O$7,5,FALSE))),+Tabella118[[#This Row],[composizione concatenata]])</f>
        <v/>
      </c>
      <c r="F414" s="943">
        <f>+_xlfn.IFNA(VLOOKUP(Tabella118[[#This Row],[Composizione alternativa per digitale]],Tabella118[[composizione concatenata]:[Euro/Mq]],2,FALSE),VLOOKUP(H414,digitale[[ONDA]:[Fornitore]],3,FALSE))</f>
        <v/>
      </c>
      <c r="G414" s="484" t="n"/>
      <c r="H414" s="484">
        <f>IF(MID(A414, FIND("/", A414, FIND("/", A414) + 1) + 1, 2)="A","C",MID(A414, FIND("/", A414, FIND("/", A414) + 1) + 1, 2))</f>
        <v/>
      </c>
      <c r="I414" s="486">
        <f>TRIM(H414)</f>
        <v/>
      </c>
    </row>
    <row r="415" ht="15" customHeight="1">
      <c r="A415" s="484" t="inlineStr">
        <is>
          <t>KSFSK/26262/EB</t>
        </is>
      </c>
      <c r="B415" s="484">
        <f>+_xlfn.CONCAT(Tabella118[[#This Row],[Composizione]], " - ", Tabella118[[#This Row],[Fornitore]])</f>
        <v/>
      </c>
      <c r="C415" s="943" t="n">
        <v>0.507</v>
      </c>
      <c r="D415" s="484" t="inlineStr">
        <is>
          <t>Giusti</t>
        </is>
      </c>
      <c r="E415" s="484">
        <f>IFERROR(IF(H415="BC",Tabella118[[#This Row],[composizione concatenata]],IF(H415="C",Tabella118[[#This Row],[composizione concatenata]],VLOOKUP(I415,$K$2:$O$7,5,FALSE))),+Tabella118[[#This Row],[composizione concatenata]])</f>
        <v/>
      </c>
      <c r="F415" s="944">
        <f>+_xlfn.IFNA(VLOOKUP(Tabella118[[#This Row],[Composizione alternativa per digitale]],Tabella118[[composizione concatenata]:[Euro/Mq]],2,FALSE),VLOOKUP(H415,digitale[[ONDA]:[Fornitore]],3,FALSE))</f>
        <v/>
      </c>
      <c r="G415" s="484" t="n"/>
      <c r="H415" s="484">
        <f>IF(MID(A415, FIND("/", A415, FIND("/", A415) + 1) + 1, 2)="A","C",MID(A415, FIND("/", A415, FIND("/", A415) + 1) + 1, 2))</f>
        <v/>
      </c>
      <c r="I415" s="486">
        <f>TRIM(H415)</f>
        <v/>
      </c>
    </row>
    <row r="416" ht="15" customHeight="1">
      <c r="A416" s="484" t="inlineStr">
        <is>
          <t>KSFSK/26262/EB</t>
        </is>
      </c>
      <c r="B416" s="484">
        <f>+_xlfn.CONCAT(Tabella118[[#This Row],[Composizione]], " - ", Tabella118[[#This Row],[Fornitore]])</f>
        <v/>
      </c>
      <c r="C416" s="943" t="n">
        <v>0.49</v>
      </c>
      <c r="D416" s="484" t="inlineStr">
        <is>
          <t xml:space="preserve">Ds Smith </t>
        </is>
      </c>
      <c r="E416" s="484">
        <f>IFERROR(IF(H416="BC",Tabella118[[#This Row],[composizione concatenata]],IF(H416="C",Tabella118[[#This Row],[composizione concatenata]],VLOOKUP(I416,$K$2:$O$7,5,FALSE))),+Tabella118[[#This Row],[composizione concatenata]])</f>
        <v/>
      </c>
      <c r="F416" s="943">
        <f>+_xlfn.IFNA(VLOOKUP(Tabella118[[#This Row],[Composizione alternativa per digitale]],Tabella118[[composizione concatenata]:[Euro/Mq]],2,FALSE),VLOOKUP(H416,digitale[[ONDA]:[Fornitore]],3,FALSE))</f>
        <v/>
      </c>
      <c r="G416" s="484" t="n"/>
      <c r="H416" s="484">
        <f>IF(MID(A416, FIND("/", A416, FIND("/", A416) + 1) + 1, 2)="A","C",MID(A416, FIND("/", A416, FIND("/", A416) + 1) + 1, 2))</f>
        <v/>
      </c>
      <c r="I416" s="486">
        <f>TRIM(H416)</f>
        <v/>
      </c>
    </row>
    <row r="417" ht="15" customHeight="1">
      <c r="A417" s="484" t="inlineStr">
        <is>
          <t>KSFSK/34242/BC</t>
        </is>
      </c>
      <c r="B417" s="484">
        <f>+_xlfn.CONCAT(Tabella118[[#This Row],[Composizione]], " - ", Tabella118[[#This Row],[Fornitore]])</f>
        <v/>
      </c>
      <c r="C417" s="943" t="n">
        <v>0.487</v>
      </c>
      <c r="D417" s="484" t="inlineStr">
        <is>
          <t>Giusti</t>
        </is>
      </c>
      <c r="E417" s="484">
        <f>IFERROR(IF(H417="BC",Tabella118[[#This Row],[composizione concatenata]],IF(H417="C",Tabella118[[#This Row],[composizione concatenata]],VLOOKUP(I417,$K$2:$O$7,5,FALSE))),+Tabella118[[#This Row],[composizione concatenata]])</f>
        <v/>
      </c>
      <c r="F417" s="944">
        <f>+_xlfn.IFNA(VLOOKUP(Tabella118[[#This Row],[Composizione alternativa per digitale]],Tabella118[[composizione concatenata]:[Euro/Mq]],2,FALSE),VLOOKUP(H417,digitale[[ONDA]:[Fornitore]],3,FALSE))</f>
        <v/>
      </c>
      <c r="G417" s="484" t="n"/>
      <c r="H417" s="484">
        <f>IF(MID(A417, FIND("/", A417, FIND("/", A417) + 1) + 1, 2)="A","C",MID(A417, FIND("/", A417, FIND("/", A417) + 1) + 1, 2))</f>
        <v/>
      </c>
      <c r="I417" s="486">
        <f>TRIM(H417)</f>
        <v/>
      </c>
    </row>
    <row r="418" ht="15" customHeight="1">
      <c r="A418" s="484" t="inlineStr">
        <is>
          <t>KSFSK/34242/EB</t>
        </is>
      </c>
      <c r="B418" s="484">
        <f>+_xlfn.CONCAT(Tabella118[[#This Row],[Composizione]], " - ", Tabella118[[#This Row],[Fornitore]])</f>
        <v/>
      </c>
      <c r="C418" s="943" t="n">
        <v>0.471</v>
      </c>
      <c r="D418" s="484" t="inlineStr">
        <is>
          <t>Giusti</t>
        </is>
      </c>
      <c r="E418" s="484">
        <f>IFERROR(IF(H418="BC",Tabella118[[#This Row],[composizione concatenata]],IF(H418="C",Tabella118[[#This Row],[composizione concatenata]],VLOOKUP(I418,$K$2:$O$7,5,FALSE))),+Tabella118[[#This Row],[composizione concatenata]])</f>
        <v/>
      </c>
      <c r="F418" s="944">
        <f>+_xlfn.IFNA(VLOOKUP(Tabella118[[#This Row],[Composizione alternativa per digitale]],Tabella118[[composizione concatenata]:[Euro/Mq]],2,FALSE),VLOOKUP(H418,digitale[[ONDA]:[Fornitore]],3,FALSE))</f>
        <v/>
      </c>
      <c r="G418" s="484" t="n"/>
      <c r="H418" s="484">
        <f>IF(MID(A418, FIND("/", A418, FIND("/", A418) + 1) + 1, 2)="A","C",MID(A418, FIND("/", A418, FIND("/", A418) + 1) + 1, 2))</f>
        <v/>
      </c>
      <c r="I418" s="486">
        <f>TRIM(H418)</f>
        <v/>
      </c>
    </row>
    <row r="419" ht="15" customHeight="1">
      <c r="A419" s="484" t="inlineStr">
        <is>
          <t>KSFSK/34243/EB</t>
        </is>
      </c>
      <c r="B419" s="484">
        <f>+_xlfn.CONCAT(Tabella118[[#This Row],[Composizione]], " - ", Tabella118[[#This Row],[Fornitore]])</f>
        <v/>
      </c>
      <c r="C419" s="943" t="n">
        <v>0.489</v>
      </c>
      <c r="D419" s="484" t="inlineStr">
        <is>
          <t>Giusti</t>
        </is>
      </c>
      <c r="E419" s="484">
        <f>IFERROR(IF(H419="BC",Tabella118[[#This Row],[composizione concatenata]],IF(H419="C",Tabella118[[#This Row],[composizione concatenata]],VLOOKUP(I419,$K$2:$O$7,5,FALSE))),+Tabella118[[#This Row],[composizione concatenata]])</f>
        <v/>
      </c>
      <c r="F419" s="944">
        <f>+_xlfn.IFNA(VLOOKUP(Tabella118[[#This Row],[Composizione alternativa per digitale]],Tabella118[[composizione concatenata]:[Euro/Mq]],2,FALSE),VLOOKUP(H419,digitale[[ONDA]:[Fornitore]],3,FALSE))</f>
        <v/>
      </c>
      <c r="G419" s="484" t="n"/>
      <c r="H419" s="484">
        <f>IF(MID(A419, FIND("/", A419, FIND("/", A419) + 1) + 1, 2)="A","C",MID(A419, FIND("/", A419, FIND("/", A419) + 1) + 1, 2))</f>
        <v/>
      </c>
      <c r="I419" s="486">
        <f>TRIM(H419)</f>
        <v/>
      </c>
    </row>
    <row r="420" ht="15" customHeight="1">
      <c r="A420" s="484" t="inlineStr">
        <is>
          <t>KSFSK/36262/BC</t>
        </is>
      </c>
      <c r="B420" s="484">
        <f>+_xlfn.CONCAT(Tabella118[[#This Row],[Composizione]], " - ", Tabella118[[#This Row],[Fornitore]])</f>
        <v/>
      </c>
      <c r="C420" s="943" t="n">
        <v>0.535</v>
      </c>
      <c r="D420" s="484" t="inlineStr">
        <is>
          <t>Giusti</t>
        </is>
      </c>
      <c r="E420" s="484">
        <f>IFERROR(IF(H420="BC",Tabella118[[#This Row],[composizione concatenata]],IF(H420="C",Tabella118[[#This Row],[composizione concatenata]],VLOOKUP(I420,$K$2:$O$7,5,FALSE))),+Tabella118[[#This Row],[composizione concatenata]])</f>
        <v/>
      </c>
      <c r="F420" s="944">
        <f>+_xlfn.IFNA(VLOOKUP(Tabella118[[#This Row],[Composizione alternativa per digitale]],Tabella118[[composizione concatenata]:[Euro/Mq]],2,FALSE),VLOOKUP(H420,digitale[[ONDA]:[Fornitore]],3,FALSE))</f>
        <v/>
      </c>
      <c r="G420" s="484" t="n"/>
      <c r="H420" s="484">
        <f>IF(MID(A420, FIND("/", A420, FIND("/", A420) + 1) + 1, 2)="A","C",MID(A420, FIND("/", A420, FIND("/", A420) + 1) + 1, 2))</f>
        <v/>
      </c>
      <c r="I420" s="486">
        <f>TRIM(H420)</f>
        <v/>
      </c>
    </row>
    <row r="421" ht="15" customHeight="1">
      <c r="A421" s="484" t="inlineStr">
        <is>
          <t>KSFSK/36262/EB</t>
        </is>
      </c>
      <c r="B421" s="484">
        <f>+_xlfn.CONCAT(Tabella118[[#This Row],[Composizione]], " - ", Tabella118[[#This Row],[Fornitore]])</f>
        <v/>
      </c>
      <c r="C421" s="943" t="n">
        <v>0.516</v>
      </c>
      <c r="D421" s="484" t="inlineStr">
        <is>
          <t>Giusti</t>
        </is>
      </c>
      <c r="E421" s="484">
        <f>IFERROR(IF(H421="BC",Tabella118[[#This Row],[composizione concatenata]],IF(H421="C",Tabella118[[#This Row],[composizione concatenata]],VLOOKUP(I421,$K$2:$O$7,5,FALSE))),+Tabella118[[#This Row],[composizione concatenata]])</f>
        <v/>
      </c>
      <c r="F421" s="944">
        <f>+_xlfn.IFNA(VLOOKUP(Tabella118[[#This Row],[Composizione alternativa per digitale]],Tabella118[[composizione concatenata]:[Euro/Mq]],2,FALSE),VLOOKUP(H421,digitale[[ONDA]:[Fornitore]],3,FALSE))</f>
        <v/>
      </c>
      <c r="G421" s="484" t="n"/>
      <c r="H421" s="484">
        <f>IF(MID(A421, FIND("/", A421, FIND("/", A421) + 1) + 1, 2)="A","C",MID(A421, FIND("/", A421, FIND("/", A421) + 1) + 1, 2))</f>
        <v/>
      </c>
      <c r="I421" s="486">
        <f>TRIM(H421)</f>
        <v/>
      </c>
    </row>
    <row r="422" ht="15" customHeight="1">
      <c r="A422" s="484" t="inlineStr">
        <is>
          <t>KSFSK/36263/BC</t>
        </is>
      </c>
      <c r="B422" s="484">
        <f>+_xlfn.CONCAT(Tabella118[[#This Row],[Composizione]], " - ", Tabella118[[#This Row],[Fornitore]])</f>
        <v/>
      </c>
      <c r="C422" s="943" t="n">
        <v>0.539</v>
      </c>
      <c r="D422" s="484" t="inlineStr">
        <is>
          <t>Giusti</t>
        </is>
      </c>
      <c r="E422" s="484">
        <f>IFERROR(IF(H422="BC",Tabella118[[#This Row],[composizione concatenata]],IF(H422="C",Tabella118[[#This Row],[composizione concatenata]],VLOOKUP(I422,$K$2:$O$7,5,FALSE))),+Tabella118[[#This Row],[composizione concatenata]])</f>
        <v/>
      </c>
      <c r="F422" s="944">
        <f>+_xlfn.IFNA(VLOOKUP(Tabella118[[#This Row],[Composizione alternativa per digitale]],Tabella118[[composizione concatenata]:[Euro/Mq]],2,FALSE),VLOOKUP(H422,digitale[[ONDA]:[Fornitore]],3,FALSE))</f>
        <v/>
      </c>
      <c r="G422" s="484" t="n"/>
      <c r="H422" s="484">
        <f>IF(MID(A422, FIND("/", A422, FIND("/", A422) + 1) + 1, 2)="A","C",MID(A422, FIND("/", A422, FIND("/", A422) + 1) + 1, 2))</f>
        <v/>
      </c>
      <c r="I422" s="486">
        <f>TRIM(H422)</f>
        <v/>
      </c>
    </row>
    <row r="423" ht="15" customHeight="1">
      <c r="A423" s="483" t="inlineStr">
        <is>
          <t>KSFSK/36263/BC</t>
        </is>
      </c>
      <c r="B423" s="484">
        <f>+_xlfn.CONCAT(Tabella118[[#This Row],[Composizione]], " - ", Tabella118[[#This Row],[Fornitore]])</f>
        <v/>
      </c>
      <c r="C423" s="950" t="n">
        <v>0.492</v>
      </c>
      <c r="D423" s="484" t="inlineStr">
        <is>
          <t>Cartstrong</t>
        </is>
      </c>
      <c r="E423" s="484">
        <f>IFERROR(IF(H423="BC",Tabella118[[#This Row],[composizione concatenata]],IF(H423="C",Tabella118[[#This Row],[composizione concatenata]],VLOOKUP(I423,$K$2:$O$7,5,FALSE))),+Tabella118[[#This Row],[composizione concatenata]])</f>
        <v/>
      </c>
      <c r="F423" s="943">
        <f>+_xlfn.IFNA(VLOOKUP(Tabella118[[#This Row],[Composizione alternativa per digitale]],Tabella118[[composizione concatenata]:[Euro/Mq]],2,FALSE),VLOOKUP(H423,digitale[[ONDA]:[Fornitore]],3,FALSE))</f>
        <v/>
      </c>
      <c r="G423" s="484" t="n"/>
      <c r="H423" s="484">
        <f>IF(MID(A423, FIND("/", A423, FIND("/", A423) + 1) + 1, 2)="A","C",MID(A423, FIND("/", A423, FIND("/", A423) + 1) + 1, 2))</f>
        <v/>
      </c>
      <c r="I423" s="486">
        <f>TRIM(H423)</f>
        <v/>
      </c>
    </row>
    <row r="424" ht="15" customHeight="1">
      <c r="A424" s="484" t="inlineStr">
        <is>
          <t>KSFSK/36263/EB</t>
        </is>
      </c>
      <c r="B424" s="484">
        <f>+_xlfn.CONCAT(Tabella118[[#This Row],[Composizione]], " - ", Tabella118[[#This Row],[Fornitore]])</f>
        <v/>
      </c>
      <c r="C424" s="943" t="n">
        <v>0.525</v>
      </c>
      <c r="D424" s="484" t="inlineStr">
        <is>
          <t>Giusti</t>
        </is>
      </c>
      <c r="E424" s="484">
        <f>IFERROR(IF(H424="BC",Tabella118[[#This Row],[composizione concatenata]],IF(H424="C",Tabella118[[#This Row],[composizione concatenata]],VLOOKUP(I424,$K$2:$O$7,5,FALSE))),+Tabella118[[#This Row],[composizione concatenata]])</f>
        <v/>
      </c>
      <c r="F424" s="944">
        <f>+_xlfn.IFNA(VLOOKUP(Tabella118[[#This Row],[Composizione alternativa per digitale]],Tabella118[[composizione concatenata]:[Euro/Mq]],2,FALSE),VLOOKUP(H424,digitale[[ONDA]:[Fornitore]],3,FALSE))</f>
        <v/>
      </c>
      <c r="G424" s="484" t="n"/>
      <c r="H424" s="484">
        <f>IF(MID(A424, FIND("/", A424, FIND("/", A424) + 1) + 1, 2)="A","C",MID(A424, FIND("/", A424, FIND("/", A424) + 1) + 1, 2))</f>
        <v/>
      </c>
      <c r="I424" s="486">
        <f>TRIM(H424)</f>
        <v/>
      </c>
    </row>
    <row r="425" ht="15" customHeight="1">
      <c r="A425" s="483" t="inlineStr">
        <is>
          <t>KSFSK/36263/EB</t>
        </is>
      </c>
      <c r="B425" s="484">
        <f>+_xlfn.CONCAT(Tabella118[[#This Row],[Composizione]], " - ", Tabella118[[#This Row],[Fornitore]])</f>
        <v/>
      </c>
      <c r="C425" s="950" t="n">
        <v>0.479</v>
      </c>
      <c r="D425" s="484" t="inlineStr">
        <is>
          <t>Cartstrong</t>
        </is>
      </c>
      <c r="E425" s="484">
        <f>IFERROR(IF(H425="BC",Tabella118[[#This Row],[composizione concatenata]],IF(H425="C",Tabella118[[#This Row],[composizione concatenata]],VLOOKUP(I425,$K$2:$O$7,5,FALSE))),+Tabella118[[#This Row],[composizione concatenata]])</f>
        <v/>
      </c>
      <c r="F425" s="943">
        <f>+_xlfn.IFNA(VLOOKUP(Tabella118[[#This Row],[Composizione alternativa per digitale]],Tabella118[[composizione concatenata]:[Euro/Mq]],2,FALSE),VLOOKUP(H425,digitale[[ONDA]:[Fornitore]],3,FALSE))</f>
        <v/>
      </c>
      <c r="G425" s="484" t="n"/>
      <c r="H425" s="484">
        <f>IF(MID(A425, FIND("/", A425, FIND("/", A425) + 1) + 1, 2)="A","C",MID(A425, FIND("/", A425, FIND("/", A425) + 1) + 1, 2))</f>
        <v/>
      </c>
      <c r="I425" s="486">
        <f>TRIM(H425)</f>
        <v/>
      </c>
    </row>
    <row r="426" ht="15" customHeight="1">
      <c r="A426" s="484" t="inlineStr">
        <is>
          <t>KSFSK/44242/BC</t>
        </is>
      </c>
      <c r="B426" s="484">
        <f>+_xlfn.CONCAT(Tabella118[[#This Row],[Composizione]], " - ", Tabella118[[#This Row],[Fornitore]])</f>
        <v/>
      </c>
      <c r="C426" s="943" t="n">
        <v>0.525</v>
      </c>
      <c r="D426" s="484" t="inlineStr">
        <is>
          <t xml:space="preserve">Ds Smith </t>
        </is>
      </c>
      <c r="E426" s="484">
        <f>IFERROR(IF(H426="BC",Tabella118[[#This Row],[composizione concatenata]],IF(H426="C",Tabella118[[#This Row],[composizione concatenata]],VLOOKUP(I426,$K$2:$O$7,5,FALSE))),+Tabella118[[#This Row],[composizione concatenata]])</f>
        <v/>
      </c>
      <c r="F426" s="943">
        <f>+_xlfn.IFNA(VLOOKUP(Tabella118[[#This Row],[Composizione alternativa per digitale]],Tabella118[[composizione concatenata]:[Euro/Mq]],2,FALSE),VLOOKUP(H426,digitale[[ONDA]:[Fornitore]],3,FALSE))</f>
        <v/>
      </c>
      <c r="G426" s="484" t="n"/>
      <c r="H426" s="484">
        <f>IF(MID(A426, FIND("/", A426, FIND("/", A426) + 1) + 1, 2)="A","C",MID(A426, FIND("/", A426, FIND("/", A426) + 1) + 1, 2))</f>
        <v/>
      </c>
      <c r="I426" s="486">
        <f>TRIM(H426)</f>
        <v/>
      </c>
    </row>
    <row r="427" ht="15" customHeight="1">
      <c r="A427" s="484" t="inlineStr">
        <is>
          <t>KSFSK/46262/BC</t>
        </is>
      </c>
      <c r="B427" s="484">
        <f>+_xlfn.CONCAT(Tabella118[[#This Row],[Composizione]], " - ", Tabella118[[#This Row],[Fornitore]])</f>
        <v/>
      </c>
      <c r="C427" s="943" t="n">
        <v>0.55</v>
      </c>
      <c r="D427" s="484" t="inlineStr">
        <is>
          <t xml:space="preserve">Ds Smith </t>
        </is>
      </c>
      <c r="E427" s="484">
        <f>IFERROR(IF(H427="BC",Tabella118[[#This Row],[composizione concatenata]],IF(H427="C",Tabella118[[#This Row],[composizione concatenata]],VLOOKUP(I427,$K$2:$O$7,5,FALSE))),+Tabella118[[#This Row],[composizione concatenata]])</f>
        <v/>
      </c>
      <c r="F427" s="943">
        <f>+_xlfn.IFNA(VLOOKUP(Tabella118[[#This Row],[Composizione alternativa per digitale]],Tabella118[[composizione concatenata]:[Euro/Mq]],2,FALSE),VLOOKUP(H427,digitale[[ONDA]:[Fornitore]],3,FALSE))</f>
        <v/>
      </c>
      <c r="G427" s="484" t="n"/>
      <c r="H427" s="484">
        <f>IF(MID(A427, FIND("/", A427, FIND("/", A427) + 1) + 1, 2)="A","C",MID(A427, FIND("/", A427, FIND("/", A427) + 1) + 1, 2))</f>
        <v/>
      </c>
      <c r="I427" s="486">
        <f>TRIM(H427)</f>
        <v/>
      </c>
    </row>
    <row r="428" ht="15" customHeight="1">
      <c r="A428" s="484" t="inlineStr">
        <is>
          <t>KSFSK/46262/EB</t>
        </is>
      </c>
      <c r="B428" s="484">
        <f>+_xlfn.CONCAT(Tabella118[[#This Row],[Composizione]], " - ", Tabella118[[#This Row],[Fornitore]])</f>
        <v/>
      </c>
      <c r="C428" s="943" t="n">
        <v>0.52</v>
      </c>
      <c r="D428" s="484" t="inlineStr">
        <is>
          <t xml:space="preserve">Ds Smith </t>
        </is>
      </c>
      <c r="E428" s="484">
        <f>IFERROR(IF(H428="BC",Tabella118[[#This Row],[composizione concatenata]],IF(H428="C",Tabella118[[#This Row],[composizione concatenata]],VLOOKUP(I428,$K$2:$O$7,5,FALSE))),+Tabella118[[#This Row],[composizione concatenata]])</f>
        <v/>
      </c>
      <c r="F428" s="943">
        <f>+_xlfn.IFNA(VLOOKUP(Tabella118[[#This Row],[Composizione alternativa per digitale]],Tabella118[[composizione concatenata]:[Euro/Mq]],2,FALSE),VLOOKUP(H428,digitale[[ONDA]:[Fornitore]],3,FALSE))</f>
        <v/>
      </c>
      <c r="G428" s="484" t="n"/>
      <c r="H428" s="484">
        <f>IF(MID(A428, FIND("/", A428, FIND("/", A428) + 1) + 1, 2)="A","C",MID(A428, FIND("/", A428, FIND("/", A428) + 1) + 1, 2))</f>
        <v/>
      </c>
      <c r="I428" s="486">
        <f>TRIM(H428)</f>
        <v/>
      </c>
    </row>
    <row r="429" ht="15" customHeight="1">
      <c r="A429" s="484" t="inlineStr">
        <is>
          <t>KSFSK/46264/BC</t>
        </is>
      </c>
      <c r="B429" s="484">
        <f>+_xlfn.CONCAT(Tabella118[[#This Row],[Composizione]], " - ", Tabella118[[#This Row],[Fornitore]])</f>
        <v/>
      </c>
      <c r="C429" s="943" t="n">
        <v>0.575</v>
      </c>
      <c r="D429" s="484" t="inlineStr">
        <is>
          <t xml:space="preserve">Ds Smith </t>
        </is>
      </c>
      <c r="E429" s="484">
        <f>IFERROR(IF(H429="BC",Tabella118[[#This Row],[composizione concatenata]],IF(H429="C",Tabella118[[#This Row],[composizione concatenata]],VLOOKUP(I429,$K$2:$O$7,5,FALSE))),+Tabella118[[#This Row],[composizione concatenata]])</f>
        <v/>
      </c>
      <c r="F429" s="943">
        <f>+_xlfn.IFNA(VLOOKUP(Tabella118[[#This Row],[Composizione alternativa per digitale]],Tabella118[[composizione concatenata]:[Euro/Mq]],2,FALSE),VLOOKUP(H429,digitale[[ONDA]:[Fornitore]],3,FALSE))</f>
        <v/>
      </c>
      <c r="G429" s="484" t="n"/>
      <c r="H429" s="484">
        <f>IF(MID(A429, FIND("/", A429, FIND("/", A429) + 1) + 1, 2)="A","C",MID(A429, FIND("/", A429, FIND("/", A429) + 1) + 1, 2))</f>
        <v/>
      </c>
      <c r="I429" s="486">
        <f>TRIM(H429)</f>
        <v/>
      </c>
    </row>
    <row r="430" ht="15" customHeight="1">
      <c r="A430" s="484" t="inlineStr">
        <is>
          <t>KSFSK/46264/EB</t>
        </is>
      </c>
      <c r="B430" s="484">
        <f>+_xlfn.CONCAT(Tabella118[[#This Row],[Composizione]], " - ", Tabella118[[#This Row],[Fornitore]])</f>
        <v/>
      </c>
      <c r="C430" s="943" t="n">
        <v>0.595</v>
      </c>
      <c r="D430" s="484" t="inlineStr">
        <is>
          <t xml:space="preserve">Ds Smith </t>
        </is>
      </c>
      <c r="E430" s="484">
        <f>IFERROR(IF(H430="BC",Tabella118[[#This Row],[composizione concatenata]],IF(H430="C",Tabella118[[#This Row],[composizione concatenata]],VLOOKUP(I430,$K$2:$O$7,5,FALSE))),+Tabella118[[#This Row],[composizione concatenata]])</f>
        <v/>
      </c>
      <c r="F430" s="943">
        <f>+_xlfn.IFNA(VLOOKUP(Tabella118[[#This Row],[Composizione alternativa per digitale]],Tabella118[[composizione concatenata]:[Euro/Mq]],2,FALSE),VLOOKUP(H430,digitale[[ONDA]:[Fornitore]],3,FALSE))</f>
        <v/>
      </c>
      <c r="G430" s="484" t="n"/>
      <c r="H430" s="484">
        <f>IF(MID(A430, FIND("/", A430, FIND("/", A430) + 1) + 1, 2)="A","C",MID(A430, FIND("/", A430, FIND("/", A430) + 1) + 1, 2))</f>
        <v/>
      </c>
      <c r="I430" s="486">
        <f>TRIM(H430)</f>
        <v/>
      </c>
    </row>
    <row r="431" ht="15" customHeight="1">
      <c r="A431" s="484" t="inlineStr">
        <is>
          <t>KSFSK/56263/BC</t>
        </is>
      </c>
      <c r="B431" s="484">
        <f>+_xlfn.CONCAT(Tabella118[[#This Row],[Composizione]], " - ", Tabella118[[#This Row],[Fornitore]])</f>
        <v/>
      </c>
      <c r="C431" s="943" t="n">
        <v>0.5620000000000001</v>
      </c>
      <c r="D431" s="484" t="inlineStr">
        <is>
          <t>Giusti</t>
        </is>
      </c>
      <c r="E431" s="484">
        <f>IFERROR(IF(H431="BC",Tabella118[[#This Row],[composizione concatenata]],IF(H431="C",Tabella118[[#This Row],[composizione concatenata]],VLOOKUP(I431,$K$2:$O$7,5,FALSE))),+Tabella118[[#This Row],[composizione concatenata]])</f>
        <v/>
      </c>
      <c r="F431" s="944">
        <f>+_xlfn.IFNA(VLOOKUP(Tabella118[[#This Row],[Composizione alternativa per digitale]],Tabella118[[composizione concatenata]:[Euro/Mq]],2,FALSE),VLOOKUP(H431,digitale[[ONDA]:[Fornitore]],3,FALSE))</f>
        <v/>
      </c>
      <c r="G431" s="484" t="n"/>
      <c r="H431" s="484">
        <f>IF(MID(A431, FIND("/", A431, FIND("/", A431) + 1) + 1, 2)="A","C",MID(A431, FIND("/", A431, FIND("/", A431) + 1) + 1, 2))</f>
        <v/>
      </c>
      <c r="I431" s="486">
        <f>TRIM(H431)</f>
        <v/>
      </c>
    </row>
    <row r="432" ht="15" customHeight="1">
      <c r="A432" s="484" t="inlineStr">
        <is>
          <t>KSFST/24242/BC</t>
        </is>
      </c>
      <c r="B432" s="484">
        <f>+_xlfn.CONCAT(Tabella118[[#This Row],[Composizione]], " - ", Tabella118[[#This Row],[Fornitore]])</f>
        <v/>
      </c>
      <c r="C432" s="943" t="n">
        <v>0.46</v>
      </c>
      <c r="D432" s="484" t="inlineStr">
        <is>
          <t xml:space="preserve">Ds Smith </t>
        </is>
      </c>
      <c r="E432" s="484">
        <f>IFERROR(IF(H432="BC",Tabella118[[#This Row],[composizione concatenata]],IF(H432="C",Tabella118[[#This Row],[composizione concatenata]],VLOOKUP(I432,$K$2:$O$7,5,FALSE))),+Tabella118[[#This Row],[composizione concatenata]])</f>
        <v/>
      </c>
      <c r="F432" s="943">
        <f>+_xlfn.IFNA(VLOOKUP(Tabella118[[#This Row],[Composizione alternativa per digitale]],Tabella118[[composizione concatenata]:[Euro/Mq]],2,FALSE),VLOOKUP(H432,digitale[[ONDA]:[Fornitore]],3,FALSE))</f>
        <v/>
      </c>
      <c r="G432" s="484" t="n"/>
      <c r="H432" s="484">
        <f>IF(MID(A432, FIND("/", A432, FIND("/", A432) + 1) + 1, 2)="A","C",MID(A432, FIND("/", A432, FIND("/", A432) + 1) + 1, 2))</f>
        <v/>
      </c>
      <c r="I432" s="486">
        <f>TRIM(H432)</f>
        <v/>
      </c>
    </row>
    <row r="433" ht="15" customHeight="1">
      <c r="A433" s="484" t="inlineStr">
        <is>
          <t>KSFST/24242/BC</t>
        </is>
      </c>
      <c r="B433" s="484">
        <f>+_xlfn.CONCAT(Tabella118[[#This Row],[Composizione]], " - ", Tabella118[[#This Row],[Fornitore]])</f>
        <v/>
      </c>
      <c r="C433" s="943" t="n">
        <v>0.446</v>
      </c>
      <c r="D433" s="484" t="inlineStr">
        <is>
          <t>Giusti</t>
        </is>
      </c>
      <c r="E433" s="484">
        <f>IFERROR(IF(H433="BC",Tabella118[[#This Row],[composizione concatenata]],IF(H433="C",Tabella118[[#This Row],[composizione concatenata]],VLOOKUP(I433,$K$2:$O$7,5,FALSE))),+Tabella118[[#This Row],[composizione concatenata]])</f>
        <v/>
      </c>
      <c r="F433" s="944">
        <f>+_xlfn.IFNA(VLOOKUP(Tabella118[[#This Row],[Composizione alternativa per digitale]],Tabella118[[composizione concatenata]:[Euro/Mq]],2,FALSE),VLOOKUP(H433,digitale[[ONDA]:[Fornitore]],3,FALSE))</f>
        <v/>
      </c>
      <c r="G433" s="484" t="n"/>
      <c r="H433" s="484">
        <f>IF(MID(A433, FIND("/", A433, FIND("/", A433) + 1) + 1, 2)="A","C",MID(A433, FIND("/", A433, FIND("/", A433) + 1) + 1, 2))</f>
        <v/>
      </c>
      <c r="I433" s="486">
        <f>TRIM(H433)</f>
        <v/>
      </c>
    </row>
    <row r="434" ht="15" customHeight="1">
      <c r="A434" s="484" t="inlineStr">
        <is>
          <t>KSFST/24242/EB</t>
        </is>
      </c>
      <c r="B434" s="484">
        <f>+_xlfn.CONCAT(Tabella118[[#This Row],[Composizione]], " - ", Tabella118[[#This Row],[Fornitore]])</f>
        <v/>
      </c>
      <c r="C434" s="943" t="n">
        <v>0.43</v>
      </c>
      <c r="D434" s="484" t="inlineStr">
        <is>
          <t>Giusti</t>
        </is>
      </c>
      <c r="E434" s="484">
        <f>IFERROR(IF(H434="BC",Tabella118[[#This Row],[composizione concatenata]],IF(H434="C",Tabella118[[#This Row],[composizione concatenata]],VLOOKUP(I434,$K$2:$O$7,5,FALSE))),+Tabella118[[#This Row],[composizione concatenata]])</f>
        <v/>
      </c>
      <c r="F434" s="944">
        <f>+_xlfn.IFNA(VLOOKUP(Tabella118[[#This Row],[Composizione alternativa per digitale]],Tabella118[[composizione concatenata]:[Euro/Mq]],2,FALSE),VLOOKUP(H434,digitale[[ONDA]:[Fornitore]],3,FALSE))</f>
        <v/>
      </c>
      <c r="G434" s="484" t="n"/>
      <c r="H434" s="484">
        <f>IF(MID(A434, FIND("/", A434, FIND("/", A434) + 1) + 1, 2)="A","C",MID(A434, FIND("/", A434, FIND("/", A434) + 1) + 1, 2))</f>
        <v/>
      </c>
      <c r="I434" s="486">
        <f>TRIM(H434)</f>
        <v/>
      </c>
    </row>
    <row r="435" ht="15" customHeight="1">
      <c r="A435" s="483" t="inlineStr">
        <is>
          <t>KSFST/24242/EB</t>
        </is>
      </c>
      <c r="B435" s="484">
        <f>+_xlfn.CONCAT(Tabella118[[#This Row],[Composizione]], " - ", Tabella118[[#This Row],[Fornitore]])</f>
        <v/>
      </c>
      <c r="C435" s="950" t="n">
        <v>0.391</v>
      </c>
      <c r="D435" s="484" t="inlineStr">
        <is>
          <t>Cartstrong</t>
        </is>
      </c>
      <c r="E435" s="484">
        <f>IFERROR(IF(H435="BC",Tabella118[[#This Row],[composizione concatenata]],IF(H435="C",Tabella118[[#This Row],[composizione concatenata]],VLOOKUP(I435,$K$2:$O$7,5,FALSE))),+Tabella118[[#This Row],[composizione concatenata]])</f>
        <v/>
      </c>
      <c r="F435" s="943">
        <f>+_xlfn.IFNA(VLOOKUP(Tabella118[[#This Row],[Composizione alternativa per digitale]],Tabella118[[composizione concatenata]:[Euro/Mq]],2,FALSE),VLOOKUP(H435,digitale[[ONDA]:[Fornitore]],3,FALSE))</f>
        <v/>
      </c>
      <c r="G435" s="484" t="n"/>
      <c r="H435" s="484">
        <f>IF(MID(A435, FIND("/", A435, FIND("/", A435) + 1) + 1, 2)="A","C",MID(A435, FIND("/", A435, FIND("/", A435) + 1) + 1, 2))</f>
        <v/>
      </c>
      <c r="I435" s="486">
        <f>TRIM(H435)</f>
        <v/>
      </c>
    </row>
    <row r="436" ht="15" customHeight="1">
      <c r="A436" s="484" t="inlineStr">
        <is>
          <t>KSFST/24262/EB</t>
        </is>
      </c>
      <c r="B436" s="484">
        <f>+_xlfn.CONCAT(Tabella118[[#This Row],[Composizione]], " - ", Tabella118[[#This Row],[Fornitore]])</f>
        <v/>
      </c>
      <c r="C436" s="943" t="n">
        <v>0.463</v>
      </c>
      <c r="D436" s="484" t="inlineStr">
        <is>
          <t>Giusti</t>
        </is>
      </c>
      <c r="E436" s="484">
        <f>IFERROR(IF(H436="BC",Tabella118[[#This Row],[composizione concatenata]],IF(H436="C",Tabella118[[#This Row],[composizione concatenata]],VLOOKUP(I436,$K$2:$O$7,5,FALSE))),+Tabella118[[#This Row],[composizione concatenata]])</f>
        <v/>
      </c>
      <c r="F436" s="944">
        <f>+_xlfn.IFNA(VLOOKUP(Tabella118[[#This Row],[Composizione alternativa per digitale]],Tabella118[[composizione concatenata]:[Euro/Mq]],2,FALSE),VLOOKUP(H436,digitale[[ONDA]:[Fornitore]],3,FALSE))</f>
        <v/>
      </c>
      <c r="G436" s="484" t="n"/>
      <c r="H436" s="484">
        <f>IF(MID(A436, FIND("/", A436, FIND("/", A436) + 1) + 1, 2)="A","C",MID(A436, FIND("/", A436, FIND("/", A436) + 1) + 1, 2))</f>
        <v/>
      </c>
      <c r="I436" s="486">
        <f>TRIM(H436)</f>
        <v/>
      </c>
    </row>
    <row r="437" ht="15" customHeight="1">
      <c r="A437" s="484" t="inlineStr">
        <is>
          <t>KSFST/26262/BC</t>
        </is>
      </c>
      <c r="B437" s="484">
        <f>+_xlfn.CONCAT(Tabella118[[#This Row],[Composizione]], " - ", Tabella118[[#This Row],[Fornitore]])</f>
        <v/>
      </c>
      <c r="C437" s="943" t="n">
        <v>0.499</v>
      </c>
      <c r="D437" s="484" t="inlineStr">
        <is>
          <t>Giusti</t>
        </is>
      </c>
      <c r="E437" s="484">
        <f>IFERROR(IF(H437="BC",Tabella118[[#This Row],[composizione concatenata]],IF(H437="C",Tabella118[[#This Row],[composizione concatenata]],VLOOKUP(I437,$K$2:$O$7,5,FALSE))),+Tabella118[[#This Row],[composizione concatenata]])</f>
        <v/>
      </c>
      <c r="F437" s="944">
        <f>+_xlfn.IFNA(VLOOKUP(Tabella118[[#This Row],[Composizione alternativa per digitale]],Tabella118[[composizione concatenata]:[Euro/Mq]],2,FALSE),VLOOKUP(H437,digitale[[ONDA]:[Fornitore]],3,FALSE))</f>
        <v/>
      </c>
      <c r="G437" s="484" t="n"/>
      <c r="H437" s="484">
        <f>IF(MID(A437, FIND("/", A437, FIND("/", A437) + 1) + 1, 2)="A","C",MID(A437, FIND("/", A437, FIND("/", A437) + 1) + 1, 2))</f>
        <v/>
      </c>
      <c r="I437" s="486">
        <f>TRIM(H437)</f>
        <v/>
      </c>
    </row>
    <row r="438" ht="15" customHeight="1">
      <c r="A438" s="484" t="inlineStr">
        <is>
          <t>KSFST/26262/EB</t>
        </is>
      </c>
      <c r="B438" s="484">
        <f>+_xlfn.CONCAT(Tabella118[[#This Row],[Composizione]], " - ", Tabella118[[#This Row],[Fornitore]])</f>
        <v/>
      </c>
      <c r="C438" s="943" t="n">
        <v>0.48</v>
      </c>
      <c r="D438" s="484" t="inlineStr">
        <is>
          <t>Giusti</t>
        </is>
      </c>
      <c r="E438" s="484">
        <f>IFERROR(IF(H438="BC",Tabella118[[#This Row],[composizione concatenata]],IF(H438="C",Tabella118[[#This Row],[composizione concatenata]],VLOOKUP(I438,$K$2:$O$7,5,FALSE))),+Tabella118[[#This Row],[composizione concatenata]])</f>
        <v/>
      </c>
      <c r="F438" s="944">
        <f>+_xlfn.IFNA(VLOOKUP(Tabella118[[#This Row],[Composizione alternativa per digitale]],Tabella118[[composizione concatenata]:[Euro/Mq]],2,FALSE),VLOOKUP(H438,digitale[[ONDA]:[Fornitore]],3,FALSE))</f>
        <v/>
      </c>
      <c r="G438" s="484" t="n"/>
      <c r="H438" s="484">
        <f>IF(MID(A438, FIND("/", A438, FIND("/", A438) + 1) + 1, 2)="A","C",MID(A438, FIND("/", A438, FIND("/", A438) + 1) + 1, 2))</f>
        <v/>
      </c>
      <c r="I438" s="486">
        <f>TRIM(H438)</f>
        <v/>
      </c>
    </row>
    <row r="439" ht="15" customHeight="1">
      <c r="A439" s="484" t="inlineStr">
        <is>
          <t>KSFST/26262/EB</t>
        </is>
      </c>
      <c r="B439" s="484">
        <f>+_xlfn.CONCAT(Tabella118[[#This Row],[Composizione]], " - ", Tabella118[[#This Row],[Fornitore]])</f>
        <v/>
      </c>
      <c r="C439" s="943" t="n">
        <v>0.45</v>
      </c>
      <c r="D439" s="484" t="inlineStr">
        <is>
          <t xml:space="preserve">Ds Smith </t>
        </is>
      </c>
      <c r="E439" s="484">
        <f>IFERROR(IF(H439="BC",Tabella118[[#This Row],[composizione concatenata]],IF(H439="C",Tabella118[[#This Row],[composizione concatenata]],VLOOKUP(I439,$K$2:$O$7,5,FALSE))),+Tabella118[[#This Row],[composizione concatenata]])</f>
        <v/>
      </c>
      <c r="F439" s="943">
        <f>+_xlfn.IFNA(VLOOKUP(Tabella118[[#This Row],[Composizione alternativa per digitale]],Tabella118[[composizione concatenata]:[Euro/Mq]],2,FALSE),VLOOKUP(H439,digitale[[ONDA]:[Fornitore]],3,FALSE))</f>
        <v/>
      </c>
      <c r="G439" s="484" t="n"/>
      <c r="H439" s="484">
        <f>IF(MID(A439, FIND("/", A439, FIND("/", A439) + 1) + 1, 2)="A","C",MID(A439, FIND("/", A439, FIND("/", A439) + 1) + 1, 2))</f>
        <v/>
      </c>
      <c r="I439" s="486">
        <f>TRIM(H439)</f>
        <v/>
      </c>
    </row>
    <row r="440" ht="15" customHeight="1">
      <c r="A440" s="484" t="inlineStr">
        <is>
          <t>KSFST/26263/BC</t>
        </is>
      </c>
      <c r="B440" s="484">
        <f>+_xlfn.CONCAT(Tabella118[[#This Row],[Composizione]], " - ", Tabella118[[#This Row],[Fornitore]])</f>
        <v/>
      </c>
      <c r="C440" s="943" t="n">
        <v>0.512</v>
      </c>
      <c r="D440" s="484" t="inlineStr">
        <is>
          <t>Giusti</t>
        </is>
      </c>
      <c r="E440" s="484">
        <f>IFERROR(IF(H440="BC",Tabella118[[#This Row],[composizione concatenata]],IF(H440="C",Tabella118[[#This Row],[composizione concatenata]],VLOOKUP(I440,$K$2:$O$7,5,FALSE))),+Tabella118[[#This Row],[composizione concatenata]])</f>
        <v/>
      </c>
      <c r="F440" s="944">
        <f>+_xlfn.IFNA(VLOOKUP(Tabella118[[#This Row],[Composizione alternativa per digitale]],Tabella118[[composizione concatenata]:[Euro/Mq]],2,FALSE),VLOOKUP(H440,digitale[[ONDA]:[Fornitore]],3,FALSE))</f>
        <v/>
      </c>
      <c r="G440" s="484" t="n"/>
      <c r="H440" s="484">
        <f>IF(MID(A440, FIND("/", A440, FIND("/", A440) + 1) + 1, 2)="A","C",MID(A440, FIND("/", A440, FIND("/", A440) + 1) + 1, 2))</f>
        <v/>
      </c>
      <c r="I440" s="486">
        <f>TRIM(H440)</f>
        <v/>
      </c>
    </row>
    <row r="441" ht="15" customHeight="1">
      <c r="A441" s="484" t="inlineStr">
        <is>
          <t>KSFST/34242/EB</t>
        </is>
      </c>
      <c r="B441" s="484">
        <f>+_xlfn.CONCAT(Tabella118[[#This Row],[Composizione]], " - ", Tabella118[[#This Row],[Fornitore]])</f>
        <v/>
      </c>
      <c r="C441" s="943" t="n">
        <v>0.439</v>
      </c>
      <c r="D441" s="484" t="inlineStr">
        <is>
          <t>Giusti</t>
        </is>
      </c>
      <c r="E441" s="484">
        <f>IFERROR(IF(H441="BC",Tabella118[[#This Row],[composizione concatenata]],IF(H441="C",Tabella118[[#This Row],[composizione concatenata]],VLOOKUP(I441,$K$2:$O$7,5,FALSE))),+Tabella118[[#This Row],[composizione concatenata]])</f>
        <v/>
      </c>
      <c r="F441" s="944">
        <f>+_xlfn.IFNA(VLOOKUP(Tabella118[[#This Row],[Composizione alternativa per digitale]],Tabella118[[composizione concatenata]:[Euro/Mq]],2,FALSE),VLOOKUP(H441,digitale[[ONDA]:[Fornitore]],3,FALSE))</f>
        <v/>
      </c>
      <c r="G441" s="484" t="n"/>
      <c r="H441" s="484">
        <f>IF(MID(A441, FIND("/", A441, FIND("/", A441) + 1) + 1, 2)="A","C",MID(A441, FIND("/", A441, FIND("/", A441) + 1) + 1, 2))</f>
        <v/>
      </c>
      <c r="I441" s="486">
        <f>TRIM(H441)</f>
        <v/>
      </c>
    </row>
    <row r="442" ht="15" customHeight="1">
      <c r="A442" s="484" t="inlineStr">
        <is>
          <t>KSFST/34243/BC</t>
        </is>
      </c>
      <c r="B442" s="484">
        <f>+_xlfn.CONCAT(Tabella118[[#This Row],[Composizione]], " - ", Tabella118[[#This Row],[Fornitore]])</f>
        <v/>
      </c>
      <c r="C442" s="943" t="n">
        <v>0.473</v>
      </c>
      <c r="D442" s="484" t="inlineStr">
        <is>
          <t>Giusti</t>
        </is>
      </c>
      <c r="E442" s="484">
        <f>IFERROR(IF(H442="BC",Tabella118[[#This Row],[composizione concatenata]],IF(H442="C",Tabella118[[#This Row],[composizione concatenata]],VLOOKUP(I442,$K$2:$O$7,5,FALSE))),+Tabella118[[#This Row],[composizione concatenata]])</f>
        <v/>
      </c>
      <c r="F442" s="944">
        <f>+_xlfn.IFNA(VLOOKUP(Tabella118[[#This Row],[Composizione alternativa per digitale]],Tabella118[[composizione concatenata]:[Euro/Mq]],2,FALSE),VLOOKUP(H442,digitale[[ONDA]:[Fornitore]],3,FALSE))</f>
        <v/>
      </c>
      <c r="G442" s="484" t="n"/>
      <c r="H442" s="484">
        <f>IF(MID(A442, FIND("/", A442, FIND("/", A442) + 1) + 1, 2)="A","C",MID(A442, FIND("/", A442, FIND("/", A442) + 1) + 1, 2))</f>
        <v/>
      </c>
      <c r="I442" s="486">
        <f>TRIM(H442)</f>
        <v/>
      </c>
    </row>
    <row r="443" ht="15" customHeight="1">
      <c r="A443" s="484" t="inlineStr">
        <is>
          <t>KSFST/36262/BC</t>
        </is>
      </c>
      <c r="B443" s="484">
        <f>+_xlfn.CONCAT(Tabella118[[#This Row],[Composizione]], " - ", Tabella118[[#This Row],[Fornitore]])</f>
        <v/>
      </c>
      <c r="C443" s="943" t="n">
        <v>0.508</v>
      </c>
      <c r="D443" s="484" t="inlineStr">
        <is>
          <t>Giusti</t>
        </is>
      </c>
      <c r="E443" s="484">
        <f>IFERROR(IF(H443="BC",Tabella118[[#This Row],[composizione concatenata]],IF(H443="C",Tabella118[[#This Row],[composizione concatenata]],VLOOKUP(I443,$K$2:$O$7,5,FALSE))),+Tabella118[[#This Row],[composizione concatenata]])</f>
        <v/>
      </c>
      <c r="F443" s="944">
        <f>+_xlfn.IFNA(VLOOKUP(Tabella118[[#This Row],[Composizione alternativa per digitale]],Tabella118[[composizione concatenata]:[Euro/Mq]],2,FALSE),VLOOKUP(H443,digitale[[ONDA]:[Fornitore]],3,FALSE))</f>
        <v/>
      </c>
      <c r="G443" s="484" t="n"/>
      <c r="H443" s="484">
        <f>IF(MID(A443, FIND("/", A443, FIND("/", A443) + 1) + 1, 2)="A","C",MID(A443, FIND("/", A443, FIND("/", A443) + 1) + 1, 2))</f>
        <v/>
      </c>
      <c r="I443" s="486">
        <f>TRIM(H443)</f>
        <v/>
      </c>
    </row>
    <row r="444" ht="15" customHeight="1">
      <c r="A444" s="484" t="inlineStr">
        <is>
          <t>KSFST/36262/EB</t>
        </is>
      </c>
      <c r="B444" s="484">
        <f>+_xlfn.CONCAT(Tabella118[[#This Row],[Composizione]], " - ", Tabella118[[#This Row],[Fornitore]])</f>
        <v/>
      </c>
      <c r="C444" s="943" t="n">
        <v>0.489</v>
      </c>
      <c r="D444" s="484" t="inlineStr">
        <is>
          <t>Giusti</t>
        </is>
      </c>
      <c r="E444" s="484">
        <f>IFERROR(IF(H444="BC",Tabella118[[#This Row],[composizione concatenata]],IF(H444="C",Tabella118[[#This Row],[composizione concatenata]],VLOOKUP(I444,$K$2:$O$7,5,FALSE))),+Tabella118[[#This Row],[composizione concatenata]])</f>
        <v/>
      </c>
      <c r="F444" s="944">
        <f>+_xlfn.IFNA(VLOOKUP(Tabella118[[#This Row],[Composizione alternativa per digitale]],Tabella118[[composizione concatenata]:[Euro/Mq]],2,FALSE),VLOOKUP(H444,digitale[[ONDA]:[Fornitore]],3,FALSE))</f>
        <v/>
      </c>
      <c r="G444" s="484" t="n"/>
      <c r="H444" s="484">
        <f>IF(MID(A444, FIND("/", A444, FIND("/", A444) + 1) + 1, 2)="A","C",MID(A444, FIND("/", A444, FIND("/", A444) + 1) + 1, 2))</f>
        <v/>
      </c>
      <c r="I444" s="486">
        <f>TRIM(H444)</f>
        <v/>
      </c>
    </row>
    <row r="445" ht="15" customHeight="1">
      <c r="A445" s="484" t="inlineStr">
        <is>
          <t>KSFST/36263/BC</t>
        </is>
      </c>
      <c r="B445" s="484">
        <f>+_xlfn.CONCAT(Tabella118[[#This Row],[Composizione]], " - ", Tabella118[[#This Row],[Fornitore]])</f>
        <v/>
      </c>
      <c r="C445" s="943" t="n">
        <v>0.521</v>
      </c>
      <c r="D445" s="484" t="inlineStr">
        <is>
          <t>Giusti</t>
        </is>
      </c>
      <c r="E445" s="484">
        <f>IFERROR(IF(H445="BC",Tabella118[[#This Row],[composizione concatenata]],IF(H445="C",Tabella118[[#This Row],[composizione concatenata]],VLOOKUP(I445,$K$2:$O$7,5,FALSE))),+Tabella118[[#This Row],[composizione concatenata]])</f>
        <v/>
      </c>
      <c r="F445" s="944">
        <f>+_xlfn.IFNA(VLOOKUP(Tabella118[[#This Row],[Composizione alternativa per digitale]],Tabella118[[composizione concatenata]:[Euro/Mq]],2,FALSE),VLOOKUP(H445,digitale[[ONDA]:[Fornitore]],3,FALSE))</f>
        <v/>
      </c>
      <c r="G445" s="484" t="n"/>
      <c r="H445" s="484">
        <f>IF(MID(A445, FIND("/", A445, FIND("/", A445) + 1) + 1, 2)="A","C",MID(A445, FIND("/", A445, FIND("/", A445) + 1) + 1, 2))</f>
        <v/>
      </c>
      <c r="I445" s="486">
        <f>TRIM(H445)</f>
        <v/>
      </c>
    </row>
    <row r="446" ht="15" customHeight="1">
      <c r="A446" s="484" t="inlineStr">
        <is>
          <t>KSFST/36263/EB</t>
        </is>
      </c>
      <c r="B446" s="484">
        <f>+_xlfn.CONCAT(Tabella118[[#This Row],[Composizione]], " - ", Tabella118[[#This Row],[Fornitore]])</f>
        <v/>
      </c>
      <c r="C446" s="943" t="n">
        <v>0.502</v>
      </c>
      <c r="D446" s="484" t="inlineStr">
        <is>
          <t>Giusti</t>
        </is>
      </c>
      <c r="E446" s="484">
        <f>IFERROR(IF(H446="BC",Tabella118[[#This Row],[composizione concatenata]],IF(H446="C",Tabella118[[#This Row],[composizione concatenata]],VLOOKUP(I446,$K$2:$O$7,5,FALSE))),+Tabella118[[#This Row],[composizione concatenata]])</f>
        <v/>
      </c>
      <c r="F446" s="944">
        <f>+_xlfn.IFNA(VLOOKUP(Tabella118[[#This Row],[Composizione alternativa per digitale]],Tabella118[[composizione concatenata]:[Euro/Mq]],2,FALSE),VLOOKUP(H446,digitale[[ONDA]:[Fornitore]],3,FALSE))</f>
        <v/>
      </c>
      <c r="G446" s="484" t="n"/>
      <c r="H446" s="484">
        <f>IF(MID(A446, FIND("/", A446, FIND("/", A446) + 1) + 1, 2)="A","C",MID(A446, FIND("/", A446, FIND("/", A446) + 1) + 1, 2))</f>
        <v/>
      </c>
      <c r="I446" s="486">
        <f>TRIM(H446)</f>
        <v/>
      </c>
    </row>
    <row r="447" ht="15" customHeight="1">
      <c r="A447" s="483" t="inlineStr">
        <is>
          <t>KSK/222/B</t>
        </is>
      </c>
      <c r="B447" s="484">
        <f>+_xlfn.CONCAT(Tabella118[[#This Row],[Composizione]], " - ", Tabella118[[#This Row],[Fornitore]])</f>
        <v/>
      </c>
      <c r="C447" s="950" t="n">
        <v>0.271</v>
      </c>
      <c r="D447" s="484" t="inlineStr">
        <is>
          <t>Cartstrong</t>
        </is>
      </c>
      <c r="E447" s="484">
        <f>IFERROR(IF(H447="BC",Tabella118[[#This Row],[composizione concatenata]],IF(H447="C",Tabella118[[#This Row],[composizione concatenata]],VLOOKUP(I447,$K$2:$O$7,5,FALSE))),+Tabella118[[#This Row],[composizione concatenata]])</f>
        <v/>
      </c>
      <c r="F447" s="943">
        <f>+_xlfn.IFNA(VLOOKUP(Tabella118[[#This Row],[Composizione alternativa per digitale]],Tabella118[[composizione concatenata]:[Euro/Mq]],2,FALSE),VLOOKUP(H447,digitale[[ONDA]:[Fornitore]],3,FALSE))</f>
        <v/>
      </c>
      <c r="G447" s="484" t="n"/>
      <c r="H447" s="484">
        <f>IF(MID(A447, FIND("/", A447, FIND("/", A447) + 1) + 1, 2)="A","C",MID(A447, FIND("/", A447, FIND("/", A447) + 1) + 1, 2))</f>
        <v/>
      </c>
      <c r="I447" s="486">
        <f>TRIM(H447)</f>
        <v/>
      </c>
    </row>
    <row r="448" ht="15" customHeight="1">
      <c r="A448" s="491" t="inlineStr">
        <is>
          <t>KSK/222/E</t>
        </is>
      </c>
      <c r="B448" s="484">
        <f>+_xlfn.CONCAT(Tabella118[[#This Row],[Composizione]], " - ", Tabella118[[#This Row],[Fornitore]])</f>
        <v/>
      </c>
      <c r="C448" s="943" t="n">
        <v>0.421</v>
      </c>
      <c r="D448" s="484" t="inlineStr">
        <is>
          <t>Santerno</t>
        </is>
      </c>
      <c r="E448" s="484">
        <f>IFERROR(IF(H448="BC",Tabella118[[#This Row],[composizione concatenata]],IF(H448="C",Tabella118[[#This Row],[composizione concatenata]],VLOOKUP(I448,$K$2:$O$7,5,FALSE))),+Tabella118[[#This Row],[composizione concatenata]])</f>
        <v/>
      </c>
      <c r="F448" s="943">
        <f>+_xlfn.IFNA(VLOOKUP(Tabella118[[#This Row],[Composizione alternativa per digitale]],Tabella118[[composizione concatenata]:[Euro/Mq]],2,FALSE),VLOOKUP(H448,digitale[[ONDA]:[Fornitore]],3,FALSE))</f>
        <v/>
      </c>
      <c r="G448" s="484" t="n"/>
      <c r="H448" s="484">
        <f>IF(MID(A448, FIND("/", A448, FIND("/", A448) + 1) + 1, 2)="A","C",MID(A448, FIND("/", A448, FIND("/", A448) + 1) + 1, 2))</f>
        <v/>
      </c>
      <c r="I448" s="486">
        <f>TRIM(H448)</f>
        <v/>
      </c>
    </row>
    <row r="449" ht="15" customHeight="1">
      <c r="A449" s="484" t="inlineStr">
        <is>
          <t>KSK/222/E</t>
        </is>
      </c>
      <c r="B449" s="484">
        <f>+_xlfn.CONCAT(Tabella118[[#This Row],[Composizione]], " - ", Tabella118[[#This Row],[Fornitore]])</f>
        <v/>
      </c>
      <c r="C449" s="943" t="n">
        <v>0.335</v>
      </c>
      <c r="D449" s="484" t="inlineStr">
        <is>
          <t xml:space="preserve">Ds Smith </t>
        </is>
      </c>
      <c r="E449" s="484">
        <f>IFERROR(IF(H449="BC",Tabella118[[#This Row],[composizione concatenata]],IF(H449="C",Tabella118[[#This Row],[composizione concatenata]],VLOOKUP(I449,$K$2:$O$7,5,FALSE))),+Tabella118[[#This Row],[composizione concatenata]])</f>
        <v/>
      </c>
      <c r="F449" s="943">
        <f>+_xlfn.IFNA(VLOOKUP(Tabella118[[#This Row],[Composizione alternativa per digitale]],Tabella118[[composizione concatenata]:[Euro/Mq]],2,FALSE),VLOOKUP(H449,digitale[[ONDA]:[Fornitore]],3,FALSE))</f>
        <v/>
      </c>
      <c r="G449" s="484" t="n"/>
      <c r="H449" s="484">
        <f>IF(MID(A449, FIND("/", A449, FIND("/", A449) + 1) + 1, 2)="A","C",MID(A449, FIND("/", A449, FIND("/", A449) + 1) + 1, 2))</f>
        <v/>
      </c>
      <c r="I449" s="486">
        <f>TRIM(H449)</f>
        <v/>
      </c>
    </row>
    <row r="450" ht="15" customHeight="1">
      <c r="A450" s="491" t="inlineStr">
        <is>
          <t>KSK/222/E + ACC.</t>
        </is>
      </c>
      <c r="B450" s="484">
        <f>+_xlfn.CONCAT(Tabella118[[#This Row],[Composizione]], " - ", Tabella118[[#This Row],[Fornitore]])</f>
        <v/>
      </c>
      <c r="C450" s="943" t="n">
        <v>0.481</v>
      </c>
      <c r="D450" s="484" t="inlineStr">
        <is>
          <t>Santerno</t>
        </is>
      </c>
      <c r="E450" s="484">
        <f>IFERROR(IF(H450="BC",Tabella118[[#This Row],[composizione concatenata]],IF(H450="C",Tabella118[[#This Row],[composizione concatenata]],VLOOKUP(I450,$K$2:$O$7,5,FALSE))),+Tabella118[[#This Row],[composizione concatenata]])</f>
        <v/>
      </c>
      <c r="F450" s="943">
        <f>+_xlfn.IFNA(VLOOKUP(Tabella118[[#This Row],[Composizione alternativa per digitale]],Tabella118[[composizione concatenata]:[Euro/Mq]],2,FALSE),VLOOKUP(H450,digitale[[ONDA]:[Fornitore]],3,FALSE))</f>
        <v/>
      </c>
      <c r="G450" s="484" t="n"/>
      <c r="H450" s="484">
        <f>IF(MID(A450, FIND("/", A450, FIND("/", A450) + 1) + 1, 2)="A","C",MID(A450, FIND("/", A450, FIND("/", A450) + 1) + 1, 2))</f>
        <v/>
      </c>
      <c r="I450" s="486">
        <f>TRIM(H450)</f>
        <v/>
      </c>
    </row>
    <row r="451" ht="15" customHeight="1">
      <c r="A451" s="491" t="inlineStr">
        <is>
          <t>KSK/222/F</t>
        </is>
      </c>
      <c r="B451" s="484">
        <f>+_xlfn.CONCAT(Tabella118[[#This Row],[Composizione]], " - ", Tabella118[[#This Row],[Fornitore]])</f>
        <v/>
      </c>
      <c r="C451" s="943" t="n">
        <v>0.444</v>
      </c>
      <c r="D451" s="484" t="inlineStr">
        <is>
          <t>Santerno</t>
        </is>
      </c>
      <c r="E451" s="484">
        <f>IFERROR(IF(H451="BC",Tabella118[[#This Row],[composizione concatenata]],IF(H451="C",Tabella118[[#This Row],[composizione concatenata]],VLOOKUP(I451,$K$2:$O$7,5,FALSE))),+Tabella118[[#This Row],[composizione concatenata]])</f>
        <v/>
      </c>
      <c r="F451" s="943">
        <f>+_xlfn.IFNA(VLOOKUP(Tabella118[[#This Row],[Composizione alternativa per digitale]],Tabella118[[composizione concatenata]:[Euro/Mq]],2,FALSE),VLOOKUP(H451,digitale[[ONDA]:[Fornitore]],3,FALSE))</f>
        <v/>
      </c>
      <c r="G451" s="484" t="n"/>
      <c r="H451" s="484">
        <f>IF(MID(A451, FIND("/", A451, FIND("/", A451) + 1) + 1, 2)="A","C",MID(A451, FIND("/", A451, FIND("/", A451) + 1) + 1, 2))</f>
        <v/>
      </c>
      <c r="I451" s="486">
        <f>TRIM(H451)</f>
        <v/>
      </c>
    </row>
    <row r="452" ht="15" customHeight="1">
      <c r="A452" s="491" t="inlineStr">
        <is>
          <t>KSK/222/F + ACC.</t>
        </is>
      </c>
      <c r="B452" s="484">
        <f>+_xlfn.CONCAT(Tabella118[[#This Row],[Composizione]], " - ", Tabella118[[#This Row],[Fornitore]])</f>
        <v/>
      </c>
      <c r="C452" s="943" t="n">
        <v>0.504</v>
      </c>
      <c r="D452" s="484" t="inlineStr">
        <is>
          <t>Santerno</t>
        </is>
      </c>
      <c r="E452" s="484">
        <f>IFERROR(IF(H452="BC",Tabella118[[#This Row],[composizione concatenata]],IF(H452="C",Tabella118[[#This Row],[composizione concatenata]],VLOOKUP(I452,$K$2:$O$7,5,FALSE))),+Tabella118[[#This Row],[composizione concatenata]])</f>
        <v/>
      </c>
      <c r="F452" s="943">
        <f>+_xlfn.IFNA(VLOOKUP(Tabella118[[#This Row],[Composizione alternativa per digitale]],Tabella118[[composizione concatenata]:[Euro/Mq]],2,FALSE),VLOOKUP(H452,digitale[[ONDA]:[Fornitore]],3,FALSE))</f>
        <v/>
      </c>
      <c r="G452" s="484" t="n"/>
      <c r="H452" s="484">
        <f>IF(MID(A452, FIND("/", A452, FIND("/", A452) + 1) + 1, 2)="A","C",MID(A452, FIND("/", A452, FIND("/", A452) + 1) + 1, 2))</f>
        <v/>
      </c>
      <c r="I452" s="486">
        <f>TRIM(H452)</f>
        <v/>
      </c>
    </row>
    <row r="453" ht="15" customHeight="1">
      <c r="A453" s="484" t="inlineStr">
        <is>
          <t>KSK/242/B</t>
        </is>
      </c>
      <c r="B453" s="484">
        <f>+_xlfn.CONCAT(Tabella118[[#This Row],[Composizione]], " - ", Tabella118[[#This Row],[Fornitore]])</f>
        <v/>
      </c>
      <c r="C453" s="943" t="n">
        <v>0.355</v>
      </c>
      <c r="D453" s="484" t="inlineStr">
        <is>
          <t xml:space="preserve">Ds Smith </t>
        </is>
      </c>
      <c r="E453" s="484">
        <f>IFERROR(IF(H453="BC",Tabella118[[#This Row],[composizione concatenata]],IF(H453="C",Tabella118[[#This Row],[composizione concatenata]],VLOOKUP(I453,$K$2:$O$7,5,FALSE))),+Tabella118[[#This Row],[composizione concatenata]])</f>
        <v/>
      </c>
      <c r="F453" s="943">
        <f>+_xlfn.IFNA(VLOOKUP(Tabella118[[#This Row],[Composizione alternativa per digitale]],Tabella118[[composizione concatenata]:[Euro/Mq]],2,FALSE),VLOOKUP(H453,digitale[[ONDA]:[Fornitore]],3,FALSE))</f>
        <v/>
      </c>
      <c r="G453" s="484" t="n"/>
      <c r="H453" s="484">
        <f>IF(MID(A453, FIND("/", A453, FIND("/", A453) + 1) + 1, 2)="A","C",MID(A453, FIND("/", A453, FIND("/", A453) + 1) + 1, 2))</f>
        <v/>
      </c>
      <c r="I453" s="486">
        <f>TRIM(H453)</f>
        <v/>
      </c>
    </row>
    <row r="454" ht="15" customHeight="1">
      <c r="A454" s="484" t="inlineStr">
        <is>
          <t>KSK/242/B</t>
        </is>
      </c>
      <c r="B454" s="484">
        <f>+_xlfn.CONCAT(Tabella118[[#This Row],[Composizione]], " - ", Tabella118[[#This Row],[Fornitore]])</f>
        <v/>
      </c>
      <c r="C454" s="943" t="n">
        <v>0.302</v>
      </c>
      <c r="D454" s="484" t="inlineStr">
        <is>
          <t>Giusti</t>
        </is>
      </c>
      <c r="E454" s="484">
        <f>IFERROR(IF(H454="BC",Tabella118[[#This Row],[composizione concatenata]],IF(H454="C",Tabella118[[#This Row],[composizione concatenata]],VLOOKUP(I454,$K$2:$O$7,5,FALSE))),+Tabella118[[#This Row],[composizione concatenata]])</f>
        <v/>
      </c>
      <c r="F454" s="944">
        <f>+_xlfn.IFNA(VLOOKUP(Tabella118[[#This Row],[Composizione alternativa per digitale]],Tabella118[[composizione concatenata]:[Euro/Mq]],2,FALSE),VLOOKUP(H454,digitale[[ONDA]:[Fornitore]],3,FALSE))</f>
        <v/>
      </c>
      <c r="G454" s="484" t="n"/>
      <c r="H454" s="484">
        <f>IF(MID(A454, FIND("/", A454, FIND("/", A454) + 1) + 1, 2)="A","C",MID(A454, FIND("/", A454, FIND("/", A454) + 1) + 1, 2))</f>
        <v/>
      </c>
      <c r="I454" s="486">
        <f>TRIM(H454)</f>
        <v/>
      </c>
    </row>
    <row r="455" ht="15" customHeight="1">
      <c r="A455" s="484" t="inlineStr">
        <is>
          <t>KSK/242/C</t>
        </is>
      </c>
      <c r="B455" s="484">
        <f>+_xlfn.CONCAT(Tabella118[[#This Row],[Composizione]], " - ", Tabella118[[#This Row],[Fornitore]])</f>
        <v/>
      </c>
      <c r="C455" s="943" t="n">
        <v>0.313</v>
      </c>
      <c r="D455" s="484" t="inlineStr">
        <is>
          <t>Giusti</t>
        </is>
      </c>
      <c r="E455" s="484">
        <f>IFERROR(IF(H455="BC",Tabella118[[#This Row],[composizione concatenata]],IF(H455="C",Tabella118[[#This Row],[composizione concatenata]],VLOOKUP(I455,$K$2:$O$7,5,FALSE))),+Tabella118[[#This Row],[composizione concatenata]])</f>
        <v/>
      </c>
      <c r="F455" s="944">
        <f>+_xlfn.IFNA(VLOOKUP(Tabella118[[#This Row],[Composizione alternativa per digitale]],Tabella118[[composizione concatenata]:[Euro/Mq]],2,FALSE),VLOOKUP(H455,digitale[[ONDA]:[Fornitore]],3,FALSE))</f>
        <v/>
      </c>
      <c r="G455" s="484" t="n"/>
      <c r="H455" s="484">
        <f>IF(MID(A455, FIND("/", A455, FIND("/", A455) + 1) + 1, 2)="A","C",MID(A455, FIND("/", A455, FIND("/", A455) + 1) + 1, 2))</f>
        <v/>
      </c>
      <c r="I455" s="486">
        <f>TRIM(H455)</f>
        <v/>
      </c>
    </row>
    <row r="456" ht="15" customHeight="1">
      <c r="A456" s="484" t="inlineStr">
        <is>
          <t>KSK/242/E</t>
        </is>
      </c>
      <c r="B456" s="484">
        <f>+_xlfn.CONCAT(Tabella118[[#This Row],[Composizione]], " - ", Tabella118[[#This Row],[Fornitore]])</f>
        <v/>
      </c>
      <c r="C456" s="943" t="n">
        <v>0.345</v>
      </c>
      <c r="D456" s="484" t="inlineStr">
        <is>
          <t xml:space="preserve">Ds Smith </t>
        </is>
      </c>
      <c r="E456" s="484">
        <f>IFERROR(IF(H456="BC",Tabella118[[#This Row],[composizione concatenata]],IF(H456="C",Tabella118[[#This Row],[composizione concatenata]],VLOOKUP(I456,$K$2:$O$7,5,FALSE))),+Tabella118[[#This Row],[composizione concatenata]])</f>
        <v/>
      </c>
      <c r="F456" s="943">
        <f>+_xlfn.IFNA(VLOOKUP(Tabella118[[#This Row],[Composizione alternativa per digitale]],Tabella118[[composizione concatenata]:[Euro/Mq]],2,FALSE),VLOOKUP(H456,digitale[[ONDA]:[Fornitore]],3,FALSE))</f>
        <v/>
      </c>
      <c r="G456" s="484" t="n"/>
      <c r="H456" s="484">
        <f>IF(MID(A456, FIND("/", A456, FIND("/", A456) + 1) + 1, 2)="A","C",MID(A456, FIND("/", A456, FIND("/", A456) + 1) + 1, 2))</f>
        <v/>
      </c>
      <c r="I456" s="486">
        <f>TRIM(H456)</f>
        <v/>
      </c>
    </row>
    <row r="457" ht="15" customHeight="1">
      <c r="A457" s="484" t="inlineStr">
        <is>
          <t>KSK/242/E</t>
        </is>
      </c>
      <c r="B457" s="484">
        <f>+_xlfn.CONCAT(Tabella118[[#This Row],[Composizione]], " - ", Tabella118[[#This Row],[Fornitore]])</f>
        <v/>
      </c>
      <c r="C457" s="943" t="n">
        <v>0.307</v>
      </c>
      <c r="D457" s="484" t="inlineStr">
        <is>
          <t>Giusti</t>
        </is>
      </c>
      <c r="E457" s="484">
        <f>IFERROR(IF(H457="BC",Tabella118[[#This Row],[composizione concatenata]],IF(H457="C",Tabella118[[#This Row],[composizione concatenata]],VLOOKUP(I457,$K$2:$O$7,5,FALSE))),+Tabella118[[#This Row],[composizione concatenata]])</f>
        <v/>
      </c>
      <c r="F457" s="944">
        <f>+_xlfn.IFNA(VLOOKUP(Tabella118[[#This Row],[Composizione alternativa per digitale]],Tabella118[[composizione concatenata]:[Euro/Mq]],2,FALSE),VLOOKUP(H457,digitale[[ONDA]:[Fornitore]],3,FALSE))</f>
        <v/>
      </c>
      <c r="G457" s="484" t="n"/>
      <c r="H457" s="484">
        <f>IF(MID(A457, FIND("/", A457, FIND("/", A457) + 1) + 1, 2)="A","C",MID(A457, FIND("/", A457, FIND("/", A457) + 1) + 1, 2))</f>
        <v/>
      </c>
      <c r="I457" s="486">
        <f>TRIM(H457)</f>
        <v/>
      </c>
    </row>
    <row r="458" ht="15" customHeight="1">
      <c r="A458" s="484" t="inlineStr">
        <is>
          <t>KSK/262/B</t>
        </is>
      </c>
      <c r="B458" s="484">
        <f>+_xlfn.CONCAT(Tabella118[[#This Row],[Composizione]], " - ", Tabella118[[#This Row],[Fornitore]])</f>
        <v/>
      </c>
      <c r="C458" s="943" t="n">
        <v>0.331</v>
      </c>
      <c r="D458" s="484" t="inlineStr">
        <is>
          <t>Giusti</t>
        </is>
      </c>
      <c r="E458" s="484">
        <f>IFERROR(IF(H458="BC",Tabella118[[#This Row],[composizione concatenata]],IF(H458="C",Tabella118[[#This Row],[composizione concatenata]],VLOOKUP(I458,$K$2:$O$7,5,FALSE))),+Tabella118[[#This Row],[composizione concatenata]])</f>
        <v/>
      </c>
      <c r="F458" s="944">
        <f>+_xlfn.IFNA(VLOOKUP(Tabella118[[#This Row],[Composizione alternativa per digitale]],Tabella118[[composizione concatenata]:[Euro/Mq]],2,FALSE),VLOOKUP(H458,digitale[[ONDA]:[Fornitore]],3,FALSE))</f>
        <v/>
      </c>
      <c r="G458" s="484" t="n"/>
      <c r="H458" s="484">
        <f>IF(MID(A458, FIND("/", A458, FIND("/", A458) + 1) + 1, 2)="A","C",MID(A458, FIND("/", A458, FIND("/", A458) + 1) + 1, 2))</f>
        <v/>
      </c>
      <c r="I458" s="486">
        <f>TRIM(H458)</f>
        <v/>
      </c>
    </row>
    <row r="459" ht="15" customHeight="1">
      <c r="A459" s="484" t="inlineStr">
        <is>
          <t>KSK/262/C</t>
        </is>
      </c>
      <c r="B459" s="484">
        <f>+_xlfn.CONCAT(Tabella118[[#This Row],[Composizione]], " - ", Tabella118[[#This Row],[Fornitore]])</f>
        <v/>
      </c>
      <c r="C459" s="943" t="n">
        <v>0.348</v>
      </c>
      <c r="D459" s="484" t="inlineStr">
        <is>
          <t>Giusti</t>
        </is>
      </c>
      <c r="E459" s="484">
        <f>IFERROR(IF(H459="BC",Tabella118[[#This Row],[composizione concatenata]],IF(H459="C",Tabella118[[#This Row],[composizione concatenata]],VLOOKUP(I459,$K$2:$O$7,5,FALSE))),+Tabella118[[#This Row],[composizione concatenata]])</f>
        <v/>
      </c>
      <c r="F459" s="944">
        <f>+_xlfn.IFNA(VLOOKUP(Tabella118[[#This Row],[Composizione alternativa per digitale]],Tabella118[[composizione concatenata]:[Euro/Mq]],2,FALSE),VLOOKUP(H459,digitale[[ONDA]:[Fornitore]],3,FALSE))</f>
        <v/>
      </c>
      <c r="G459" s="484" t="n"/>
      <c r="H459" s="484">
        <f>IF(MID(A459, FIND("/", A459, FIND("/", A459) + 1) + 1, 2)="A","C",MID(A459, FIND("/", A459, FIND("/", A459) + 1) + 1, 2))</f>
        <v/>
      </c>
      <c r="I459" s="486">
        <f>TRIM(H459)</f>
        <v/>
      </c>
    </row>
    <row r="460" ht="15" customHeight="1">
      <c r="A460" s="484" t="inlineStr">
        <is>
          <t>KSK/262/E</t>
        </is>
      </c>
      <c r="B460" s="484">
        <f>+_xlfn.CONCAT(Tabella118[[#This Row],[Composizione]], " - ", Tabella118[[#This Row],[Fornitore]])</f>
        <v/>
      </c>
      <c r="C460" s="943" t="n">
        <v>0.37</v>
      </c>
      <c r="D460" s="484" t="inlineStr">
        <is>
          <t xml:space="preserve">Ds Smith </t>
        </is>
      </c>
      <c r="E460" s="484">
        <f>IFERROR(IF(H460="BC",Tabella118[[#This Row],[composizione concatenata]],IF(H460="C",Tabella118[[#This Row],[composizione concatenata]],VLOOKUP(I460,$K$2:$O$7,5,FALSE))),+Tabella118[[#This Row],[composizione concatenata]])</f>
        <v/>
      </c>
      <c r="F460" s="943">
        <f>+_xlfn.IFNA(VLOOKUP(Tabella118[[#This Row],[Composizione alternativa per digitale]],Tabella118[[composizione concatenata]:[Euro/Mq]],2,FALSE),VLOOKUP(H460,digitale[[ONDA]:[Fornitore]],3,FALSE))</f>
        <v/>
      </c>
      <c r="G460" s="484" t="n"/>
      <c r="H460" s="484">
        <f>IF(MID(A460, FIND("/", A460, FIND("/", A460) + 1) + 1, 2)="A","C",MID(A460, FIND("/", A460, FIND("/", A460) + 1) + 1, 2))</f>
        <v/>
      </c>
      <c r="I460" s="486">
        <f>TRIM(H460)</f>
        <v/>
      </c>
    </row>
    <row r="461" ht="15" customHeight="1">
      <c r="A461" s="484" t="inlineStr">
        <is>
          <t>KSK/262/E</t>
        </is>
      </c>
      <c r="B461" s="484">
        <f>+_xlfn.CONCAT(Tabella118[[#This Row],[Composizione]], " - ", Tabella118[[#This Row],[Fornitore]])</f>
        <v/>
      </c>
      <c r="C461" s="943" t="n">
        <v>0.36</v>
      </c>
      <c r="D461" s="484" t="inlineStr">
        <is>
          <t xml:space="preserve">Ds Smith </t>
        </is>
      </c>
      <c r="E461" s="484">
        <f>IFERROR(IF(H461="BC",Tabella118[[#This Row],[composizione concatenata]],IF(H461="C",Tabella118[[#This Row],[composizione concatenata]],VLOOKUP(I461,$K$2:$O$7,5,FALSE))),+Tabella118[[#This Row],[composizione concatenata]])</f>
        <v/>
      </c>
      <c r="F461" s="943">
        <f>+_xlfn.IFNA(VLOOKUP(Tabella118[[#This Row],[Composizione alternativa per digitale]],Tabella118[[composizione concatenata]:[Euro/Mq]],2,FALSE),VLOOKUP(H461,digitale[[ONDA]:[Fornitore]],3,FALSE))</f>
        <v/>
      </c>
      <c r="G461" s="484" t="n"/>
      <c r="H461" s="484">
        <f>IF(MID(A461, FIND("/", A461, FIND("/", A461) + 1) + 1, 2)="A","C",MID(A461, FIND("/", A461, FIND("/", A461) + 1) + 1, 2))</f>
        <v/>
      </c>
      <c r="I461" s="486">
        <f>TRIM(H461)</f>
        <v/>
      </c>
    </row>
    <row r="462" ht="15" customHeight="1">
      <c r="A462" s="484" t="inlineStr">
        <is>
          <t>KSK/262/E</t>
        </is>
      </c>
      <c r="B462" s="484">
        <f>+_xlfn.CONCAT(Tabella118[[#This Row],[Composizione]], " - ", Tabella118[[#This Row],[Fornitore]])</f>
        <v/>
      </c>
      <c r="C462" s="943" t="n">
        <v>0.334</v>
      </c>
      <c r="D462" s="484" t="inlineStr">
        <is>
          <t>Giusti</t>
        </is>
      </c>
      <c r="E462" s="484">
        <f>IFERROR(IF(H462="BC",Tabella118[[#This Row],[composizione concatenata]],IF(H462="C",Tabella118[[#This Row],[composizione concatenata]],VLOOKUP(I462,$K$2:$O$7,5,FALSE))),+Tabella118[[#This Row],[composizione concatenata]])</f>
        <v/>
      </c>
      <c r="F462" s="944">
        <f>+_xlfn.IFNA(VLOOKUP(Tabella118[[#This Row],[Composizione alternativa per digitale]],Tabella118[[composizione concatenata]:[Euro/Mq]],2,FALSE),VLOOKUP(H462,digitale[[ONDA]:[Fornitore]],3,FALSE))</f>
        <v/>
      </c>
      <c r="G462" s="484" t="n"/>
      <c r="H462" s="484">
        <f>IF(MID(A462, FIND("/", A462, FIND("/", A462) + 1) + 1, 2)="A","C",MID(A462, FIND("/", A462, FIND("/", A462) + 1) + 1, 2))</f>
        <v/>
      </c>
      <c r="I462" s="486">
        <f>TRIM(H462)</f>
        <v/>
      </c>
    </row>
    <row r="463" ht="15" customHeight="1">
      <c r="A463" s="484" t="inlineStr">
        <is>
          <t>KSK/342/C</t>
        </is>
      </c>
      <c r="B463" s="484">
        <f>+_xlfn.CONCAT(Tabella118[[#This Row],[Composizione]], " - ", Tabella118[[#This Row],[Fornitore]])</f>
        <v/>
      </c>
      <c r="C463" s="943" t="n">
        <v>0.317</v>
      </c>
      <c r="D463" s="484" t="inlineStr">
        <is>
          <t>Giusti</t>
        </is>
      </c>
      <c r="E463" s="484">
        <f>IFERROR(IF(H463="BC",Tabella118[[#This Row],[composizione concatenata]],IF(H463="C",Tabella118[[#This Row],[composizione concatenata]],VLOOKUP(I463,$K$2:$O$7,5,FALSE))),+Tabella118[[#This Row],[composizione concatenata]])</f>
        <v/>
      </c>
      <c r="F463" s="944">
        <f>+_xlfn.IFNA(VLOOKUP(Tabella118[[#This Row],[Composizione alternativa per digitale]],Tabella118[[composizione concatenata]:[Euro/Mq]],2,FALSE),VLOOKUP(H463,digitale[[ONDA]:[Fornitore]],3,FALSE))</f>
        <v/>
      </c>
      <c r="G463" s="484" t="n"/>
      <c r="H463" s="484">
        <f>IF(MID(A463, FIND("/", A463, FIND("/", A463) + 1) + 1, 2)="A","C",MID(A463, FIND("/", A463, FIND("/", A463) + 1) + 1, 2))</f>
        <v/>
      </c>
      <c r="I463" s="486">
        <f>TRIM(H463)</f>
        <v/>
      </c>
    </row>
    <row r="464" ht="15" customHeight="1">
      <c r="A464" s="484" t="inlineStr">
        <is>
          <t>KSK/343/C</t>
        </is>
      </c>
      <c r="B464" s="484">
        <f>+_xlfn.CONCAT(Tabella118[[#This Row],[Composizione]], " - ", Tabella118[[#This Row],[Fornitore]])</f>
        <v/>
      </c>
      <c r="C464" s="943" t="n">
        <v>0.336</v>
      </c>
      <c r="D464" s="484" t="inlineStr">
        <is>
          <t>Giusti</t>
        </is>
      </c>
      <c r="E464" s="484">
        <f>IFERROR(IF(H464="BC",Tabella118[[#This Row],[composizione concatenata]],IF(H464="C",Tabella118[[#This Row],[composizione concatenata]],VLOOKUP(I464,$K$2:$O$7,5,FALSE))),+Tabella118[[#This Row],[composizione concatenata]])</f>
        <v/>
      </c>
      <c r="F464" s="944">
        <f>+_xlfn.IFNA(VLOOKUP(Tabella118[[#This Row],[Composizione alternativa per digitale]],Tabella118[[composizione concatenata]:[Euro/Mq]],2,FALSE),VLOOKUP(H464,digitale[[ONDA]:[Fornitore]],3,FALSE))</f>
        <v/>
      </c>
      <c r="G464" s="484" t="n"/>
      <c r="H464" s="484">
        <f>IF(MID(A464, FIND("/", A464, FIND("/", A464) + 1) + 1, 2)="A","C",MID(A464, FIND("/", A464, FIND("/", A464) + 1) + 1, 2))</f>
        <v/>
      </c>
      <c r="I464" s="486">
        <f>TRIM(H464)</f>
        <v/>
      </c>
    </row>
    <row r="465" ht="15" customHeight="1">
      <c r="A465" s="484" t="inlineStr">
        <is>
          <t>KSK/362/B</t>
        </is>
      </c>
      <c r="B465" s="484">
        <f>+_xlfn.CONCAT(Tabella118[[#This Row],[Composizione]], " - ", Tabella118[[#This Row],[Fornitore]])</f>
        <v/>
      </c>
      <c r="C465" s="943" t="n">
        <v>0.34</v>
      </c>
      <c r="D465" s="484" t="inlineStr">
        <is>
          <t>Giusti</t>
        </is>
      </c>
      <c r="E465" s="484">
        <f>IFERROR(IF(H465="BC",Tabella118[[#This Row],[composizione concatenata]],IF(H465="C",Tabella118[[#This Row],[composizione concatenata]],VLOOKUP(I465,$K$2:$O$7,5,FALSE))),+Tabella118[[#This Row],[composizione concatenata]])</f>
        <v/>
      </c>
      <c r="F465" s="944">
        <f>+_xlfn.IFNA(VLOOKUP(Tabella118[[#This Row],[Composizione alternativa per digitale]],Tabella118[[composizione concatenata]:[Euro/Mq]],2,FALSE),VLOOKUP(H465,digitale[[ONDA]:[Fornitore]],3,FALSE))</f>
        <v/>
      </c>
      <c r="G465" s="484" t="n"/>
      <c r="H465" s="484">
        <f>IF(MID(A465, FIND("/", A465, FIND("/", A465) + 1) + 1, 2)="A","C",MID(A465, FIND("/", A465, FIND("/", A465) + 1) + 1, 2))</f>
        <v/>
      </c>
      <c r="I465" s="486">
        <f>TRIM(H465)</f>
        <v/>
      </c>
    </row>
    <row r="466" ht="15" customHeight="1">
      <c r="A466" s="484" t="inlineStr">
        <is>
          <t>KSK/362/C</t>
        </is>
      </c>
      <c r="B466" s="484">
        <f>+_xlfn.CONCAT(Tabella118[[#This Row],[Composizione]], " - ", Tabella118[[#This Row],[Fornitore]])</f>
        <v/>
      </c>
      <c r="C466" s="943" t="n">
        <v>0.357</v>
      </c>
      <c r="D466" s="484" t="inlineStr">
        <is>
          <t>Giusti</t>
        </is>
      </c>
      <c r="E466" s="484">
        <f>IFERROR(IF(H466="BC",Tabella118[[#This Row],[composizione concatenata]],IF(H466="C",Tabella118[[#This Row],[composizione concatenata]],VLOOKUP(I466,$K$2:$O$7,5,FALSE))),+Tabella118[[#This Row],[composizione concatenata]])</f>
        <v/>
      </c>
      <c r="F466" s="944">
        <f>+_xlfn.IFNA(VLOOKUP(Tabella118[[#This Row],[Composizione alternativa per digitale]],Tabella118[[composizione concatenata]:[Euro/Mq]],2,FALSE),VLOOKUP(H466,digitale[[ONDA]:[Fornitore]],3,FALSE))</f>
        <v/>
      </c>
      <c r="G466" s="484" t="n"/>
      <c r="H466" s="484">
        <f>IF(MID(A466, FIND("/", A466, FIND("/", A466) + 1) + 1, 2)="A","C",MID(A466, FIND("/", A466, FIND("/", A466) + 1) + 1, 2))</f>
        <v/>
      </c>
      <c r="I466" s="486">
        <f>TRIM(H466)</f>
        <v/>
      </c>
    </row>
    <row r="467" ht="15" customHeight="1">
      <c r="A467" s="484" t="inlineStr">
        <is>
          <t>KSK/363/B</t>
        </is>
      </c>
      <c r="B467" s="484">
        <f>+_xlfn.CONCAT(Tabella118[[#This Row],[Composizione]], " - ", Tabella118[[#This Row],[Fornitore]])</f>
        <v/>
      </c>
      <c r="C467" s="943" t="n">
        <v>0.349</v>
      </c>
      <c r="D467" s="484" t="inlineStr">
        <is>
          <t>Giusti</t>
        </is>
      </c>
      <c r="E467" s="484">
        <f>IFERROR(IF(H467="BC",Tabella118[[#This Row],[composizione concatenata]],IF(H467="C",Tabella118[[#This Row],[composizione concatenata]],VLOOKUP(I467,$K$2:$O$7,5,FALSE))),+Tabella118[[#This Row],[composizione concatenata]])</f>
        <v/>
      </c>
      <c r="F467" s="944">
        <f>+_xlfn.IFNA(VLOOKUP(Tabella118[[#This Row],[Composizione alternativa per digitale]],Tabella118[[composizione concatenata]:[Euro/Mq]],2,FALSE),VLOOKUP(H467,digitale[[ONDA]:[Fornitore]],3,FALSE))</f>
        <v/>
      </c>
      <c r="G467" s="484" t="n"/>
      <c r="H467" s="484">
        <f>IF(MID(A467, FIND("/", A467, FIND("/", A467) + 1) + 1, 2)="A","C",MID(A467, FIND("/", A467, FIND("/", A467) + 1) + 1, 2))</f>
        <v/>
      </c>
      <c r="I467" s="486">
        <f>TRIM(H467)</f>
        <v/>
      </c>
    </row>
    <row r="468" ht="15" customHeight="1">
      <c r="A468" s="483" t="inlineStr">
        <is>
          <t>KSK/363/B</t>
        </is>
      </c>
      <c r="B468" s="484">
        <f>+_xlfn.CONCAT(Tabella118[[#This Row],[Composizione]], " - ", Tabella118[[#This Row],[Fornitore]])</f>
        <v/>
      </c>
      <c r="C468" s="950" t="n">
        <v>0.328</v>
      </c>
      <c r="D468" s="484" t="inlineStr">
        <is>
          <t>Cartstrong</t>
        </is>
      </c>
      <c r="E468" s="484">
        <f>IFERROR(IF(H468="BC",Tabella118[[#This Row],[composizione concatenata]],IF(H468="C",Tabella118[[#This Row],[composizione concatenata]],VLOOKUP(I468,$K$2:$O$7,5,FALSE))),+Tabella118[[#This Row],[composizione concatenata]])</f>
        <v/>
      </c>
      <c r="F468" s="943">
        <f>+_xlfn.IFNA(VLOOKUP(Tabella118[[#This Row],[Composizione alternativa per digitale]],Tabella118[[composizione concatenata]:[Euro/Mq]],2,FALSE),VLOOKUP(H468,digitale[[ONDA]:[Fornitore]],3,FALSE))</f>
        <v/>
      </c>
      <c r="G468" s="484" t="n"/>
      <c r="H468" s="484">
        <f>IF(MID(A468, FIND("/", A468, FIND("/", A468) + 1) + 1, 2)="A","C",MID(A468, FIND("/", A468, FIND("/", A468) + 1) + 1, 2))</f>
        <v/>
      </c>
      <c r="I468" s="486">
        <f>TRIM(H468)</f>
        <v/>
      </c>
    </row>
    <row r="469" ht="15" customHeight="1">
      <c r="A469" s="484" t="inlineStr">
        <is>
          <t>KSK/363/C</t>
        </is>
      </c>
      <c r="B469" s="484">
        <f>+_xlfn.CONCAT(Tabella118[[#This Row],[Composizione]], " - ", Tabella118[[#This Row],[Fornitore]])</f>
        <v/>
      </c>
      <c r="C469" s="943" t="n">
        <v>0.366</v>
      </c>
      <c r="D469" s="484" t="inlineStr">
        <is>
          <t>Giusti</t>
        </is>
      </c>
      <c r="E469" s="484">
        <f>IFERROR(IF(H469="BC",Tabella118[[#This Row],[composizione concatenata]],IF(H469="C",Tabella118[[#This Row],[composizione concatenata]],VLOOKUP(I469,$K$2:$O$7,5,FALSE))),+Tabella118[[#This Row],[composizione concatenata]])</f>
        <v/>
      </c>
      <c r="F469" s="944">
        <f>+_xlfn.IFNA(VLOOKUP(Tabella118[[#This Row],[Composizione alternativa per digitale]],Tabella118[[composizione concatenata]:[Euro/Mq]],2,FALSE),VLOOKUP(H469,digitale[[ONDA]:[Fornitore]],3,FALSE))</f>
        <v/>
      </c>
      <c r="G469" s="484" t="n"/>
      <c r="H469" s="484">
        <f>IF(MID(A469, FIND("/", A469, FIND("/", A469) + 1) + 1, 2)="A","C",MID(A469, FIND("/", A469, FIND("/", A469) + 1) + 1, 2))</f>
        <v/>
      </c>
      <c r="I469" s="486">
        <f>TRIM(H469)</f>
        <v/>
      </c>
    </row>
    <row r="470" ht="15" customHeight="1">
      <c r="A470" s="484" t="inlineStr">
        <is>
          <t>KSK/363/E</t>
        </is>
      </c>
      <c r="B470" s="484">
        <f>+_xlfn.CONCAT(Tabella118[[#This Row],[Composizione]], " - ", Tabella118[[#This Row],[Fornitore]])</f>
        <v/>
      </c>
      <c r="C470" s="943" t="n">
        <v>0.347</v>
      </c>
      <c r="D470" s="484" t="inlineStr">
        <is>
          <t>Giusti</t>
        </is>
      </c>
      <c r="E470" s="484">
        <f>IFERROR(IF(H470="BC",Tabella118[[#This Row],[composizione concatenata]],IF(H470="C",Tabella118[[#This Row],[composizione concatenata]],VLOOKUP(I470,$K$2:$O$7,5,FALSE))),+Tabella118[[#This Row],[composizione concatenata]])</f>
        <v/>
      </c>
      <c r="F470" s="944">
        <f>+_xlfn.IFNA(VLOOKUP(Tabella118[[#This Row],[Composizione alternativa per digitale]],Tabella118[[composizione concatenata]:[Euro/Mq]],2,FALSE),VLOOKUP(H470,digitale[[ONDA]:[Fornitore]],3,FALSE))</f>
        <v/>
      </c>
      <c r="G470" s="484" t="n"/>
      <c r="H470" s="484">
        <f>IF(MID(A470, FIND("/", A470, FIND("/", A470) + 1) + 1, 2)="A","C",MID(A470, FIND("/", A470, FIND("/", A470) + 1) + 1, 2))</f>
        <v/>
      </c>
      <c r="I470" s="486">
        <f>TRIM(H470)</f>
        <v/>
      </c>
    </row>
    <row r="471" ht="15" customHeight="1">
      <c r="A471" s="484" t="inlineStr">
        <is>
          <t>KSK/442/B</t>
        </is>
      </c>
      <c r="B471" s="484">
        <f>+_xlfn.CONCAT(Tabella118[[#This Row],[Composizione]], " - ", Tabella118[[#This Row],[Fornitore]])</f>
        <v/>
      </c>
      <c r="C471" s="943" t="n">
        <v>0.38</v>
      </c>
      <c r="D471" s="484" t="inlineStr">
        <is>
          <t xml:space="preserve">Ds Smith </t>
        </is>
      </c>
      <c r="E471" s="484">
        <f>IFERROR(IF(H471="BC",Tabella118[[#This Row],[composizione concatenata]],IF(H471="C",Tabella118[[#This Row],[composizione concatenata]],VLOOKUP(I471,$K$2:$O$7,5,FALSE))),+Tabella118[[#This Row],[composizione concatenata]])</f>
        <v/>
      </c>
      <c r="F471" s="943">
        <f>+_xlfn.IFNA(VLOOKUP(Tabella118[[#This Row],[Composizione alternativa per digitale]],Tabella118[[composizione concatenata]:[Euro/Mq]],2,FALSE),VLOOKUP(H471,digitale[[ONDA]:[Fornitore]],3,FALSE))</f>
        <v/>
      </c>
      <c r="G471" s="484" t="n"/>
      <c r="H471" s="484">
        <f>IF(MID(A471, FIND("/", A471, FIND("/", A471) + 1) + 1, 2)="A","C",MID(A471, FIND("/", A471, FIND("/", A471) + 1) + 1, 2))</f>
        <v/>
      </c>
      <c r="I471" s="486">
        <f>TRIM(H471)</f>
        <v/>
      </c>
    </row>
    <row r="472" ht="15" customHeight="1">
      <c r="A472" s="484" t="inlineStr">
        <is>
          <t>KSK/442/E</t>
        </is>
      </c>
      <c r="B472" s="484">
        <f>+_xlfn.CONCAT(Tabella118[[#This Row],[Composizione]], " - ", Tabella118[[#This Row],[Fornitore]])</f>
        <v/>
      </c>
      <c r="C472" s="943" t="n">
        <v>0.375</v>
      </c>
      <c r="D472" s="484" t="inlineStr">
        <is>
          <t xml:space="preserve">Ds Smith </t>
        </is>
      </c>
      <c r="E472" s="484">
        <f>IFERROR(IF(H472="BC",Tabella118[[#This Row],[composizione concatenata]],IF(H472="C",Tabella118[[#This Row],[composizione concatenata]],VLOOKUP(I472,$K$2:$O$7,5,FALSE))),+Tabella118[[#This Row],[composizione concatenata]])</f>
        <v/>
      </c>
      <c r="F472" s="943">
        <f>+_xlfn.IFNA(VLOOKUP(Tabella118[[#This Row],[Composizione alternativa per digitale]],Tabella118[[composizione concatenata]:[Euro/Mq]],2,FALSE),VLOOKUP(H472,digitale[[ONDA]:[Fornitore]],3,FALSE))</f>
        <v/>
      </c>
      <c r="G472" s="484" t="n"/>
      <c r="H472" s="484">
        <f>IF(MID(A472, FIND("/", A472, FIND("/", A472) + 1) + 1, 2)="A","C",MID(A472, FIND("/", A472, FIND("/", A472) + 1) + 1, 2))</f>
        <v/>
      </c>
      <c r="I472" s="486">
        <f>TRIM(H472)</f>
        <v/>
      </c>
    </row>
    <row r="473" ht="15" customHeight="1">
      <c r="A473" s="484" t="inlineStr">
        <is>
          <t>KSK/444/C</t>
        </is>
      </c>
      <c r="B473" s="484">
        <f>+_xlfn.CONCAT(Tabella118[[#This Row],[Composizione]], " - ", Tabella118[[#This Row],[Fornitore]])</f>
        <v/>
      </c>
      <c r="C473" s="943" t="n">
        <v>0.42</v>
      </c>
      <c r="D473" s="484" t="inlineStr">
        <is>
          <t xml:space="preserve">Ds Smith </t>
        </is>
      </c>
      <c r="E473" s="484">
        <f>IFERROR(IF(H473="BC",Tabella118[[#This Row],[composizione concatenata]],IF(H473="C",Tabella118[[#This Row],[composizione concatenata]],VLOOKUP(I473,$K$2:$O$7,5,FALSE))),+Tabella118[[#This Row],[composizione concatenata]])</f>
        <v/>
      </c>
      <c r="F473" s="943">
        <f>+_xlfn.IFNA(VLOOKUP(Tabella118[[#This Row],[Composizione alternativa per digitale]],Tabella118[[composizione concatenata]:[Euro/Mq]],2,FALSE),VLOOKUP(H473,digitale[[ONDA]:[Fornitore]],3,FALSE))</f>
        <v/>
      </c>
      <c r="G473" s="484" t="n"/>
      <c r="H473" s="484">
        <f>IF(MID(A473, FIND("/", A473, FIND("/", A473) + 1) + 1, 2)="A","C",MID(A473, FIND("/", A473, FIND("/", A473) + 1) + 1, 2))</f>
        <v/>
      </c>
      <c r="I473" s="486">
        <f>TRIM(H473)</f>
        <v/>
      </c>
    </row>
    <row r="474" ht="15" customHeight="1">
      <c r="A474" s="484" t="inlineStr">
        <is>
          <t>KSK/464/B</t>
        </is>
      </c>
      <c r="B474" s="484">
        <f>+_xlfn.CONCAT(Tabella118[[#This Row],[Composizione]], " - ", Tabella118[[#This Row],[Fornitore]])</f>
        <v/>
      </c>
      <c r="C474" s="943" t="n">
        <v>0.425</v>
      </c>
      <c r="D474" s="484" t="inlineStr">
        <is>
          <t xml:space="preserve">Ds Smith </t>
        </is>
      </c>
      <c r="E474" s="484">
        <f>IFERROR(IF(H474="BC",Tabella118[[#This Row],[composizione concatenata]],IF(H474="C",Tabella118[[#This Row],[composizione concatenata]],VLOOKUP(I474,$K$2:$O$7,5,FALSE))),+Tabella118[[#This Row],[composizione concatenata]])</f>
        <v/>
      </c>
      <c r="F474" s="943">
        <f>+_xlfn.IFNA(VLOOKUP(Tabella118[[#This Row],[Composizione alternativa per digitale]],Tabella118[[composizione concatenata]:[Euro/Mq]],2,FALSE),VLOOKUP(H474,digitale[[ONDA]:[Fornitore]],3,FALSE))</f>
        <v/>
      </c>
      <c r="G474" s="484" t="n"/>
      <c r="H474" s="484">
        <f>IF(MID(A474, FIND("/", A474, FIND("/", A474) + 1) + 1, 2)="A","C",MID(A474, FIND("/", A474, FIND("/", A474) + 1) + 1, 2))</f>
        <v/>
      </c>
      <c r="I474" s="486">
        <f>TRIM(H474)</f>
        <v/>
      </c>
    </row>
    <row r="475" ht="15" customHeight="1">
      <c r="A475" s="484" t="inlineStr">
        <is>
          <t>KSK/464/C</t>
        </is>
      </c>
      <c r="B475" s="484">
        <f>+_xlfn.CONCAT(Tabella118[[#This Row],[Composizione]], " - ", Tabella118[[#This Row],[Fornitore]])</f>
        <v/>
      </c>
      <c r="C475" s="943" t="n">
        <v>0.435</v>
      </c>
      <c r="D475" s="484" t="inlineStr">
        <is>
          <t xml:space="preserve">Ds Smith </t>
        </is>
      </c>
      <c r="E475" s="484">
        <f>IFERROR(IF(H475="BC",Tabella118[[#This Row],[composizione concatenata]],IF(H475="C",Tabella118[[#This Row],[composizione concatenata]],VLOOKUP(I475,$K$2:$O$7,5,FALSE))),+Tabella118[[#This Row],[composizione concatenata]])</f>
        <v/>
      </c>
      <c r="F475" s="943">
        <f>+_xlfn.IFNA(VLOOKUP(Tabella118[[#This Row],[Composizione alternativa per digitale]],Tabella118[[composizione concatenata]:[Euro/Mq]],2,FALSE),VLOOKUP(H475,digitale[[ONDA]:[Fornitore]],3,FALSE))</f>
        <v/>
      </c>
      <c r="G475" s="484" t="n"/>
      <c r="H475" s="484">
        <f>IF(MID(A475, FIND("/", A475, FIND("/", A475) + 1) + 1, 2)="A","C",MID(A475, FIND("/", A475, FIND("/", A475) + 1) + 1, 2))</f>
        <v/>
      </c>
      <c r="I475" s="486">
        <f>TRIM(H475)</f>
        <v/>
      </c>
    </row>
    <row r="476" ht="15" customHeight="1">
      <c r="A476" s="484" t="inlineStr">
        <is>
          <t>KSK/464/E</t>
        </is>
      </c>
      <c r="B476" s="484">
        <f>+_xlfn.CONCAT(Tabella118[[#This Row],[Composizione]], " - ", Tabella118[[#This Row],[Fornitore]])</f>
        <v/>
      </c>
      <c r="C476" s="943" t="n">
        <v>0.405</v>
      </c>
      <c r="D476" s="484" t="inlineStr">
        <is>
          <t xml:space="preserve">Ds Smith </t>
        </is>
      </c>
      <c r="E476" s="484">
        <f>IFERROR(IF(H476="BC",Tabella118[[#This Row],[composizione concatenata]],IF(H476="C",Tabella118[[#This Row],[composizione concatenata]],VLOOKUP(I476,$K$2:$O$7,5,FALSE))),+Tabella118[[#This Row],[composizione concatenata]])</f>
        <v/>
      </c>
      <c r="F476" s="943">
        <f>+_xlfn.IFNA(VLOOKUP(Tabella118[[#This Row],[Composizione alternativa per digitale]],Tabella118[[composizione concatenata]:[Euro/Mq]],2,FALSE),VLOOKUP(H476,digitale[[ONDA]:[Fornitore]],3,FALSE))</f>
        <v/>
      </c>
      <c r="G476" s="484" t="n"/>
      <c r="H476" s="484">
        <f>IF(MID(A476, FIND("/", A476, FIND("/", A476) + 1) + 1, 2)="A","C",MID(A476, FIND("/", A476, FIND("/", A476) + 1) + 1, 2))</f>
        <v/>
      </c>
      <c r="I476" s="486">
        <f>TRIM(H476)</f>
        <v/>
      </c>
    </row>
    <row r="477" ht="15" customHeight="1">
      <c r="A477" s="484" t="inlineStr">
        <is>
          <t>KSK/543/C</t>
        </is>
      </c>
      <c r="B477" s="484">
        <f>+_xlfn.CONCAT(Tabella118[[#This Row],[Composizione]], " - ", Tabella118[[#This Row],[Fornitore]])</f>
        <v/>
      </c>
      <c r="C477" s="943" t="n">
        <v>0.364</v>
      </c>
      <c r="D477" s="484" t="inlineStr">
        <is>
          <t>Giusti</t>
        </is>
      </c>
      <c r="E477" s="484">
        <f>IFERROR(IF(H477="BC",Tabella118[[#This Row],[composizione concatenata]],IF(H477="C",Tabella118[[#This Row],[composizione concatenata]],VLOOKUP(I477,$K$2:$O$7,5,FALSE))),+Tabella118[[#This Row],[composizione concatenata]])</f>
        <v/>
      </c>
      <c r="F477" s="944">
        <f>+_xlfn.IFNA(VLOOKUP(Tabella118[[#This Row],[Composizione alternativa per digitale]],Tabella118[[composizione concatenata]:[Euro/Mq]],2,FALSE),VLOOKUP(H477,digitale[[ONDA]:[Fornitore]],3,FALSE))</f>
        <v/>
      </c>
      <c r="G477" s="484" t="n"/>
      <c r="H477" s="484">
        <f>IF(MID(A477, FIND("/", A477, FIND("/", A477) + 1) + 1, 2)="A","C",MID(A477, FIND("/", A477, FIND("/", A477) + 1) + 1, 2))</f>
        <v/>
      </c>
      <c r="I477" s="486">
        <f>TRIM(H477)</f>
        <v/>
      </c>
    </row>
    <row r="478" ht="15" customHeight="1">
      <c r="A478" s="484" t="inlineStr">
        <is>
          <t>KSK/563/B</t>
        </is>
      </c>
      <c r="B478" s="484">
        <f>+_xlfn.CONCAT(Tabella118[[#This Row],[Composizione]], " - ", Tabella118[[#This Row],[Fornitore]])</f>
        <v/>
      </c>
      <c r="C478" s="943" t="n">
        <v>0.367</v>
      </c>
      <c r="D478" s="484" t="inlineStr">
        <is>
          <t>Giusti</t>
        </is>
      </c>
      <c r="E478" s="484">
        <f>IFERROR(IF(H478="BC",Tabella118[[#This Row],[composizione concatenata]],IF(H478="C",Tabella118[[#This Row],[composizione concatenata]],VLOOKUP(I478,$K$2:$O$7,5,FALSE))),+Tabella118[[#This Row],[composizione concatenata]])</f>
        <v/>
      </c>
      <c r="F478" s="944">
        <f>+_xlfn.IFNA(VLOOKUP(Tabella118[[#This Row],[Composizione alternativa per digitale]],Tabella118[[composizione concatenata]:[Euro/Mq]],2,FALSE),VLOOKUP(H478,digitale[[ONDA]:[Fornitore]],3,FALSE))</f>
        <v/>
      </c>
      <c r="G478" s="484" t="n"/>
      <c r="H478" s="484">
        <f>IF(MID(A478, FIND("/", A478, FIND("/", A478) + 1) + 1, 2)="A","C",MID(A478, FIND("/", A478, FIND("/", A478) + 1) + 1, 2))</f>
        <v/>
      </c>
      <c r="I478" s="486">
        <f>TRIM(H478)</f>
        <v/>
      </c>
    </row>
    <row r="479" ht="15" customHeight="1">
      <c r="A479" s="484" t="inlineStr">
        <is>
          <t>KSK/563/C</t>
        </is>
      </c>
      <c r="B479" s="484">
        <f>+_xlfn.CONCAT(Tabella118[[#This Row],[Composizione]], " - ", Tabella118[[#This Row],[Fornitore]])</f>
        <v/>
      </c>
      <c r="C479" s="943" t="n">
        <v>0.384</v>
      </c>
      <c r="D479" s="484" t="inlineStr">
        <is>
          <t>Giusti</t>
        </is>
      </c>
      <c r="E479" s="484">
        <f>IFERROR(IF(H479="BC",Tabella118[[#This Row],[composizione concatenata]],IF(H479="C",Tabella118[[#This Row],[composizione concatenata]],VLOOKUP(I479,$K$2:$O$7,5,FALSE))),+Tabella118[[#This Row],[composizione concatenata]])</f>
        <v/>
      </c>
      <c r="F479" s="944">
        <f>+_xlfn.IFNA(VLOOKUP(Tabella118[[#This Row],[Composizione alternativa per digitale]],Tabella118[[composizione concatenata]:[Euro/Mq]],2,FALSE),VLOOKUP(H479,digitale[[ONDA]:[Fornitore]],3,FALSE))</f>
        <v/>
      </c>
      <c r="G479" s="484" t="n"/>
      <c r="H479" s="484">
        <f>IF(MID(A479, FIND("/", A479, FIND("/", A479) + 1) + 1, 2)="A","C",MID(A479, FIND("/", A479, FIND("/", A479) + 1) + 1, 2))</f>
        <v/>
      </c>
      <c r="I479" s="486">
        <f>TRIM(H479)</f>
        <v/>
      </c>
    </row>
    <row r="480" ht="15" customHeight="1">
      <c r="A480" s="484" t="inlineStr">
        <is>
          <t>KSK/565/C</t>
        </is>
      </c>
      <c r="B480" s="484">
        <f>+_xlfn.CONCAT(Tabella118[[#This Row],[Composizione]], " - ", Tabella118[[#This Row],[Fornitore]])</f>
        <v/>
      </c>
      <c r="C480" s="943" t="n">
        <v>0.402</v>
      </c>
      <c r="D480" s="484" t="inlineStr">
        <is>
          <t>Giusti</t>
        </is>
      </c>
      <c r="E480" s="484">
        <f>IFERROR(IF(H480="BC",Tabella118[[#This Row],[composizione concatenata]],IF(H480="C",Tabella118[[#This Row],[composizione concatenata]],VLOOKUP(I480,$K$2:$O$7,5,FALSE))),+Tabella118[[#This Row],[composizione concatenata]])</f>
        <v/>
      </c>
      <c r="F480" s="944">
        <f>+_xlfn.IFNA(VLOOKUP(Tabella118[[#This Row],[Composizione alternativa per digitale]],Tabella118[[composizione concatenata]:[Euro/Mq]],2,FALSE),VLOOKUP(H480,digitale[[ONDA]:[Fornitore]],3,FALSE))</f>
        <v/>
      </c>
      <c r="G480" s="484" t="n"/>
      <c r="H480" s="484">
        <f>IF(MID(A480, FIND("/", A480, FIND("/", A480) + 1) + 1, 2)="A","C",MID(A480, FIND("/", A480, FIND("/", A480) + 1) + 1, 2))</f>
        <v/>
      </c>
      <c r="I480" s="486">
        <f>TRIM(H480)</f>
        <v/>
      </c>
    </row>
    <row r="481" ht="15" customHeight="1">
      <c r="A481" s="484" t="inlineStr">
        <is>
          <t>KSMSMSK\5464665 CCH</t>
        </is>
      </c>
      <c r="B481" s="484">
        <f>+_xlfn.CONCAT(Tabella118[[#This Row],[Composizione]], " - ", Tabella118[[#This Row],[Fornitore]])</f>
        <v/>
      </c>
      <c r="C481" s="943" t="n">
        <v>1.2</v>
      </c>
      <c r="D481" s="484" t="inlineStr">
        <is>
          <t>Cartonificio Fiorentino</t>
        </is>
      </c>
      <c r="E481" s="484">
        <f>IFERROR(IF(H481="BC",Tabella118[[#This Row],[composizione concatenata]],IF(H481="C",Tabella118[[#This Row],[composizione concatenata]],VLOOKUP(I481,$K$2:$O$7,5,FALSE))),+Tabella118[[#This Row],[composizione concatenata]])</f>
        <v/>
      </c>
      <c r="F481" s="944">
        <f>+_xlfn.IFNA(VLOOKUP(Tabella118[[#This Row],[Composizione alternativa per digitale]],Tabella118[[composizione concatenata]:[Euro/Mq]],2,FALSE),VLOOKUP(H481,digitale[[ONDA]:[Fornitore]],3,FALSE))</f>
        <v/>
      </c>
      <c r="G481" s="484" t="n"/>
      <c r="H481" s="484">
        <f>IF(MID(A481, FIND("/", A481, FIND("/", A481) + 1) + 1, 2)="A","C",MID(A481, FIND("/", A481, FIND("/", A481) + 1) + 1, 2))</f>
        <v/>
      </c>
      <c r="I481" s="486">
        <f>TRIM(H481)</f>
        <v/>
      </c>
    </row>
    <row r="482" ht="15" customHeight="1">
      <c r="A482" s="484" t="inlineStr">
        <is>
          <t>KSMSMSK\9466665 CCH</t>
        </is>
      </c>
      <c r="B482" s="484">
        <f>+_xlfn.CONCAT(Tabella118[[#This Row],[Composizione]], " - ", Tabella118[[#This Row],[Fornitore]])</f>
        <v/>
      </c>
      <c r="C482" s="943" t="n">
        <v>1.335</v>
      </c>
      <c r="D482" s="484" t="inlineStr">
        <is>
          <t>Cartonificio Fiorentino</t>
        </is>
      </c>
      <c r="E482" s="484">
        <f>IFERROR(IF(H482="BC",Tabella118[[#This Row],[composizione concatenata]],IF(H482="C",Tabella118[[#This Row],[composizione concatenata]],VLOOKUP(I482,$K$2:$O$7,5,FALSE))),+Tabella118[[#This Row],[composizione concatenata]])</f>
        <v/>
      </c>
      <c r="F482" s="944">
        <f>+_xlfn.IFNA(VLOOKUP(Tabella118[[#This Row],[Composizione alternativa per digitale]],Tabella118[[composizione concatenata]:[Euro/Mq]],2,FALSE),VLOOKUP(H482,digitale[[ONDA]:[Fornitore]],3,FALSE))</f>
        <v/>
      </c>
      <c r="G482" s="484" t="n"/>
      <c r="H482" s="484">
        <f>IF(MID(A482, FIND("/", A482, FIND("/", A482) + 1) + 1, 2)="A","C",MID(A482, FIND("/", A482, FIND("/", A482) + 1) + 1, 2))</f>
        <v/>
      </c>
      <c r="I482" s="486">
        <f>TRIM(H482)</f>
        <v/>
      </c>
    </row>
    <row r="483" ht="15" customHeight="1">
      <c r="A483" s="484" t="inlineStr">
        <is>
          <t>KST/242/B</t>
        </is>
      </c>
      <c r="B483" s="484">
        <f>+_xlfn.CONCAT(Tabella118[[#This Row],[Composizione]], " - ", Tabella118[[#This Row],[Fornitore]])</f>
        <v/>
      </c>
      <c r="C483" s="943" t="n">
        <v>0.315</v>
      </c>
      <c r="D483" s="484" t="inlineStr">
        <is>
          <t xml:space="preserve">Ds Smith </t>
        </is>
      </c>
      <c r="E483" s="484">
        <f>IFERROR(IF(H483="BC",Tabella118[[#This Row],[composizione concatenata]],IF(H483="C",Tabella118[[#This Row],[composizione concatenata]],VLOOKUP(I483,$K$2:$O$7,5,FALSE))),+Tabella118[[#This Row],[composizione concatenata]])</f>
        <v/>
      </c>
      <c r="F483" s="943">
        <f>+_xlfn.IFNA(VLOOKUP(Tabella118[[#This Row],[Composizione alternativa per digitale]],Tabella118[[composizione concatenata]:[Euro/Mq]],2,FALSE),VLOOKUP(H483,digitale[[ONDA]:[Fornitore]],3,FALSE))</f>
        <v/>
      </c>
      <c r="G483" s="484" t="n"/>
      <c r="H483" s="484">
        <f>IF(MID(A483, FIND("/", A483, FIND("/", A483) + 1) + 1, 2)="A","C",MID(A483, FIND("/", A483, FIND("/", A483) + 1) + 1, 2))</f>
        <v/>
      </c>
      <c r="I483" s="486">
        <f>TRIM(H483)</f>
        <v/>
      </c>
    </row>
    <row r="484" ht="15" customHeight="1">
      <c r="A484" s="484" t="inlineStr">
        <is>
          <t>KST/242/B</t>
        </is>
      </c>
      <c r="B484" s="484">
        <f>+_xlfn.CONCAT(Tabella118[[#This Row],[Composizione]], " - ", Tabella118[[#This Row],[Fornitore]])</f>
        <v/>
      </c>
      <c r="C484" s="943" t="n">
        <v>0.275</v>
      </c>
      <c r="D484" s="484" t="inlineStr">
        <is>
          <t>Giusti</t>
        </is>
      </c>
      <c r="E484" s="484">
        <f>IFERROR(IF(H484="BC",Tabella118[[#This Row],[composizione concatenata]],IF(H484="C",Tabella118[[#This Row],[composizione concatenata]],VLOOKUP(I484,$K$2:$O$7,5,FALSE))),+Tabella118[[#This Row],[composizione concatenata]])</f>
        <v/>
      </c>
      <c r="F484" s="944">
        <f>+_xlfn.IFNA(VLOOKUP(Tabella118[[#This Row],[Composizione alternativa per digitale]],Tabella118[[composizione concatenata]:[Euro/Mq]],2,FALSE),VLOOKUP(H484,digitale[[ONDA]:[Fornitore]],3,FALSE))</f>
        <v/>
      </c>
      <c r="G484" s="484" t="n"/>
      <c r="H484" s="484">
        <f>IF(MID(A484, FIND("/", A484, FIND("/", A484) + 1) + 1, 2)="A","C",MID(A484, FIND("/", A484, FIND("/", A484) + 1) + 1, 2))</f>
        <v/>
      </c>
      <c r="I484" s="486">
        <f>TRIM(H484)</f>
        <v/>
      </c>
    </row>
    <row r="485" ht="15" customHeight="1">
      <c r="A485" s="484" t="inlineStr">
        <is>
          <t>KST/242/E</t>
        </is>
      </c>
      <c r="B485" s="484">
        <f>+_xlfn.CONCAT(Tabella118[[#This Row],[Composizione]], " - ", Tabella118[[#This Row],[Fornitore]])</f>
        <v/>
      </c>
      <c r="C485" s="943" t="n">
        <v>0.3</v>
      </c>
      <c r="D485" s="484" t="inlineStr">
        <is>
          <t xml:space="preserve">Ds Smith </t>
        </is>
      </c>
      <c r="E485" s="484">
        <f>IFERROR(IF(H485="BC",Tabella118[[#This Row],[composizione concatenata]],IF(H485="C",Tabella118[[#This Row],[composizione concatenata]],VLOOKUP(I485,$K$2:$O$7,5,FALSE))),+Tabella118[[#This Row],[composizione concatenata]])</f>
        <v/>
      </c>
      <c r="F485" s="943">
        <f>+_xlfn.IFNA(VLOOKUP(Tabella118[[#This Row],[Composizione alternativa per digitale]],Tabella118[[composizione concatenata]:[Euro/Mq]],2,FALSE),VLOOKUP(H485,digitale[[ONDA]:[Fornitore]],3,FALSE))</f>
        <v/>
      </c>
      <c r="G485" s="484" t="n"/>
      <c r="H485" s="484">
        <f>IF(MID(A485, FIND("/", A485, FIND("/", A485) + 1) + 1, 2)="A","C",MID(A485, FIND("/", A485, FIND("/", A485) + 1) + 1, 2))</f>
        <v/>
      </c>
      <c r="I485" s="486">
        <f>TRIM(H485)</f>
        <v/>
      </c>
    </row>
    <row r="486" ht="15" customHeight="1">
      <c r="A486" s="483" t="inlineStr">
        <is>
          <t>KST/242/E</t>
        </is>
      </c>
      <c r="B486" s="484">
        <f>+_xlfn.CONCAT(Tabella118[[#This Row],[Composizione]], " - ", Tabella118[[#This Row],[Fornitore]])</f>
        <v/>
      </c>
      <c r="C486" s="950" t="n">
        <v>0.252</v>
      </c>
      <c r="D486" s="484" t="inlineStr">
        <is>
          <t>Cartstrong</t>
        </is>
      </c>
      <c r="E486" s="484">
        <f>IFERROR(IF(H486="BC",Tabella118[[#This Row],[composizione concatenata]],IF(H486="C",Tabella118[[#This Row],[composizione concatenata]],VLOOKUP(I486,$K$2:$O$7,5,FALSE))),+Tabella118[[#This Row],[composizione concatenata]])</f>
        <v/>
      </c>
      <c r="F486" s="943">
        <f>+_xlfn.IFNA(VLOOKUP(Tabella118[[#This Row],[Composizione alternativa per digitale]],Tabella118[[composizione concatenata]:[Euro/Mq]],2,FALSE),VLOOKUP(H486,digitale[[ONDA]:[Fornitore]],3,FALSE))</f>
        <v/>
      </c>
      <c r="G486" s="484" t="n"/>
      <c r="H486" s="484">
        <f>IF(MID(A486, FIND("/", A486, FIND("/", A486) + 1) + 1, 2)="A","C",MID(A486, FIND("/", A486, FIND("/", A486) + 1) + 1, 2))</f>
        <v/>
      </c>
      <c r="I486" s="486">
        <f>TRIM(H486)</f>
        <v/>
      </c>
    </row>
    <row r="487" ht="15" customHeight="1">
      <c r="A487" s="484" t="inlineStr">
        <is>
          <t>KST/262/B</t>
        </is>
      </c>
      <c r="B487" s="484">
        <f>+_xlfn.CONCAT(Tabella118[[#This Row],[Composizione]], " - ", Tabella118[[#This Row],[Fornitore]])</f>
        <v/>
      </c>
      <c r="C487" s="943" t="n">
        <v>0.325</v>
      </c>
      <c r="D487" s="484" t="inlineStr">
        <is>
          <t xml:space="preserve">Ds Smith </t>
        </is>
      </c>
      <c r="E487" s="484">
        <f>IFERROR(IF(H487="BC",Tabella118[[#This Row],[composizione concatenata]],IF(H487="C",Tabella118[[#This Row],[composizione concatenata]],VLOOKUP(I487,$K$2:$O$7,5,FALSE))),+Tabella118[[#This Row],[composizione concatenata]])</f>
        <v/>
      </c>
      <c r="F487" s="943">
        <f>+_xlfn.IFNA(VLOOKUP(Tabella118[[#This Row],[Composizione alternativa per digitale]],Tabella118[[composizione concatenata]:[Euro/Mq]],2,FALSE),VLOOKUP(H487,digitale[[ONDA]:[Fornitore]],3,FALSE))</f>
        <v/>
      </c>
      <c r="G487" s="484" t="n"/>
      <c r="H487" s="484">
        <f>IF(MID(A487, FIND("/", A487, FIND("/", A487) + 1) + 1, 2)="A","C",MID(A487, FIND("/", A487, FIND("/", A487) + 1) + 1, 2))</f>
        <v/>
      </c>
      <c r="I487" s="486">
        <f>TRIM(H487)</f>
        <v/>
      </c>
    </row>
    <row r="488" ht="15" customHeight="1">
      <c r="A488" s="484" t="inlineStr">
        <is>
          <t>KST/262/B</t>
        </is>
      </c>
      <c r="B488" s="484">
        <f>+_xlfn.CONCAT(Tabella118[[#This Row],[Composizione]], " - ", Tabella118[[#This Row],[Fornitore]])</f>
        <v/>
      </c>
      <c r="C488" s="943" t="n">
        <v>0.309</v>
      </c>
      <c r="D488" s="484" t="inlineStr">
        <is>
          <t>Giusti</t>
        </is>
      </c>
      <c r="E488" s="484">
        <f>IFERROR(IF(H488="BC",Tabella118[[#This Row],[composizione concatenata]],IF(H488="C",Tabella118[[#This Row],[composizione concatenata]],VLOOKUP(I488,$K$2:$O$7,5,FALSE))),+Tabella118[[#This Row],[composizione concatenata]])</f>
        <v/>
      </c>
      <c r="F488" s="944">
        <f>+_xlfn.IFNA(VLOOKUP(Tabella118[[#This Row],[Composizione alternativa per digitale]],Tabella118[[composizione concatenata]:[Euro/Mq]],2,FALSE),VLOOKUP(H488,digitale[[ONDA]:[Fornitore]],3,FALSE))</f>
        <v/>
      </c>
      <c r="G488" s="484" t="n"/>
      <c r="H488" s="484">
        <f>IF(MID(A488, FIND("/", A488, FIND("/", A488) + 1) + 1, 2)="A","C",MID(A488, FIND("/", A488, FIND("/", A488) + 1) + 1, 2))</f>
        <v/>
      </c>
      <c r="I488" s="486">
        <f>TRIM(H488)</f>
        <v/>
      </c>
    </row>
    <row r="489" ht="15" customHeight="1">
      <c r="A489" s="483" t="inlineStr">
        <is>
          <t>KST/262/B</t>
        </is>
      </c>
      <c r="B489" s="484">
        <f>+_xlfn.CONCAT(Tabella118[[#This Row],[Composizione]], " - ", Tabella118[[#This Row],[Fornitore]])</f>
        <v/>
      </c>
      <c r="C489" s="950" t="n">
        <v>0.285</v>
      </c>
      <c r="D489" s="484" t="inlineStr">
        <is>
          <t>Cartstrong</t>
        </is>
      </c>
      <c r="E489" s="484">
        <f>IFERROR(IF(H489="BC",Tabella118[[#This Row],[composizione concatenata]],IF(H489="C",Tabella118[[#This Row],[composizione concatenata]],VLOOKUP(I489,$K$2:$O$7,5,FALSE))),+Tabella118[[#This Row],[composizione concatenata]])</f>
        <v/>
      </c>
      <c r="F489" s="943">
        <f>+_xlfn.IFNA(VLOOKUP(Tabella118[[#This Row],[Composizione alternativa per digitale]],Tabella118[[composizione concatenata]:[Euro/Mq]],2,FALSE),VLOOKUP(H489,digitale[[ONDA]:[Fornitore]],3,FALSE))</f>
        <v/>
      </c>
      <c r="G489" s="484" t="n"/>
      <c r="H489" s="484">
        <f>IF(MID(A489, FIND("/", A489, FIND("/", A489) + 1) + 1, 2)="A","C",MID(A489, FIND("/", A489, FIND("/", A489) + 1) + 1, 2))</f>
        <v/>
      </c>
      <c r="I489" s="486">
        <f>TRIM(H489)</f>
        <v/>
      </c>
    </row>
    <row r="490" ht="15" customHeight="1">
      <c r="A490" s="484" t="inlineStr">
        <is>
          <t>KST/262/C</t>
        </is>
      </c>
      <c r="B490" s="484">
        <f>+_xlfn.CONCAT(Tabella118[[#This Row],[Composizione]], " - ", Tabella118[[#This Row],[Fornitore]])</f>
        <v/>
      </c>
      <c r="C490" s="943" t="n">
        <v>0.321</v>
      </c>
      <c r="D490" s="484" t="inlineStr">
        <is>
          <t>Giusti</t>
        </is>
      </c>
      <c r="E490" s="484">
        <f>IFERROR(IF(H490="BC",Tabella118[[#This Row],[composizione concatenata]],IF(H490="C",Tabella118[[#This Row],[composizione concatenata]],VLOOKUP(I490,$K$2:$O$7,5,FALSE))),+Tabella118[[#This Row],[composizione concatenata]])</f>
        <v/>
      </c>
      <c r="F490" s="944">
        <f>+_xlfn.IFNA(VLOOKUP(Tabella118[[#This Row],[Composizione alternativa per digitale]],Tabella118[[composizione concatenata]:[Euro/Mq]],2,FALSE),VLOOKUP(H490,digitale[[ONDA]:[Fornitore]],3,FALSE))</f>
        <v/>
      </c>
      <c r="G490" s="484" t="n"/>
      <c r="H490" s="484">
        <f>IF(MID(A490, FIND("/", A490, FIND("/", A490) + 1) + 1, 2)="A","C",MID(A490, FIND("/", A490, FIND("/", A490) + 1) + 1, 2))</f>
        <v/>
      </c>
      <c r="I490" s="486">
        <f>TRIM(H490)</f>
        <v/>
      </c>
    </row>
    <row r="491" ht="15" customHeight="1">
      <c r="A491" s="484" t="inlineStr">
        <is>
          <t>KST/262/E</t>
        </is>
      </c>
      <c r="B491" s="484">
        <f>+_xlfn.CONCAT(Tabella118[[#This Row],[Composizione]], " - ", Tabella118[[#This Row],[Fornitore]])</f>
        <v/>
      </c>
      <c r="C491" s="943" t="n">
        <v>0.315</v>
      </c>
      <c r="D491" s="484" t="inlineStr">
        <is>
          <t xml:space="preserve">Ds Smith </t>
        </is>
      </c>
      <c r="E491" s="484">
        <f>IFERROR(IF(H491="BC",Tabella118[[#This Row],[composizione concatenata]],IF(H491="C",Tabella118[[#This Row],[composizione concatenata]],VLOOKUP(I491,$K$2:$O$7,5,FALSE))),+Tabella118[[#This Row],[composizione concatenata]])</f>
        <v/>
      </c>
      <c r="F491" s="943">
        <f>+_xlfn.IFNA(VLOOKUP(Tabella118[[#This Row],[Composizione alternativa per digitale]],Tabella118[[composizione concatenata]:[Euro/Mq]],2,FALSE),VLOOKUP(H491,digitale[[ONDA]:[Fornitore]],3,FALSE))</f>
        <v/>
      </c>
      <c r="G491" s="484" t="n"/>
      <c r="H491" s="484">
        <f>IF(MID(A491, FIND("/", A491, FIND("/", A491) + 1) + 1, 2)="A","C",MID(A491, FIND("/", A491, FIND("/", A491) + 1) + 1, 2))</f>
        <v/>
      </c>
      <c r="I491" s="486">
        <f>TRIM(H491)</f>
        <v/>
      </c>
    </row>
    <row r="492" ht="15" customHeight="1">
      <c r="A492" s="484" t="inlineStr">
        <is>
          <t>KST/262/E</t>
        </is>
      </c>
      <c r="B492" s="484">
        <f>+_xlfn.CONCAT(Tabella118[[#This Row],[Composizione]], " - ", Tabella118[[#This Row],[Fornitore]])</f>
        <v/>
      </c>
      <c r="C492" s="943" t="n">
        <v>0.302</v>
      </c>
      <c r="D492" s="484" t="inlineStr">
        <is>
          <t>Giusti</t>
        </is>
      </c>
      <c r="E492" s="484">
        <f>IFERROR(IF(H492="BC",Tabella118[[#This Row],[composizione concatenata]],IF(H492="C",Tabella118[[#This Row],[composizione concatenata]],VLOOKUP(I492,$K$2:$O$7,5,FALSE))),+Tabella118[[#This Row],[composizione concatenata]])</f>
        <v/>
      </c>
      <c r="F492" s="944">
        <f>+_xlfn.IFNA(VLOOKUP(Tabella118[[#This Row],[Composizione alternativa per digitale]],Tabella118[[composizione concatenata]:[Euro/Mq]],2,FALSE),VLOOKUP(H492,digitale[[ONDA]:[Fornitore]],3,FALSE))</f>
        <v/>
      </c>
      <c r="G492" s="484" t="n"/>
      <c r="H492" s="484">
        <f>IF(MID(A492, FIND("/", A492, FIND("/", A492) + 1) + 1, 2)="A","C",MID(A492, FIND("/", A492, FIND("/", A492) + 1) + 1, 2))</f>
        <v/>
      </c>
      <c r="I492" s="486">
        <f>TRIM(H492)</f>
        <v/>
      </c>
    </row>
    <row r="493" ht="15" customHeight="1">
      <c r="A493" s="483" t="inlineStr">
        <is>
          <t>KST/262/E</t>
        </is>
      </c>
      <c r="B493" s="484">
        <f>+_xlfn.CONCAT(Tabella118[[#This Row],[Composizione]], " - ", Tabella118[[#This Row],[Fornitore]])</f>
        <v/>
      </c>
      <c r="C493" s="950" t="n">
        <v>0.279</v>
      </c>
      <c r="D493" s="484" t="inlineStr">
        <is>
          <t>Cartstrong</t>
        </is>
      </c>
      <c r="E493" s="484">
        <f>IFERROR(IF(H493="BC",Tabella118[[#This Row],[composizione concatenata]],IF(H493="C",Tabella118[[#This Row],[composizione concatenata]],VLOOKUP(I493,$K$2:$O$7,5,FALSE))),+Tabella118[[#This Row],[composizione concatenata]])</f>
        <v/>
      </c>
      <c r="F493" s="943">
        <f>+_xlfn.IFNA(VLOOKUP(Tabella118[[#This Row],[Composizione alternativa per digitale]],Tabella118[[composizione concatenata]:[Euro/Mq]],2,FALSE),VLOOKUP(H493,digitale[[ONDA]:[Fornitore]],3,FALSE))</f>
        <v/>
      </c>
      <c r="G493" s="484" t="n"/>
      <c r="H493" s="484">
        <f>IF(MID(A493, FIND("/", A493, FIND("/", A493) + 1) + 1, 2)="A","C",MID(A493, FIND("/", A493, FIND("/", A493) + 1) + 1, 2))</f>
        <v/>
      </c>
      <c r="I493" s="486">
        <f>TRIM(H493)</f>
        <v/>
      </c>
    </row>
    <row r="494" ht="15" customHeight="1">
      <c r="A494" s="483" t="inlineStr">
        <is>
          <t>KST/342/B</t>
        </is>
      </c>
      <c r="B494" s="484">
        <f>+_xlfn.CONCAT(Tabella118[[#This Row],[Composizione]], " - ", Tabella118[[#This Row],[Fornitore]])</f>
        <v/>
      </c>
      <c r="C494" s="950" t="n">
        <v>0.267</v>
      </c>
      <c r="D494" s="484" t="inlineStr">
        <is>
          <t>Cartstrong</t>
        </is>
      </c>
      <c r="E494" s="484">
        <f>IFERROR(IF(H494="BC",Tabella118[[#This Row],[composizione concatenata]],IF(H494="C",Tabella118[[#This Row],[composizione concatenata]],VLOOKUP(I494,$K$2:$O$7,5,FALSE))),+Tabella118[[#This Row],[composizione concatenata]])</f>
        <v/>
      </c>
      <c r="F494" s="943">
        <f>+_xlfn.IFNA(VLOOKUP(Tabella118[[#This Row],[Composizione alternativa per digitale]],Tabella118[[composizione concatenata]:[Euro/Mq]],2,FALSE),VLOOKUP(H494,digitale[[ONDA]:[Fornitore]],3,FALSE))</f>
        <v/>
      </c>
      <c r="G494" s="484" t="n"/>
      <c r="H494" s="484">
        <f>IF(MID(A494, FIND("/", A494, FIND("/", A494) + 1) + 1, 2)="A","C",MID(A494, FIND("/", A494, FIND("/", A494) + 1) + 1, 2))</f>
        <v/>
      </c>
      <c r="I494" s="486">
        <f>TRIM(H494)</f>
        <v/>
      </c>
    </row>
    <row r="495" ht="15" customHeight="1">
      <c r="A495" s="484" t="inlineStr">
        <is>
          <t>KST/362/B</t>
        </is>
      </c>
      <c r="B495" s="484">
        <f>+_xlfn.CONCAT(Tabella118[[#This Row],[Composizione]], " - ", Tabella118[[#This Row],[Fornitore]])</f>
        <v/>
      </c>
      <c r="C495" s="943" t="n">
        <v>0.323</v>
      </c>
      <c r="D495" s="484" t="inlineStr">
        <is>
          <t>Giusti</t>
        </is>
      </c>
      <c r="E495" s="484">
        <f>IFERROR(IF(H495="BC",Tabella118[[#This Row],[composizione concatenata]],IF(H495="C",Tabella118[[#This Row],[composizione concatenata]],VLOOKUP(I495,$K$2:$O$7,5,FALSE))),+Tabella118[[#This Row],[composizione concatenata]])</f>
        <v/>
      </c>
      <c r="F495" s="944">
        <f>+_xlfn.IFNA(VLOOKUP(Tabella118[[#This Row],[Composizione alternativa per digitale]],Tabella118[[composizione concatenata]:[Euro/Mq]],2,FALSE),VLOOKUP(H495,digitale[[ONDA]:[Fornitore]],3,FALSE))</f>
        <v/>
      </c>
      <c r="G495" s="484" t="n"/>
      <c r="H495" s="484">
        <f>IF(MID(A495, FIND("/", A495, FIND("/", A495) + 1) + 1, 2)="A","C",MID(A495, FIND("/", A495, FIND("/", A495) + 1) + 1, 2))</f>
        <v/>
      </c>
      <c r="I495" s="486">
        <f>TRIM(H495)</f>
        <v/>
      </c>
    </row>
    <row r="496" ht="15" customHeight="1">
      <c r="A496" s="484" t="inlineStr">
        <is>
          <t>KST/362/C</t>
        </is>
      </c>
      <c r="B496" s="484">
        <f>+_xlfn.CONCAT(Tabella118[[#This Row],[Composizione]], " - ", Tabella118[[#This Row],[Fornitore]])</f>
        <v/>
      </c>
      <c r="C496" s="943" t="n">
        <v>0.33</v>
      </c>
      <c r="D496" s="484" t="inlineStr">
        <is>
          <t>Giusti</t>
        </is>
      </c>
      <c r="E496" s="484">
        <f>IFERROR(IF(H496="BC",Tabella118[[#This Row],[composizione concatenata]],IF(H496="C",Tabella118[[#This Row],[composizione concatenata]],VLOOKUP(I496,$K$2:$O$7,5,FALSE))),+Tabella118[[#This Row],[composizione concatenata]])</f>
        <v/>
      </c>
      <c r="F496" s="944">
        <f>+_xlfn.IFNA(VLOOKUP(Tabella118[[#This Row],[Composizione alternativa per digitale]],Tabella118[[composizione concatenata]:[Euro/Mq]],2,FALSE),VLOOKUP(H496,digitale[[ONDA]:[Fornitore]],3,FALSE))</f>
        <v/>
      </c>
      <c r="G496" s="484" t="n"/>
      <c r="H496" s="484">
        <f>IF(MID(A496, FIND("/", A496, FIND("/", A496) + 1) + 1, 2)="A","C",MID(A496, FIND("/", A496, FIND("/", A496) + 1) + 1, 2))</f>
        <v/>
      </c>
      <c r="I496" s="486">
        <f>TRIM(H496)</f>
        <v/>
      </c>
    </row>
    <row r="497" ht="15" customHeight="1">
      <c r="A497" s="484" t="inlineStr">
        <is>
          <t>KST/363/B</t>
        </is>
      </c>
      <c r="B497" s="484">
        <f>+_xlfn.CONCAT(Tabella118[[#This Row],[Composizione]], " - ", Tabella118[[#This Row],[Fornitore]])</f>
        <v/>
      </c>
      <c r="C497" s="943" t="n">
        <v>0.336</v>
      </c>
      <c r="D497" s="484" t="inlineStr">
        <is>
          <t>Giusti</t>
        </is>
      </c>
      <c r="E497" s="484">
        <f>IFERROR(IF(H497="BC",Tabella118[[#This Row],[composizione concatenata]],IF(H497="C",Tabella118[[#This Row],[composizione concatenata]],VLOOKUP(I497,$K$2:$O$7,5,FALSE))),+Tabella118[[#This Row],[composizione concatenata]])</f>
        <v/>
      </c>
      <c r="F497" s="944">
        <f>+_xlfn.IFNA(VLOOKUP(Tabella118[[#This Row],[Composizione alternativa per digitale]],Tabella118[[composizione concatenata]:[Euro/Mq]],2,FALSE),VLOOKUP(H497,digitale[[ONDA]:[Fornitore]],3,FALSE))</f>
        <v/>
      </c>
      <c r="G497" s="484" t="n"/>
      <c r="H497" s="484">
        <f>IF(MID(A497, FIND("/", A497, FIND("/", A497) + 1) + 1, 2)="A","C",MID(A497, FIND("/", A497, FIND("/", A497) + 1) + 1, 2))</f>
        <v/>
      </c>
      <c r="I497" s="486">
        <f>TRIM(H497)</f>
        <v/>
      </c>
    </row>
    <row r="498" ht="15" customHeight="1">
      <c r="A498" s="483" t="inlineStr">
        <is>
          <t>KST/363/B</t>
        </is>
      </c>
      <c r="B498" s="484">
        <f>+_xlfn.CONCAT(Tabella118[[#This Row],[Composizione]], " - ", Tabella118[[#This Row],[Fornitore]])</f>
        <v/>
      </c>
      <c r="C498" s="950" t="n">
        <v>0.306</v>
      </c>
      <c r="D498" s="484" t="inlineStr">
        <is>
          <t>Cartstrong</t>
        </is>
      </c>
      <c r="E498" s="484">
        <f>IFERROR(IF(H498="BC",Tabella118[[#This Row],[composizione concatenata]],IF(H498="C",Tabella118[[#This Row],[composizione concatenata]],VLOOKUP(I498,$K$2:$O$7,5,FALSE))),+Tabella118[[#This Row],[composizione concatenata]])</f>
        <v/>
      </c>
      <c r="F498" s="943">
        <f>+_xlfn.IFNA(VLOOKUP(Tabella118[[#This Row],[Composizione alternativa per digitale]],Tabella118[[composizione concatenata]:[Euro/Mq]],2,FALSE),VLOOKUP(H498,digitale[[ONDA]:[Fornitore]],3,FALSE))</f>
        <v/>
      </c>
      <c r="G498" s="484" t="n"/>
      <c r="H498" s="484">
        <f>IF(MID(A498, FIND("/", A498, FIND("/", A498) + 1) + 1, 2)="A","C",MID(A498, FIND("/", A498, FIND("/", A498) + 1) + 1, 2))</f>
        <v/>
      </c>
      <c r="I498" s="486">
        <f>TRIM(H498)</f>
        <v/>
      </c>
    </row>
    <row r="499" ht="15" customHeight="1">
      <c r="A499" s="483" t="inlineStr">
        <is>
          <t>KST/363/E</t>
        </is>
      </c>
      <c r="B499" s="484">
        <f>+_xlfn.CONCAT(Tabella118[[#This Row],[Composizione]], " - ", Tabella118[[#This Row],[Fornitore]])</f>
        <v/>
      </c>
      <c r="C499" s="950" t="n">
        <v>0.3</v>
      </c>
      <c r="D499" s="484" t="inlineStr">
        <is>
          <t>Cartstrong</t>
        </is>
      </c>
      <c r="E499" s="484">
        <f>IFERROR(IF(H499="BC",Tabella118[[#This Row],[composizione concatenata]],IF(H499="C",Tabella118[[#This Row],[composizione concatenata]],VLOOKUP(I499,$K$2:$O$7,5,FALSE))),+Tabella118[[#This Row],[composizione concatenata]])</f>
        <v/>
      </c>
      <c r="F499" s="943">
        <f>+_xlfn.IFNA(VLOOKUP(Tabella118[[#This Row],[Composizione alternativa per digitale]],Tabella118[[composizione concatenata]:[Euro/Mq]],2,FALSE),VLOOKUP(H499,digitale[[ONDA]:[Fornitore]],3,FALSE))</f>
        <v/>
      </c>
      <c r="G499" s="484" t="n"/>
      <c r="H499" s="484">
        <f>IF(MID(A499, FIND("/", A499, FIND("/", A499) + 1) + 1, 2)="A","C",MID(A499, FIND("/", A499, FIND("/", A499) + 1) + 1, 2))</f>
        <v/>
      </c>
      <c r="I499" s="486">
        <f>TRIM(H499)</f>
        <v/>
      </c>
    </row>
    <row r="500" ht="15" customHeight="1">
      <c r="A500" s="484" t="inlineStr">
        <is>
          <t>KSTSK/66265/BC</t>
        </is>
      </c>
      <c r="B500" s="484">
        <f>+_xlfn.CONCAT(Tabella118[[#This Row],[Composizione]], " - ", Tabella118[[#This Row],[Fornitore]])</f>
        <v/>
      </c>
      <c r="C500" s="943" t="n">
        <v>0.785</v>
      </c>
      <c r="D500" s="484" t="inlineStr">
        <is>
          <t>Giusti</t>
        </is>
      </c>
      <c r="E500" s="484">
        <f>IFERROR(IF(H500="BC",Tabella118[[#This Row],[composizione concatenata]],IF(H500="C",Tabella118[[#This Row],[composizione concatenata]],VLOOKUP(I500,$K$2:$O$7,5,FALSE))),+Tabella118[[#This Row],[composizione concatenata]])</f>
        <v/>
      </c>
      <c r="F500" s="944">
        <f>+_xlfn.IFNA(VLOOKUP(Tabella118[[#This Row],[Composizione alternativa per digitale]],Tabella118[[composizione concatenata]:[Euro/Mq]],2,FALSE),VLOOKUP(H500,digitale[[ONDA]:[Fornitore]],3,FALSE))</f>
        <v/>
      </c>
      <c r="G500" s="484" t="n"/>
      <c r="H500" s="484">
        <f>IF(MID(A500, FIND("/", A500, FIND("/", A500) + 1) + 1, 2)="A","C",MID(A500, FIND("/", A500, FIND("/", A500) + 1) + 1, 2))</f>
        <v/>
      </c>
      <c r="I500" s="486">
        <f>TRIM(H500)</f>
        <v/>
      </c>
    </row>
    <row r="501" ht="15" customHeight="1">
      <c r="A501" s="484" t="inlineStr">
        <is>
          <t>KSTSK/66366/BC</t>
        </is>
      </c>
      <c r="B501" s="484">
        <f>+_xlfn.CONCAT(Tabella118[[#This Row],[Composizione]], " - ", Tabella118[[#This Row],[Fornitore]])</f>
        <v/>
      </c>
      <c r="C501" s="943" t="n">
        <v>0.855</v>
      </c>
      <c r="D501" s="484" t="inlineStr">
        <is>
          <t>Giusti</t>
        </is>
      </c>
      <c r="E501" s="484">
        <f>IFERROR(IF(H501="BC",Tabella118[[#This Row],[composizione concatenata]],IF(H501="C",Tabella118[[#This Row],[composizione concatenata]],VLOOKUP(I501,$K$2:$O$7,5,FALSE))),+Tabella118[[#This Row],[composizione concatenata]])</f>
        <v/>
      </c>
      <c r="F501" s="944">
        <f>+_xlfn.IFNA(VLOOKUP(Tabella118[[#This Row],[Composizione alternativa per digitale]],Tabella118[[composizione concatenata]:[Euro/Mq]],2,FALSE),VLOOKUP(H501,digitale[[ONDA]:[Fornitore]],3,FALSE))</f>
        <v/>
      </c>
      <c r="G501" s="484" t="n"/>
      <c r="H501" s="484">
        <f>IF(MID(A501, FIND("/", A501, FIND("/", A501) + 1) + 1, 2)="A","C",MID(A501, FIND("/", A501, FIND("/", A501) + 1) + 1, 2))</f>
        <v/>
      </c>
      <c r="I501" s="486">
        <f>TRIM(H501)</f>
        <v/>
      </c>
    </row>
    <row r="502" ht="15" customHeight="1">
      <c r="A502" s="484" t="inlineStr">
        <is>
          <t>KSUFSEK/24262/EB</t>
        </is>
      </c>
      <c r="B502" s="484">
        <f>+_xlfn.CONCAT(Tabella118[[#This Row],[Composizione]], " - ", Tabella118[[#This Row],[Fornitore]])</f>
        <v/>
      </c>
      <c r="C502" s="943" t="n">
        <v>0.478</v>
      </c>
      <c r="D502" s="484" t="inlineStr">
        <is>
          <t>FEPA</t>
        </is>
      </c>
      <c r="E502" s="484">
        <f>IFERROR(IF(H502="BC",Tabella118[[#This Row],[composizione concatenata]],IF(H502="C",Tabella118[[#This Row],[composizione concatenata]],VLOOKUP(I502,$K$2:$O$7,5,FALSE))),+Tabella118[[#This Row],[composizione concatenata]])</f>
        <v/>
      </c>
      <c r="F502" s="944">
        <f>+_xlfn.IFNA(VLOOKUP(Tabella118[[#This Row],[Composizione alternativa per digitale]],Tabella118[[composizione concatenata]:[Euro/Mq]],2,FALSE),VLOOKUP(H502,digitale[[ONDA]:[Fornitore]],3,FALSE))</f>
        <v/>
      </c>
      <c r="G502" s="484" t="n"/>
      <c r="H502" s="484">
        <f>IF(MID(A502, FIND("/", A502, FIND("/", A502) + 1) + 1, 2)="A","C",MID(A502, FIND("/", A502, FIND("/", A502) + 1) + 1, 2))</f>
        <v/>
      </c>
      <c r="I502" s="486">
        <f>TRIM(H502)</f>
        <v/>
      </c>
    </row>
    <row r="503" ht="15" customHeight="1">
      <c r="A503" s="489" t="inlineStr">
        <is>
          <t>KSUK/242/B</t>
        </is>
      </c>
      <c r="B503" s="484">
        <f>+_xlfn.CONCAT(Tabella118[[#This Row],[Composizione]], " - ", Tabella118[[#This Row],[Fornitore]])</f>
        <v/>
      </c>
      <c r="C503" s="943" t="n">
        <v>0.316</v>
      </c>
      <c r="D503" s="484" t="inlineStr">
        <is>
          <t>FEPA</t>
        </is>
      </c>
      <c r="E503" s="484">
        <f>IFERROR(IF(H503="BC",Tabella118[[#This Row],[composizione concatenata]],IF(H503="C",Tabella118[[#This Row],[composizione concatenata]],VLOOKUP(I503,$K$2:$O$7,5,FALSE))),+Tabella118[[#This Row],[composizione concatenata]])</f>
        <v/>
      </c>
      <c r="F503" s="944">
        <f>+_xlfn.IFNA(VLOOKUP(Tabella118[[#This Row],[Composizione alternativa per digitale]],Tabella118[[composizione concatenata]:[Euro/Mq]],2,FALSE),VLOOKUP(H503,digitale[[ONDA]:[Fornitore]],3,FALSE))</f>
        <v/>
      </c>
      <c r="G503" s="484" t="n"/>
      <c r="H503" s="484">
        <f>IF(MID(A503, FIND("/", A503, FIND("/", A503) + 1) + 1, 2)="A","C",MID(A503, FIND("/", A503, FIND("/", A503) + 1) + 1, 2))</f>
        <v/>
      </c>
      <c r="I503" s="486">
        <f>TRIM(H503)</f>
        <v/>
      </c>
    </row>
    <row r="504" ht="15" customHeight="1">
      <c r="A504" s="484" t="inlineStr">
        <is>
          <t>KXFFFT/22222/BC</t>
        </is>
      </c>
      <c r="B504" s="484">
        <f>+_xlfn.CONCAT(Tabella118[[#This Row],[Composizione]], " - ", Tabella118[[#This Row],[Fornitore]])</f>
        <v/>
      </c>
      <c r="C504" s="943" t="n">
        <v>0.405</v>
      </c>
      <c r="D504" s="484" t="inlineStr">
        <is>
          <t xml:space="preserve">Ds Smith </t>
        </is>
      </c>
      <c r="E504" s="484">
        <f>IFERROR(IF(H504="BC",Tabella118[[#This Row],[composizione concatenata]],IF(H504="C",Tabella118[[#This Row],[composizione concatenata]],VLOOKUP(I504,$K$2:$O$7,5,FALSE))),+Tabella118[[#This Row],[composizione concatenata]])</f>
        <v/>
      </c>
      <c r="F504" s="943">
        <f>+_xlfn.IFNA(VLOOKUP(Tabella118[[#This Row],[Composizione alternativa per digitale]],Tabella118[[composizione concatenata]:[Euro/Mq]],2,FALSE),VLOOKUP(H504,digitale[[ONDA]:[Fornitore]],3,FALSE))</f>
        <v/>
      </c>
      <c r="G504" s="484" t="n"/>
      <c r="H504" s="484">
        <f>IF(MID(A504, FIND("/", A504, FIND("/", A504) + 1) + 1, 2)="A","C",MID(A504, FIND("/", A504, FIND("/", A504) + 1) + 1, 2))</f>
        <v/>
      </c>
      <c r="I504" s="486">
        <f>TRIM(H504)</f>
        <v/>
      </c>
    </row>
    <row r="505" ht="15" customHeight="1">
      <c r="A505" s="484" t="inlineStr">
        <is>
          <t>KXFFFT/22222/EB</t>
        </is>
      </c>
      <c r="B505" s="484">
        <f>+_xlfn.CONCAT(Tabella118[[#This Row],[Composizione]], " - ", Tabella118[[#This Row],[Fornitore]])</f>
        <v/>
      </c>
      <c r="C505" s="943" t="n">
        <v>0.385</v>
      </c>
      <c r="D505" s="484" t="inlineStr">
        <is>
          <t xml:space="preserve">Ds Smith </t>
        </is>
      </c>
      <c r="E505" s="484">
        <f>IFERROR(IF(H505="BC",Tabella118[[#This Row],[composizione concatenata]],IF(H505="C",Tabella118[[#This Row],[composizione concatenata]],VLOOKUP(I505,$K$2:$O$7,5,FALSE))),+Tabella118[[#This Row],[composizione concatenata]])</f>
        <v/>
      </c>
      <c r="F505" s="943">
        <f>+_xlfn.IFNA(VLOOKUP(Tabella118[[#This Row],[Composizione alternativa per digitale]],Tabella118[[composizione concatenata]:[Euro/Mq]],2,FALSE),VLOOKUP(H505,digitale[[ONDA]:[Fornitore]],3,FALSE))</f>
        <v/>
      </c>
      <c r="G505" s="484" t="n"/>
      <c r="H505" s="484">
        <f>IF(MID(A505, FIND("/", A505, FIND("/", A505) + 1) + 1, 2)="A","C",MID(A505, FIND("/", A505, FIND("/", A505) + 1) + 1, 2))</f>
        <v/>
      </c>
      <c r="I505" s="486">
        <f>TRIM(H505)</f>
        <v/>
      </c>
    </row>
    <row r="506" ht="15" customHeight="1">
      <c r="A506" s="484" t="inlineStr">
        <is>
          <t>KXMFMKX/24242/BC</t>
        </is>
      </c>
      <c r="B506" s="484">
        <f>+_xlfn.CONCAT(Tabella118[[#This Row],[Composizione]], " - ", Tabella118[[#This Row],[Fornitore]])</f>
        <v/>
      </c>
      <c r="C506" s="943" t="n">
        <v>0.435</v>
      </c>
      <c r="D506" s="484" t="inlineStr">
        <is>
          <t xml:space="preserve">Ds Smith </t>
        </is>
      </c>
      <c r="E506" s="484">
        <f>IFERROR(IF(H506="BC",Tabella118[[#This Row],[composizione concatenata]],IF(H506="C",Tabella118[[#This Row],[composizione concatenata]],VLOOKUP(I506,$K$2:$O$7,5,FALSE))),+Tabella118[[#This Row],[composizione concatenata]])</f>
        <v/>
      </c>
      <c r="F506" s="943">
        <f>+_xlfn.IFNA(VLOOKUP(Tabella118[[#This Row],[Composizione alternativa per digitale]],Tabella118[[composizione concatenata]:[Euro/Mq]],2,FALSE),VLOOKUP(H506,digitale[[ONDA]:[Fornitore]],3,FALSE))</f>
        <v/>
      </c>
      <c r="G506" s="484" t="n"/>
      <c r="H506" s="484">
        <f>IF(MID(A506, FIND("/", A506, FIND("/", A506) + 1) + 1, 2)="A","C",MID(A506, FIND("/", A506, FIND("/", A506) + 1) + 1, 2))</f>
        <v/>
      </c>
      <c r="I506" s="486">
        <f>TRIM(H506)</f>
        <v/>
      </c>
    </row>
    <row r="507" ht="15" customHeight="1">
      <c r="A507" s="484" t="inlineStr">
        <is>
          <t>KXMFMKX/24242/EB</t>
        </is>
      </c>
      <c r="B507" s="484">
        <f>+_xlfn.CONCAT(Tabella118[[#This Row],[Composizione]], " - ", Tabella118[[#This Row],[Fornitore]])</f>
        <v/>
      </c>
      <c r="C507" s="943" t="n">
        <v>0.42</v>
      </c>
      <c r="D507" s="484" t="inlineStr">
        <is>
          <t xml:space="preserve">Ds Smith </t>
        </is>
      </c>
      <c r="E507" s="484">
        <f>IFERROR(IF(H507="BC",Tabella118[[#This Row],[composizione concatenata]],IF(H507="C",Tabella118[[#This Row],[composizione concatenata]],VLOOKUP(I507,$K$2:$O$7,5,FALSE))),+Tabella118[[#This Row],[composizione concatenata]])</f>
        <v/>
      </c>
      <c r="F507" s="943">
        <f>+_xlfn.IFNA(VLOOKUP(Tabella118[[#This Row],[Composizione alternativa per digitale]],Tabella118[[composizione concatenata]:[Euro/Mq]],2,FALSE),VLOOKUP(H507,digitale[[ONDA]:[Fornitore]],3,FALSE))</f>
        <v/>
      </c>
      <c r="G507" s="484" t="n"/>
      <c r="H507" s="484">
        <f>IF(MID(A507, FIND("/", A507, FIND("/", A507) + 1) + 1, 2)="A","C",MID(A507, FIND("/", A507, FIND("/", A507) + 1) + 1, 2))</f>
        <v/>
      </c>
      <c r="I507" s="486">
        <f>TRIM(H507)</f>
        <v/>
      </c>
    </row>
    <row r="508" ht="15" customHeight="1">
      <c r="A508" s="484" t="inlineStr">
        <is>
          <t>KXMFMT/24242/BC</t>
        </is>
      </c>
      <c r="B508" s="484">
        <f>+_xlfn.CONCAT(Tabella118[[#This Row],[Composizione]], " - ", Tabella118[[#This Row],[Fornitore]])</f>
        <v/>
      </c>
      <c r="C508" s="943" t="n">
        <v>0.415</v>
      </c>
      <c r="D508" s="484" t="inlineStr">
        <is>
          <t xml:space="preserve">Ds Smith </t>
        </is>
      </c>
      <c r="E508" s="484">
        <f>IFERROR(IF(H508="BC",Tabella118[[#This Row],[composizione concatenata]],IF(H508="C",Tabella118[[#This Row],[composizione concatenata]],VLOOKUP(I508,$K$2:$O$7,5,FALSE))),+Tabella118[[#This Row],[composizione concatenata]])</f>
        <v/>
      </c>
      <c r="F508" s="943">
        <f>+_xlfn.IFNA(VLOOKUP(Tabella118[[#This Row],[Composizione alternativa per digitale]],Tabella118[[composizione concatenata]:[Euro/Mq]],2,FALSE),VLOOKUP(H508,digitale[[ONDA]:[Fornitore]],3,FALSE))</f>
        <v/>
      </c>
      <c r="G508" s="484" t="n"/>
      <c r="H508" s="484">
        <f>IF(MID(A508, FIND("/", A508, FIND("/", A508) + 1) + 1, 2)="A","C",MID(A508, FIND("/", A508, FIND("/", A508) + 1) + 1, 2))</f>
        <v/>
      </c>
      <c r="I508" s="486">
        <f>TRIM(H508)</f>
        <v/>
      </c>
    </row>
    <row r="509" ht="15" customHeight="1">
      <c r="A509" s="484" t="inlineStr">
        <is>
          <t>KXMKX/242/B</t>
        </is>
      </c>
      <c r="B509" s="484">
        <f>+_xlfn.CONCAT(Tabella118[[#This Row],[Composizione]], " - ", Tabella118[[#This Row],[Fornitore]])</f>
        <v/>
      </c>
      <c r="C509" s="943" t="n">
        <v>0.305</v>
      </c>
      <c r="D509" s="484" t="inlineStr">
        <is>
          <t xml:space="preserve">Ds Smith </t>
        </is>
      </c>
      <c r="E509" s="484">
        <f>IFERROR(IF(H509="BC",Tabella118[[#This Row],[composizione concatenata]],IF(H509="C",Tabella118[[#This Row],[composizione concatenata]],VLOOKUP(I509,$K$2:$O$7,5,FALSE))),+Tabella118[[#This Row],[composizione concatenata]])</f>
        <v/>
      </c>
      <c r="F509" s="943">
        <f>+_xlfn.IFNA(VLOOKUP(Tabella118[[#This Row],[Composizione alternativa per digitale]],Tabella118[[composizione concatenata]:[Euro/Mq]],2,FALSE),VLOOKUP(H509,digitale[[ONDA]:[Fornitore]],3,FALSE))</f>
        <v/>
      </c>
      <c r="G509" s="484" t="n"/>
      <c r="H509" s="484">
        <f>IF(MID(A509, FIND("/", A509, FIND("/", A509) + 1) + 1, 2)="A","C",MID(A509, FIND("/", A509, FIND("/", A509) + 1) + 1, 2))</f>
        <v/>
      </c>
      <c r="I509" s="486">
        <f>TRIM(H509)</f>
        <v/>
      </c>
    </row>
    <row r="510" ht="15" customHeight="1">
      <c r="A510" s="484" t="inlineStr">
        <is>
          <t>KXMKX/242/C</t>
        </is>
      </c>
      <c r="B510" s="484">
        <f>+_xlfn.CONCAT(Tabella118[[#This Row],[Composizione]], " - ", Tabella118[[#This Row],[Fornitore]])</f>
        <v/>
      </c>
      <c r="C510" s="943" t="n">
        <v>0.315</v>
      </c>
      <c r="D510" s="484" t="inlineStr">
        <is>
          <t xml:space="preserve">Ds Smith </t>
        </is>
      </c>
      <c r="E510" s="484">
        <f>IFERROR(IF(H510="BC",Tabella118[[#This Row],[composizione concatenata]],IF(H510="C",Tabella118[[#This Row],[composizione concatenata]],VLOOKUP(I510,$K$2:$O$7,5,FALSE))),+Tabella118[[#This Row],[composizione concatenata]])</f>
        <v/>
      </c>
      <c r="F510" s="943">
        <f>+_xlfn.IFNA(VLOOKUP(Tabella118[[#This Row],[Composizione alternativa per digitale]],Tabella118[[composizione concatenata]:[Euro/Mq]],2,FALSE),VLOOKUP(H510,digitale[[ONDA]:[Fornitore]],3,FALSE))</f>
        <v/>
      </c>
      <c r="G510" s="484" t="n"/>
      <c r="H510" s="484">
        <f>IF(MID(A510, FIND("/", A510, FIND("/", A510) + 1) + 1, 2)="A","C",MID(A510, FIND("/", A510, FIND("/", A510) + 1) + 1, 2))</f>
        <v/>
      </c>
      <c r="I510" s="486">
        <f>TRIM(H510)</f>
        <v/>
      </c>
    </row>
    <row r="511" ht="15" customHeight="1">
      <c r="A511" s="484" t="inlineStr">
        <is>
          <t>KXMKX/442/C</t>
        </is>
      </c>
      <c r="B511" s="484">
        <f>+_xlfn.CONCAT(Tabella118[[#This Row],[Composizione]], " - ", Tabella118[[#This Row],[Fornitore]])</f>
        <v/>
      </c>
      <c r="C511" s="943" t="n">
        <v>0.34</v>
      </c>
      <c r="D511" s="484" t="inlineStr">
        <is>
          <t xml:space="preserve">Ds Smith </t>
        </is>
      </c>
      <c r="E511" s="484">
        <f>IFERROR(IF(H511="BC",Tabella118[[#This Row],[composizione concatenata]],IF(H511="C",Tabella118[[#This Row],[composizione concatenata]],VLOOKUP(I511,$K$2:$O$7,5,FALSE))),+Tabella118[[#This Row],[composizione concatenata]])</f>
        <v/>
      </c>
      <c r="F511" s="943">
        <f>+_xlfn.IFNA(VLOOKUP(Tabella118[[#This Row],[Composizione alternativa per digitale]],Tabella118[[composizione concatenata]:[Euro/Mq]],2,FALSE),VLOOKUP(H511,digitale[[ONDA]:[Fornitore]],3,FALSE))</f>
        <v/>
      </c>
      <c r="G511" s="484" t="n"/>
      <c r="H511" s="484">
        <f>IF(MID(A511, FIND("/", A511, FIND("/", A511) + 1) + 1, 2)="A","C",MID(A511, FIND("/", A511, FIND("/", A511) + 1) + 1, 2))</f>
        <v/>
      </c>
      <c r="I511" s="486">
        <f>TRIM(H511)</f>
        <v/>
      </c>
    </row>
    <row r="512" ht="15" customHeight="1">
      <c r="A512" s="484" t="inlineStr">
        <is>
          <t>KXMT/242/B</t>
        </is>
      </c>
      <c r="B512" s="484">
        <f>+_xlfn.CONCAT(Tabella118[[#This Row],[Composizione]], " - ", Tabella118[[#This Row],[Fornitore]])</f>
        <v/>
      </c>
      <c r="C512" s="943" t="n">
        <v>0.28</v>
      </c>
      <c r="D512" s="484" t="inlineStr">
        <is>
          <t xml:space="preserve">Ds Smith </t>
        </is>
      </c>
      <c r="E512" s="484">
        <f>IFERROR(IF(H512="BC",Tabella118[[#This Row],[composizione concatenata]],IF(H512="C",Tabella118[[#This Row],[composizione concatenata]],VLOOKUP(I512,$K$2:$O$7,5,FALSE))),+Tabella118[[#This Row],[composizione concatenata]])</f>
        <v/>
      </c>
      <c r="F512" s="943">
        <f>+_xlfn.IFNA(VLOOKUP(Tabella118[[#This Row],[Composizione alternativa per digitale]],Tabella118[[composizione concatenata]:[Euro/Mq]],2,FALSE),VLOOKUP(H512,digitale[[ONDA]:[Fornitore]],3,FALSE))</f>
        <v/>
      </c>
      <c r="G512" s="484" t="n"/>
      <c r="H512" s="484">
        <f>IF(MID(A512, FIND("/", A512, FIND("/", A512) + 1) + 1, 2)="A","C",MID(A512, FIND("/", A512, FIND("/", A512) + 1) + 1, 2))</f>
        <v/>
      </c>
      <c r="I512" s="486">
        <f>TRIM(H512)</f>
        <v/>
      </c>
    </row>
    <row r="513" ht="15" customHeight="1">
      <c r="A513" s="484" t="inlineStr">
        <is>
          <t>KXMT/242/C</t>
        </is>
      </c>
      <c r="B513" s="484">
        <f>+_xlfn.CONCAT(Tabella118[[#This Row],[Composizione]], " - ", Tabella118[[#This Row],[Fornitore]])</f>
        <v/>
      </c>
      <c r="C513" s="943" t="n">
        <v>0.29</v>
      </c>
      <c r="D513" s="484" t="inlineStr">
        <is>
          <t xml:space="preserve">Ds Smith </t>
        </is>
      </c>
      <c r="E513" s="484">
        <f>IFERROR(IF(H513="BC",Tabella118[[#This Row],[composizione concatenata]],IF(H513="C",Tabella118[[#This Row],[composizione concatenata]],VLOOKUP(I513,$K$2:$O$7,5,FALSE))),+Tabella118[[#This Row],[composizione concatenata]])</f>
        <v/>
      </c>
      <c r="F513" s="943">
        <f>+_xlfn.IFNA(VLOOKUP(Tabella118[[#This Row],[Composizione alternativa per digitale]],Tabella118[[composizione concatenata]:[Euro/Mq]],2,FALSE),VLOOKUP(H513,digitale[[ONDA]:[Fornitore]],3,FALSE))</f>
        <v/>
      </c>
      <c r="G513" s="484" t="n"/>
      <c r="H513" s="484">
        <f>IF(MID(A513, FIND("/", A513, FIND("/", A513) + 1) + 1, 2)="A","C",MID(A513, FIND("/", A513, FIND("/", A513) + 1) + 1, 2))</f>
        <v/>
      </c>
      <c r="I513" s="486">
        <f>TRIM(H513)</f>
        <v/>
      </c>
    </row>
    <row r="514" ht="15" customHeight="1">
      <c r="A514" s="484" t="inlineStr">
        <is>
          <t>KXST/242/B</t>
        </is>
      </c>
      <c r="B514" s="484">
        <f>+_xlfn.CONCAT(Tabella118[[#This Row],[Composizione]], " - ", Tabella118[[#This Row],[Fornitore]])</f>
        <v/>
      </c>
      <c r="C514" s="943" t="n">
        <v>0.295</v>
      </c>
      <c r="D514" s="484" t="inlineStr">
        <is>
          <t xml:space="preserve">Ds Smith </t>
        </is>
      </c>
      <c r="E514" s="484">
        <f>IFERROR(IF(H514="BC",Tabella118[[#This Row],[composizione concatenata]],IF(H514="C",Tabella118[[#This Row],[composizione concatenata]],VLOOKUP(I514,$K$2:$O$7,5,FALSE))),+Tabella118[[#This Row],[composizione concatenata]])</f>
        <v/>
      </c>
      <c r="F514" s="943">
        <f>+_xlfn.IFNA(VLOOKUP(Tabella118[[#This Row],[Composizione alternativa per digitale]],Tabella118[[composizione concatenata]:[Euro/Mq]],2,FALSE),VLOOKUP(H514,digitale[[ONDA]:[Fornitore]],3,FALSE))</f>
        <v/>
      </c>
      <c r="G514" s="484" t="n"/>
      <c r="H514" s="484">
        <f>IF(MID(A514, FIND("/", A514, FIND("/", A514) + 1) + 1, 2)="A","C",MID(A514, FIND("/", A514, FIND("/", A514) + 1) + 1, 2))</f>
        <v/>
      </c>
      <c r="I514" s="486">
        <f>TRIM(H514)</f>
        <v/>
      </c>
    </row>
    <row r="515" ht="15" customHeight="1">
      <c r="A515" s="484" t="inlineStr">
        <is>
          <t>KXST/262/C</t>
        </is>
      </c>
      <c r="B515" s="484">
        <f>+_xlfn.CONCAT(Tabella118[[#This Row],[Composizione]], " - ", Tabella118[[#This Row],[Fornitore]])</f>
        <v/>
      </c>
      <c r="C515" s="943" t="n">
        <v>0.315</v>
      </c>
      <c r="D515" s="484" t="inlineStr">
        <is>
          <t xml:space="preserve">Ds Smith </t>
        </is>
      </c>
      <c r="E515" s="484">
        <f>IFERROR(IF(H515="BC",Tabella118[[#This Row],[composizione concatenata]],IF(H515="C",Tabella118[[#This Row],[composizione concatenata]],VLOOKUP(I515,$K$2:$O$7,5,FALSE))),+Tabella118[[#This Row],[composizione concatenata]])</f>
        <v/>
      </c>
      <c r="F515" s="943">
        <f>+_xlfn.IFNA(VLOOKUP(Tabella118[[#This Row],[Composizione alternativa per digitale]],Tabella118[[composizione concatenata]:[Euro/Mq]],2,FALSE),VLOOKUP(H515,digitale[[ONDA]:[Fornitore]],3,FALSE))</f>
        <v/>
      </c>
      <c r="G515" s="484" t="n"/>
      <c r="H515" s="484">
        <f>IF(MID(A515, FIND("/", A515, FIND("/", A515) + 1) + 1, 2)="A","C",MID(A515, FIND("/", A515, FIND("/", A515) + 1) + 1, 2))</f>
        <v/>
      </c>
      <c r="I515" s="486">
        <f>TRIM(H515)</f>
        <v/>
      </c>
    </row>
    <row r="516" ht="15" customHeight="1">
      <c r="A516" s="487" t="inlineStr">
        <is>
          <t>L. ALL. APABOND 2F B.CO M/G 3050x2000x3</t>
        </is>
      </c>
      <c r="B516" s="484">
        <f>+_xlfn.CONCAT(Tabella118[[#This Row],[Composizione]], " - ", Tabella118[[#This Row],[Fornitore]])</f>
        <v/>
      </c>
      <c r="C516" s="951" t="n">
        <v>14.99</v>
      </c>
      <c r="D516" s="484" t="inlineStr">
        <is>
          <t>Apa Group</t>
        </is>
      </c>
      <c r="E516" s="484">
        <f>IFERROR(IF(H516="BC",Tabella118[[#This Row],[composizione concatenata]],IF(H516="C",Tabella118[[#This Row],[composizione concatenata]],VLOOKUP(I516,$K$2:$O$7,5,FALSE))),+Tabella118[[#This Row],[composizione concatenata]])</f>
        <v/>
      </c>
      <c r="F516" s="943">
        <f>+_xlfn.IFNA(VLOOKUP(Tabella118[[#This Row],[Composizione alternativa per digitale]],Tabella118[[composizione concatenata]:[Euro/Mq]],2,FALSE),VLOOKUP(H516,digitale[[ONDA]:[Fornitore]],3,FALSE))</f>
        <v/>
      </c>
      <c r="G516" s="484" t="n"/>
      <c r="H516" s="484">
        <f>IF(MID(A516, FIND("/", A516, FIND("/", A516) + 1) + 1, 2)="A","C",MID(A516, FIND("/", A516, FIND("/", A516) + 1) + 1, 2))</f>
        <v/>
      </c>
      <c r="I516" s="486">
        <f>TRIM(H516)</f>
        <v/>
      </c>
    </row>
    <row r="517" ht="15" customHeight="1">
      <c r="A517" s="487" t="inlineStr">
        <is>
          <t>L. ALLUMINIO MN 2F B.CO M/G 3050x2050x3</t>
        </is>
      </c>
      <c r="B517" s="484">
        <f>+_xlfn.CONCAT(Tabella118[[#This Row],[Composizione]], " - ", Tabella118[[#This Row],[Fornitore]])</f>
        <v/>
      </c>
      <c r="C517" s="951" t="n">
        <v>15.26</v>
      </c>
      <c r="D517" s="484" t="inlineStr">
        <is>
          <t>Apa Group</t>
        </is>
      </c>
      <c r="E517" s="484">
        <f>IFERROR(IF(H517="BC",Tabella118[[#This Row],[composizione concatenata]],IF(H517="C",Tabella118[[#This Row],[composizione concatenata]],VLOOKUP(I517,$K$2:$O$7,5,FALSE))),+Tabella118[[#This Row],[composizione concatenata]])</f>
        <v/>
      </c>
      <c r="F517" s="943">
        <f>+_xlfn.IFNA(VLOOKUP(Tabella118[[#This Row],[Composizione alternativa per digitale]],Tabella118[[composizione concatenata]:[Euro/Mq]],2,FALSE),VLOOKUP(H517,digitale[[ONDA]:[Fornitore]],3,FALSE))</f>
        <v/>
      </c>
      <c r="G517" s="484" t="n"/>
      <c r="H517" s="484">
        <f>IF(MID(A517, FIND("/", A517, FIND("/", A517) + 1) + 1, 2)="A","C",MID(A517, FIND("/", A517, FIND("/", A517) + 1) + 1, 2))</f>
        <v/>
      </c>
      <c r="I517" s="486">
        <f>TRIM(H517)</f>
        <v/>
      </c>
    </row>
    <row r="518" ht="15" customHeight="1">
      <c r="A518" s="487" t="inlineStr">
        <is>
          <t>L. POLIPROP. K SUPERWHITE 3050x2050x10</t>
        </is>
      </c>
      <c r="B518" s="484">
        <f>+_xlfn.CONCAT(Tabella118[[#This Row],[Composizione]], " - ", Tabella118[[#This Row],[Fornitore]])</f>
        <v/>
      </c>
      <c r="C518" s="951" t="n">
        <v>5.3</v>
      </c>
      <c r="D518" s="484" t="inlineStr">
        <is>
          <t>Apa Group</t>
        </is>
      </c>
      <c r="E518" s="484">
        <f>IFERROR(IF(H518="BC",Tabella118[[#This Row],[composizione concatenata]],IF(H518="C",Tabella118[[#This Row],[composizione concatenata]],VLOOKUP(I518,$K$2:$O$7,5,FALSE))),+Tabella118[[#This Row],[composizione concatenata]])</f>
        <v/>
      </c>
      <c r="F518" s="943">
        <f>+_xlfn.IFNA(VLOOKUP(Tabella118[[#This Row],[Composizione alternativa per digitale]],Tabella118[[composizione concatenata]:[Euro/Mq]],2,FALSE),VLOOKUP(H518,digitale[[ONDA]:[Fornitore]],3,FALSE))</f>
        <v/>
      </c>
      <c r="G518" s="484" t="n"/>
      <c r="H518" s="484">
        <f>IF(MID(A518, FIND("/", A518, FIND("/", A518) + 1) + 1, 2)="A","C",MID(A518, FIND("/", A518, FIND("/", A518) + 1) + 1, 2))</f>
        <v/>
      </c>
      <c r="I518" s="486">
        <f>TRIM(H518)</f>
        <v/>
      </c>
    </row>
    <row r="519" ht="15" customHeight="1">
      <c r="A519" s="487" t="inlineStr">
        <is>
          <t>L. POLIPROP. K SUPERWHITE 3050x2050x3</t>
        </is>
      </c>
      <c r="B519" s="484">
        <f>+_xlfn.CONCAT(Tabella118[[#This Row],[Composizione]], " - ", Tabella118[[#This Row],[Fornitore]])</f>
        <v/>
      </c>
      <c r="C519" s="951" t="n">
        <v>1.78</v>
      </c>
      <c r="D519" s="484" t="inlineStr">
        <is>
          <t>Apa Group</t>
        </is>
      </c>
      <c r="E519" s="484">
        <f>IFERROR(IF(H519="BC",Tabella118[[#This Row],[composizione concatenata]],IF(H519="C",Tabella118[[#This Row],[composizione concatenata]],VLOOKUP(I519,$K$2:$O$7,5,FALSE))),+Tabella118[[#This Row],[composizione concatenata]])</f>
        <v/>
      </c>
      <c r="F519" s="943">
        <f>+_xlfn.IFNA(VLOOKUP(Tabella118[[#This Row],[Composizione alternativa per digitale]],Tabella118[[composizione concatenata]:[Euro/Mq]],2,FALSE),VLOOKUP(H519,digitale[[ONDA]:[Fornitore]],3,FALSE))</f>
        <v/>
      </c>
      <c r="G519" s="484" t="n"/>
      <c r="H519" s="484">
        <f>IF(MID(A519, FIND("/", A519, FIND("/", A519) + 1) + 1, 2)="A","C",MID(A519, FIND("/", A519, FIND("/", A519) + 1) + 1, 2))</f>
        <v/>
      </c>
      <c r="I519" s="486">
        <f>TRIM(H519)</f>
        <v/>
      </c>
    </row>
    <row r="520" ht="15" customHeight="1">
      <c r="A520" s="487" t="inlineStr">
        <is>
          <t>L. POLIPROP. K SUPERWHITE 3050x2050x3,5</t>
        </is>
      </c>
      <c r="B520" s="484">
        <f>+_xlfn.CONCAT(Tabella118[[#This Row],[Composizione]], " - ", Tabella118[[#This Row],[Fornitore]])</f>
        <v/>
      </c>
      <c r="C520" s="951" t="n">
        <v>2.36</v>
      </c>
      <c r="D520" s="484" t="inlineStr">
        <is>
          <t>Apa Group</t>
        </is>
      </c>
      <c r="E520" s="484">
        <f>IFERROR(IF(H520="BC",Tabella118[[#This Row],[composizione concatenata]],IF(H520="C",Tabella118[[#This Row],[composizione concatenata]],VLOOKUP(I520,$K$2:$O$7,5,FALSE))),+Tabella118[[#This Row],[composizione concatenata]])</f>
        <v/>
      </c>
      <c r="F520" s="943">
        <f>+_xlfn.IFNA(VLOOKUP(Tabella118[[#This Row],[Composizione alternativa per digitale]],Tabella118[[composizione concatenata]:[Euro/Mq]],2,FALSE),VLOOKUP(H520,digitale[[ONDA]:[Fornitore]],3,FALSE))</f>
        <v/>
      </c>
      <c r="G520" s="484" t="n"/>
      <c r="H520" s="484">
        <f>IF(MID(A520, FIND("/", A520, FIND("/", A520) + 1) + 1, 2)="A","C",MID(A520, FIND("/", A520, FIND("/", A520) + 1) + 1, 2))</f>
        <v/>
      </c>
      <c r="I520" s="486">
        <f>TRIM(H520)</f>
        <v/>
      </c>
    </row>
    <row r="521" ht="15" customHeight="1">
      <c r="A521" s="487" t="inlineStr">
        <is>
          <t>L. POLIPROP. K SUPERWHITE 3050x2050x5</t>
        </is>
      </c>
      <c r="B521" s="484">
        <f>+_xlfn.CONCAT(Tabella118[[#This Row],[Composizione]], " - ", Tabella118[[#This Row],[Fornitore]])</f>
        <v/>
      </c>
      <c r="C521" s="951" t="n">
        <v>3.23</v>
      </c>
      <c r="D521" s="484" t="inlineStr">
        <is>
          <t>Apa Group</t>
        </is>
      </c>
      <c r="E521" s="484">
        <f>IFERROR(IF(H521="BC",Tabella118[[#This Row],[composizione concatenata]],IF(H521="C",Tabella118[[#This Row],[composizione concatenata]],VLOOKUP(I521,$K$2:$O$7,5,FALSE))),+Tabella118[[#This Row],[composizione concatenata]])</f>
        <v/>
      </c>
      <c r="F521" s="943">
        <f>+_xlfn.IFNA(VLOOKUP(Tabella118[[#This Row],[Composizione alternativa per digitale]],Tabella118[[composizione concatenata]:[Euro/Mq]],2,FALSE),VLOOKUP(H521,digitale[[ONDA]:[Fornitore]],3,FALSE))</f>
        <v/>
      </c>
      <c r="G521" s="484" t="n"/>
      <c r="H521" s="484">
        <f>IF(MID(A521, FIND("/", A521, FIND("/", A521) + 1) + 1, 2)="A","C",MID(A521, FIND("/", A521, FIND("/", A521) + 1) + 1, 2))</f>
        <v/>
      </c>
      <c r="I521" s="486">
        <f>TRIM(H521)</f>
        <v/>
      </c>
    </row>
    <row r="522" ht="15" customHeight="1">
      <c r="A522" s="487" t="inlineStr">
        <is>
          <t>L. POLIPROP. K SUPERWHITE 3050x2050x8</t>
        </is>
      </c>
      <c r="B522" s="484">
        <f>+_xlfn.CONCAT(Tabella118[[#This Row],[Composizione]], " - ", Tabella118[[#This Row],[Fornitore]])</f>
        <v/>
      </c>
      <c r="C522" s="951" t="n">
        <v>4.73</v>
      </c>
      <c r="D522" s="484" t="inlineStr">
        <is>
          <t>Apa Group</t>
        </is>
      </c>
      <c r="E522" s="484">
        <f>IFERROR(IF(H522="BC",Tabella118[[#This Row],[composizione concatenata]],IF(H522="C",Tabella118[[#This Row],[composizione concatenata]],VLOOKUP(I522,$K$2:$O$7,5,FALSE))),+Tabella118[[#This Row],[composizione concatenata]])</f>
        <v/>
      </c>
      <c r="F522" s="943">
        <f>+_xlfn.IFNA(VLOOKUP(Tabella118[[#This Row],[Composizione alternativa per digitale]],Tabella118[[composizione concatenata]:[Euro/Mq]],2,FALSE),VLOOKUP(H522,digitale[[ONDA]:[Fornitore]],3,FALSE))</f>
        <v/>
      </c>
      <c r="G522" s="484" t="n"/>
      <c r="H522" s="484">
        <f>IF(MID(A522, FIND("/", A522, FIND("/", A522) + 1) + 1, 2)="A","C",MID(A522, FIND("/", A522, FIND("/", A522) + 1) + 1, 2))</f>
        <v/>
      </c>
      <c r="I522" s="486">
        <f>TRIM(H522)</f>
        <v/>
      </c>
    </row>
    <row r="523" ht="15" customHeight="1">
      <c r="A523" s="487" t="inlineStr">
        <is>
          <t>L. PVC APAFOAM (FOREX)BLU 3050x2050x3</t>
        </is>
      </c>
      <c r="B523" s="484">
        <f>+_xlfn.CONCAT(Tabella118[[#This Row],[Composizione]], " - ", Tabella118[[#This Row],[Fornitore]])</f>
        <v/>
      </c>
      <c r="C523" s="951" t="n">
        <v>6.48</v>
      </c>
      <c r="D523" s="484" t="inlineStr">
        <is>
          <t>Apa Group</t>
        </is>
      </c>
      <c r="E523" s="484">
        <f>IFERROR(IF(H523="BC",Tabella118[[#This Row],[composizione concatenata]],IF(H523="C",Tabella118[[#This Row],[composizione concatenata]],VLOOKUP(I523,$K$2:$O$7,5,FALSE))),+Tabella118[[#This Row],[composizione concatenata]])</f>
        <v/>
      </c>
      <c r="F523" s="943">
        <f>+_xlfn.IFNA(VLOOKUP(Tabella118[[#This Row],[Composizione alternativa per digitale]],Tabella118[[composizione concatenata]:[Euro/Mq]],2,FALSE),VLOOKUP(H523,digitale[[ONDA]:[Fornitore]],3,FALSE))</f>
        <v/>
      </c>
      <c r="G523" s="484" t="n"/>
      <c r="H523" s="484">
        <f>IF(MID(A523, FIND("/", A523, FIND("/", A523) + 1) + 1, 2)="A","C",MID(A523, FIND("/", A523, FIND("/", A523) + 1) + 1, 2))</f>
        <v/>
      </c>
      <c r="I523" s="486">
        <f>TRIM(H523)</f>
        <v/>
      </c>
    </row>
    <row r="524" ht="15" customHeight="1">
      <c r="A524" s="487" t="inlineStr">
        <is>
          <t>L. PVC APAFOAM (FOREX)BLU 3050x2050x5</t>
        </is>
      </c>
      <c r="B524" s="484">
        <f>+_xlfn.CONCAT(Tabella118[[#This Row],[Composizione]], " - ", Tabella118[[#This Row],[Fornitore]])</f>
        <v/>
      </c>
      <c r="C524" s="951" t="n">
        <v>10.8</v>
      </c>
      <c r="D524" s="484" t="inlineStr">
        <is>
          <t>Apa Group</t>
        </is>
      </c>
      <c r="E524" s="484">
        <f>IFERROR(IF(H524="BC",Tabella118[[#This Row],[composizione concatenata]],IF(H524="C",Tabella118[[#This Row],[composizione concatenata]],VLOOKUP(I524,$K$2:$O$7,5,FALSE))),+Tabella118[[#This Row],[composizione concatenata]])</f>
        <v/>
      </c>
      <c r="F524" s="943">
        <f>+_xlfn.IFNA(VLOOKUP(Tabella118[[#This Row],[Composizione alternativa per digitale]],Tabella118[[composizione concatenata]:[Euro/Mq]],2,FALSE),VLOOKUP(H524,digitale[[ONDA]:[Fornitore]],3,FALSE))</f>
        <v/>
      </c>
      <c r="G524" s="484" t="n"/>
      <c r="H524" s="484">
        <f>IF(MID(A524, FIND("/", A524, FIND("/", A524) + 1) + 1, 2)="A","C",MID(A524, FIND("/", A524, FIND("/", A524) + 1) + 1, 2))</f>
        <v/>
      </c>
      <c r="I524" s="486">
        <f>TRIM(H524)</f>
        <v/>
      </c>
    </row>
    <row r="525" ht="15" customHeight="1">
      <c r="A525" s="487" t="inlineStr">
        <is>
          <t>L. PVC APAFOAM (FOREX)GRIGIO 3050x2050x3</t>
        </is>
      </c>
      <c r="B525" s="484">
        <f>+_xlfn.CONCAT(Tabella118[[#This Row],[Composizione]], " - ", Tabella118[[#This Row],[Fornitore]])</f>
        <v/>
      </c>
      <c r="C525" s="951" t="n">
        <v>6.48</v>
      </c>
      <c r="D525" s="484" t="inlineStr">
        <is>
          <t>Apa Group</t>
        </is>
      </c>
      <c r="E525" s="484">
        <f>IFERROR(IF(H525="BC",Tabella118[[#This Row],[composizione concatenata]],IF(H525="C",Tabella118[[#This Row],[composizione concatenata]],VLOOKUP(I525,$K$2:$O$7,5,FALSE))),+Tabella118[[#This Row],[composizione concatenata]])</f>
        <v/>
      </c>
      <c r="F525" s="943">
        <f>+_xlfn.IFNA(VLOOKUP(Tabella118[[#This Row],[Composizione alternativa per digitale]],Tabella118[[composizione concatenata]:[Euro/Mq]],2,FALSE),VLOOKUP(H525,digitale[[ONDA]:[Fornitore]],3,FALSE))</f>
        <v/>
      </c>
      <c r="G525" s="484" t="n"/>
      <c r="H525" s="484">
        <f>IF(MID(A525, FIND("/", A525, FIND("/", A525) + 1) + 1, 2)="A","C",MID(A525, FIND("/", A525, FIND("/", A525) + 1) + 1, 2))</f>
        <v/>
      </c>
      <c r="I525" s="486">
        <f>TRIM(H525)</f>
        <v/>
      </c>
    </row>
    <row r="526" ht="15" customHeight="1">
      <c r="A526" s="487" t="inlineStr">
        <is>
          <t>L. PVC APAFOAM (FOREX)GRIGIO 3050x2050x5</t>
        </is>
      </c>
      <c r="B526" s="484">
        <f>+_xlfn.CONCAT(Tabella118[[#This Row],[Composizione]], " - ", Tabella118[[#This Row],[Fornitore]])</f>
        <v/>
      </c>
      <c r="C526" s="951" t="n">
        <v>10.8</v>
      </c>
      <c r="D526" s="484" t="inlineStr">
        <is>
          <t>Apa Group</t>
        </is>
      </c>
      <c r="E526" s="484">
        <f>IFERROR(IF(H526="BC",Tabella118[[#This Row],[composizione concatenata]],IF(H526="C",Tabella118[[#This Row],[composizione concatenata]],VLOOKUP(I526,$K$2:$O$7,5,FALSE))),+Tabella118[[#This Row],[composizione concatenata]])</f>
        <v/>
      </c>
      <c r="F526" s="943">
        <f>+_xlfn.IFNA(VLOOKUP(Tabella118[[#This Row],[Composizione alternativa per digitale]],Tabella118[[composizione concatenata]:[Euro/Mq]],2,FALSE),VLOOKUP(H526,digitale[[ONDA]:[Fornitore]],3,FALSE))</f>
        <v/>
      </c>
      <c r="G526" s="484" t="n"/>
      <c r="H526" s="484">
        <f>IF(MID(A526, FIND("/", A526, FIND("/", A526) + 1) + 1, 2)="A","C",MID(A526, FIND("/", A526, FIND("/", A526) + 1) + 1, 2))</f>
        <v/>
      </c>
      <c r="I526" s="486">
        <f>TRIM(H526)</f>
        <v/>
      </c>
    </row>
    <row r="527" ht="15" customHeight="1">
      <c r="A527" s="487" t="inlineStr">
        <is>
          <t>L. PVC APAFOAM (FOREX)NERO 3050x1560x19</t>
        </is>
      </c>
      <c r="B527" s="484">
        <f>+_xlfn.CONCAT(Tabella118[[#This Row],[Composizione]], " - ", Tabella118[[#This Row],[Fornitore]])</f>
        <v/>
      </c>
      <c r="C527" s="951" t="n">
        <v>34.41</v>
      </c>
      <c r="D527" s="484" t="inlineStr">
        <is>
          <t>Apa Group</t>
        </is>
      </c>
      <c r="E527" s="484">
        <f>IFERROR(IF(H527="BC",Tabella118[[#This Row],[composizione concatenata]],IF(H527="C",Tabella118[[#This Row],[composizione concatenata]],VLOOKUP(I527,$K$2:$O$7,5,FALSE))),+Tabella118[[#This Row],[composizione concatenata]])</f>
        <v/>
      </c>
      <c r="F527" s="943">
        <f>+_xlfn.IFNA(VLOOKUP(Tabella118[[#This Row],[Composizione alternativa per digitale]],Tabella118[[composizione concatenata]:[Euro/Mq]],2,FALSE),VLOOKUP(H527,digitale[[ONDA]:[Fornitore]],3,FALSE))</f>
        <v/>
      </c>
      <c r="G527" s="484" t="n"/>
      <c r="H527" s="484">
        <f>IF(MID(A527, FIND("/", A527, FIND("/", A527) + 1) + 1, 2)="A","C",MID(A527, FIND("/", A527, FIND("/", A527) + 1) + 1, 2))</f>
        <v/>
      </c>
      <c r="I527" s="486">
        <f>TRIM(H527)</f>
        <v/>
      </c>
    </row>
    <row r="528" ht="15" customHeight="1">
      <c r="A528" s="487" t="inlineStr">
        <is>
          <t>L. PVC APAFOAM (FOREX)NERO 3050x2050x10</t>
        </is>
      </c>
      <c r="B528" s="484">
        <f>+_xlfn.CONCAT(Tabella118[[#This Row],[Composizione]], " - ", Tabella118[[#This Row],[Fornitore]])</f>
        <v/>
      </c>
      <c r="C528" s="951" t="n">
        <v>19.33</v>
      </c>
      <c r="D528" s="484" t="inlineStr">
        <is>
          <t>Apa Group</t>
        </is>
      </c>
      <c r="E528" s="484">
        <f>IFERROR(IF(H528="BC",Tabella118[[#This Row],[composizione concatenata]],IF(H528="C",Tabella118[[#This Row],[composizione concatenata]],VLOOKUP(I528,$K$2:$O$7,5,FALSE))),+Tabella118[[#This Row],[composizione concatenata]])</f>
        <v/>
      </c>
      <c r="F528" s="943">
        <f>+_xlfn.IFNA(VLOOKUP(Tabella118[[#This Row],[Composizione alternativa per digitale]],Tabella118[[composizione concatenata]:[Euro/Mq]],2,FALSE),VLOOKUP(H528,digitale[[ONDA]:[Fornitore]],3,FALSE))</f>
        <v/>
      </c>
      <c r="G528" s="484" t="n"/>
      <c r="H528" s="484">
        <f>IF(MID(A528, FIND("/", A528, FIND("/", A528) + 1) + 1, 2)="A","C",MID(A528, FIND("/", A528, FIND("/", A528) + 1) + 1, 2))</f>
        <v/>
      </c>
      <c r="I528" s="486">
        <f>TRIM(H528)</f>
        <v/>
      </c>
    </row>
    <row r="529" ht="15" customHeight="1">
      <c r="A529" s="487" t="inlineStr">
        <is>
          <t>L. PVC APAFOAM (FOREX)NERO 3050x2050x3</t>
        </is>
      </c>
      <c r="B529" s="484">
        <f>+_xlfn.CONCAT(Tabella118[[#This Row],[Composizione]], " - ", Tabella118[[#This Row],[Fornitore]])</f>
        <v/>
      </c>
      <c r="C529" s="951" t="n">
        <v>5.79</v>
      </c>
      <c r="D529" s="484" t="inlineStr">
        <is>
          <t>Apa Group</t>
        </is>
      </c>
      <c r="E529" s="484">
        <f>IFERROR(IF(H529="BC",Tabella118[[#This Row],[composizione concatenata]],IF(H529="C",Tabella118[[#This Row],[composizione concatenata]],VLOOKUP(I529,$K$2:$O$7,5,FALSE))),+Tabella118[[#This Row],[composizione concatenata]])</f>
        <v/>
      </c>
      <c r="F529" s="943">
        <f>+_xlfn.IFNA(VLOOKUP(Tabella118[[#This Row],[Composizione alternativa per digitale]],Tabella118[[composizione concatenata]:[Euro/Mq]],2,FALSE),VLOOKUP(H529,digitale[[ONDA]:[Fornitore]],3,FALSE))</f>
        <v/>
      </c>
      <c r="G529" s="484" t="n"/>
      <c r="H529" s="484">
        <f>IF(MID(A529, FIND("/", A529, FIND("/", A529) + 1) + 1, 2)="A","C",MID(A529, FIND("/", A529, FIND("/", A529) + 1) + 1, 2))</f>
        <v/>
      </c>
      <c r="I529" s="486">
        <f>TRIM(H529)</f>
        <v/>
      </c>
    </row>
    <row r="530" ht="15" customHeight="1">
      <c r="A530" s="487" t="inlineStr">
        <is>
          <t>L. PVC APAFOAM (FOREX)NERO 3050x2050x5</t>
        </is>
      </c>
      <c r="B530" s="484">
        <f>+_xlfn.CONCAT(Tabella118[[#This Row],[Composizione]], " - ", Tabella118[[#This Row],[Fornitore]])</f>
        <v/>
      </c>
      <c r="C530" s="951" t="n">
        <v>9.640000000000001</v>
      </c>
      <c r="D530" s="484" t="inlineStr">
        <is>
          <t>Apa Group</t>
        </is>
      </c>
      <c r="E530" s="484">
        <f>IFERROR(IF(H530="BC",Tabella118[[#This Row],[composizione concatenata]],IF(H530="C",Tabella118[[#This Row],[composizione concatenata]],VLOOKUP(I530,$K$2:$O$7,5,FALSE))),+Tabella118[[#This Row],[composizione concatenata]])</f>
        <v/>
      </c>
      <c r="F530" s="943">
        <f>+_xlfn.IFNA(VLOOKUP(Tabella118[[#This Row],[Composizione alternativa per digitale]],Tabella118[[composizione concatenata]:[Euro/Mq]],2,FALSE),VLOOKUP(H530,digitale[[ONDA]:[Fornitore]],3,FALSE))</f>
        <v/>
      </c>
      <c r="G530" s="484" t="n"/>
      <c r="H530" s="484">
        <f>IF(MID(A530, FIND("/", A530, FIND("/", A530) + 1) + 1, 2)="A","C",MID(A530, FIND("/", A530, FIND("/", A530) + 1) + 1, 2))</f>
        <v/>
      </c>
      <c r="I530" s="486">
        <f>TRIM(H530)</f>
        <v/>
      </c>
    </row>
    <row r="531" ht="15" customHeight="1">
      <c r="A531" s="487" t="inlineStr">
        <is>
          <t>L. PVC APAFOAM (FOREX)ROSSO 3050x2050x3</t>
        </is>
      </c>
      <c r="B531" s="484">
        <f>+_xlfn.CONCAT(Tabella118[[#This Row],[Composizione]], " - ", Tabella118[[#This Row],[Fornitore]])</f>
        <v/>
      </c>
      <c r="C531" s="951" t="n">
        <v>6.48</v>
      </c>
      <c r="D531" s="484" t="inlineStr">
        <is>
          <t>Apa Group</t>
        </is>
      </c>
      <c r="E531" s="484">
        <f>IFERROR(IF(H531="BC",Tabella118[[#This Row],[composizione concatenata]],IF(H531="C",Tabella118[[#This Row],[composizione concatenata]],VLOOKUP(I531,$K$2:$O$7,5,FALSE))),+Tabella118[[#This Row],[composizione concatenata]])</f>
        <v/>
      </c>
      <c r="F531" s="943">
        <f>+_xlfn.IFNA(VLOOKUP(Tabella118[[#This Row],[Composizione alternativa per digitale]],Tabella118[[composizione concatenata]:[Euro/Mq]],2,FALSE),VLOOKUP(H531,digitale[[ONDA]:[Fornitore]],3,FALSE))</f>
        <v/>
      </c>
      <c r="G531" s="484" t="n"/>
      <c r="H531" s="484">
        <f>IF(MID(A531, FIND("/", A531, FIND("/", A531) + 1) + 1, 2)="A","C",MID(A531, FIND("/", A531, FIND("/", A531) + 1) + 1, 2))</f>
        <v/>
      </c>
      <c r="I531" s="486">
        <f>TRIM(H531)</f>
        <v/>
      </c>
    </row>
    <row r="532" ht="15" customHeight="1">
      <c r="A532" s="487" t="inlineStr">
        <is>
          <t>L. PVC APAFOAM (FOREX)ROSSO 3050x2050x5</t>
        </is>
      </c>
      <c r="B532" s="484">
        <f>+_xlfn.CONCAT(Tabella118[[#This Row],[Composizione]], " - ", Tabella118[[#This Row],[Fornitore]])</f>
        <v/>
      </c>
      <c r="C532" s="951" t="n">
        <v>10.8</v>
      </c>
      <c r="D532" s="484" t="inlineStr">
        <is>
          <t>Apa Group</t>
        </is>
      </c>
      <c r="E532" s="484">
        <f>IFERROR(IF(H532="BC",Tabella118[[#This Row],[composizione concatenata]],IF(H532="C",Tabella118[[#This Row],[composizione concatenata]],VLOOKUP(I532,$K$2:$O$7,5,FALSE))),+Tabella118[[#This Row],[composizione concatenata]])</f>
        <v/>
      </c>
      <c r="F532" s="943">
        <f>+_xlfn.IFNA(VLOOKUP(Tabella118[[#This Row],[Composizione alternativa per digitale]],Tabella118[[composizione concatenata]:[Euro/Mq]],2,FALSE),VLOOKUP(H532,digitale[[ONDA]:[Fornitore]],3,FALSE))</f>
        <v/>
      </c>
      <c r="G532" s="484" t="n"/>
      <c r="H532" s="484">
        <f>IF(MID(A532, FIND("/", A532, FIND("/", A532) + 1) + 1, 2)="A","C",MID(A532, FIND("/", A532, FIND("/", A532) + 1) + 1, 2))</f>
        <v/>
      </c>
      <c r="I532" s="486">
        <f>TRIM(H532)</f>
        <v/>
      </c>
    </row>
    <row r="533" ht="15" customHeight="1">
      <c r="A533" s="487" t="inlineStr">
        <is>
          <t>L. PVC APAFOAM (FOREX)VERDE 3050x2050x3</t>
        </is>
      </c>
      <c r="B533" s="484">
        <f>+_xlfn.CONCAT(Tabella118[[#This Row],[Composizione]], " - ", Tabella118[[#This Row],[Fornitore]])</f>
        <v/>
      </c>
      <c r="C533" s="951" t="n">
        <v>6.48</v>
      </c>
      <c r="D533" s="484" t="inlineStr">
        <is>
          <t>Apa Group</t>
        </is>
      </c>
      <c r="E533" s="484">
        <f>IFERROR(IF(H533="BC",Tabella118[[#This Row],[composizione concatenata]],IF(H533="C",Tabella118[[#This Row],[composizione concatenata]],VLOOKUP(I533,$K$2:$O$7,5,FALSE))),+Tabella118[[#This Row],[composizione concatenata]])</f>
        <v/>
      </c>
      <c r="F533" s="943">
        <f>+_xlfn.IFNA(VLOOKUP(Tabella118[[#This Row],[Composizione alternativa per digitale]],Tabella118[[composizione concatenata]:[Euro/Mq]],2,FALSE),VLOOKUP(H533,digitale[[ONDA]:[Fornitore]],3,FALSE))</f>
        <v/>
      </c>
      <c r="G533" s="484" t="n"/>
      <c r="H533" s="484">
        <f>IF(MID(A533, FIND("/", A533, FIND("/", A533) + 1) + 1, 2)="A","C",MID(A533, FIND("/", A533, FIND("/", A533) + 1) + 1, 2))</f>
        <v/>
      </c>
      <c r="I533" s="486">
        <f>TRIM(H533)</f>
        <v/>
      </c>
    </row>
    <row r="534" ht="15" customHeight="1">
      <c r="A534" s="487" t="inlineStr">
        <is>
          <t>L. PVC APAFOAM (FOREX)VERDE 3050x2050x5</t>
        </is>
      </c>
      <c r="B534" s="484">
        <f>+_xlfn.CONCAT(Tabella118[[#This Row],[Composizione]], " - ", Tabella118[[#This Row],[Fornitore]])</f>
        <v/>
      </c>
      <c r="C534" s="951" t="n">
        <v>10.8</v>
      </c>
      <c r="D534" s="484" t="inlineStr">
        <is>
          <t>Apa Group</t>
        </is>
      </c>
      <c r="E534" s="484">
        <f>IFERROR(IF(H534="BC",Tabella118[[#This Row],[composizione concatenata]],IF(H534="C",Tabella118[[#This Row],[composizione concatenata]],VLOOKUP(I534,$K$2:$O$7,5,FALSE))),+Tabella118[[#This Row],[composizione concatenata]])</f>
        <v/>
      </c>
      <c r="F534" s="943">
        <f>+_xlfn.IFNA(VLOOKUP(Tabella118[[#This Row],[Composizione alternativa per digitale]],Tabella118[[composizione concatenata]:[Euro/Mq]],2,FALSE),VLOOKUP(H534,digitale[[ONDA]:[Fornitore]],3,FALSE))</f>
        <v/>
      </c>
      <c r="G534" s="484" t="n"/>
      <c r="H534" s="484">
        <f>IF(MID(A534, FIND("/", A534, FIND("/", A534) + 1) + 1, 2)="A","C",MID(A534, FIND("/", A534, FIND("/", A534) + 1) + 1, 2))</f>
        <v/>
      </c>
      <c r="I534" s="486">
        <f>TRIM(H534)</f>
        <v/>
      </c>
    </row>
    <row r="535" ht="15" customHeight="1">
      <c r="A535" s="487" t="inlineStr">
        <is>
          <t>L.ALL APABOND SIL/BI M/M 4050x1500x3</t>
        </is>
      </c>
      <c r="B535" s="484">
        <f>+_xlfn.CONCAT(Tabella118[[#This Row],[Composizione]], " - ", Tabella118[[#This Row],[Fornitore]])</f>
        <v/>
      </c>
      <c r="C535" s="951" t="n">
        <v>11.02</v>
      </c>
      <c r="D535" s="484" t="inlineStr">
        <is>
          <t>Apa Group</t>
        </is>
      </c>
      <c r="E535" s="484">
        <f>IFERROR(IF(H535="BC",Tabella118[[#This Row],[composizione concatenata]],IF(H535="C",Tabella118[[#This Row],[composizione concatenata]],VLOOKUP(I535,$K$2:$O$7,5,FALSE))),+Tabella118[[#This Row],[composizione concatenata]])</f>
        <v/>
      </c>
      <c r="F535" s="943">
        <f>+_xlfn.IFNA(VLOOKUP(Tabella118[[#This Row],[Composizione alternativa per digitale]],Tabella118[[composizione concatenata]:[Euro/Mq]],2,FALSE),VLOOKUP(H535,digitale[[ONDA]:[Fornitore]],3,FALSE))</f>
        <v/>
      </c>
      <c r="G535" s="484" t="n"/>
      <c r="H535" s="484">
        <f>IF(MID(A535, FIND("/", A535, FIND("/", A535) + 1) + 1, 2)="A","C",MID(A535, FIND("/", A535, FIND("/", A535) + 1) + 1, 2))</f>
        <v/>
      </c>
      <c r="I535" s="486">
        <f>TRIM(H535)</f>
        <v/>
      </c>
    </row>
    <row r="536" ht="15" customHeight="1">
      <c r="A536" s="487" t="inlineStr">
        <is>
          <t>L.ALL. APABOND 2F B.CO M/G 3050x1500x2</t>
        </is>
      </c>
      <c r="B536" s="484">
        <f>+_xlfn.CONCAT(Tabella118[[#This Row],[Composizione]], " - ", Tabella118[[#This Row],[Fornitore]])</f>
        <v/>
      </c>
      <c r="C536" s="951" t="n">
        <v>9.859999999999999</v>
      </c>
      <c r="D536" s="484" t="inlineStr">
        <is>
          <t>Apa Group</t>
        </is>
      </c>
      <c r="E536" s="484">
        <f>IFERROR(IF(H536="BC",Tabella118[[#This Row],[composizione concatenata]],IF(H536="C",Tabella118[[#This Row],[composizione concatenata]],VLOOKUP(I536,$K$2:$O$7,5,FALSE))),+Tabella118[[#This Row],[composizione concatenata]])</f>
        <v/>
      </c>
      <c r="F536" s="943">
        <f>+_xlfn.IFNA(VLOOKUP(Tabella118[[#This Row],[Composizione alternativa per digitale]],Tabella118[[composizione concatenata]:[Euro/Mq]],2,FALSE),VLOOKUP(H536,digitale[[ONDA]:[Fornitore]],3,FALSE))</f>
        <v/>
      </c>
      <c r="G536" s="484" t="n"/>
      <c r="H536" s="484">
        <f>IF(MID(A536, FIND("/", A536, FIND("/", A536) + 1) + 1, 2)="A","C",MID(A536, FIND("/", A536, FIND("/", A536) + 1) + 1, 2))</f>
        <v/>
      </c>
      <c r="I536" s="486">
        <f>TRIM(H536)</f>
        <v/>
      </c>
    </row>
    <row r="537" ht="15" customHeight="1">
      <c r="A537" s="487" t="inlineStr">
        <is>
          <t>L.ALL. APABOND 2F B.CO M/G 3050x1500x3</t>
        </is>
      </c>
      <c r="B537" s="484">
        <f>+_xlfn.CONCAT(Tabella118[[#This Row],[Composizione]], " - ", Tabella118[[#This Row],[Fornitore]])</f>
        <v/>
      </c>
      <c r="C537" s="951" t="n">
        <v>11.02</v>
      </c>
      <c r="D537" s="484" t="inlineStr">
        <is>
          <t>Apa Group</t>
        </is>
      </c>
      <c r="E537" s="484">
        <f>IFERROR(IF(H537="BC",Tabella118[[#This Row],[composizione concatenata]],IF(H537="C",Tabella118[[#This Row],[composizione concatenata]],VLOOKUP(I537,$K$2:$O$7,5,FALSE))),+Tabella118[[#This Row],[composizione concatenata]])</f>
        <v/>
      </c>
      <c r="F537" s="943">
        <f>+_xlfn.IFNA(VLOOKUP(Tabella118[[#This Row],[Composizione alternativa per digitale]],Tabella118[[composizione concatenata]:[Euro/Mq]],2,FALSE),VLOOKUP(H537,digitale[[ONDA]:[Fornitore]],3,FALSE))</f>
        <v/>
      </c>
      <c r="G537" s="484" t="n"/>
      <c r="H537" s="484">
        <f>IF(MID(A537, FIND("/", A537, FIND("/", A537) + 1) + 1, 2)="A","C",MID(A537, FIND("/", A537, FIND("/", A537) + 1) + 1, 2))</f>
        <v/>
      </c>
      <c r="I537" s="486">
        <f>TRIM(H537)</f>
        <v/>
      </c>
    </row>
    <row r="538" ht="15" customHeight="1">
      <c r="A538" s="487" t="inlineStr">
        <is>
          <t>L.ALL. APABOND 2F B.CO M/G 3050x1500x4</t>
        </is>
      </c>
      <c r="B538" s="484">
        <f>+_xlfn.CONCAT(Tabella118[[#This Row],[Composizione]], " - ", Tabella118[[#This Row],[Fornitore]])</f>
        <v/>
      </c>
      <c r="C538" s="951" t="n">
        <v>12.56</v>
      </c>
      <c r="D538" s="484" t="inlineStr">
        <is>
          <t>Apa Group</t>
        </is>
      </c>
      <c r="E538" s="484">
        <f>IFERROR(IF(H538="BC",Tabella118[[#This Row],[composizione concatenata]],IF(H538="C",Tabella118[[#This Row],[composizione concatenata]],VLOOKUP(I538,$K$2:$O$7,5,FALSE))),+Tabella118[[#This Row],[composizione concatenata]])</f>
        <v/>
      </c>
      <c r="F538" s="943">
        <f>+_xlfn.IFNA(VLOOKUP(Tabella118[[#This Row],[Composizione alternativa per digitale]],Tabella118[[composizione concatenata]:[Euro/Mq]],2,FALSE),VLOOKUP(H538,digitale[[ONDA]:[Fornitore]],3,FALSE))</f>
        <v/>
      </c>
      <c r="G538" s="484" t="n"/>
      <c r="H538" s="484">
        <f>IF(MID(A538, FIND("/", A538, FIND("/", A538) + 1) + 1, 2)="A","C",MID(A538, FIND("/", A538, FIND("/", A538) + 1) + 1, 2))</f>
        <v/>
      </c>
      <c r="I538" s="486">
        <f>TRIM(H538)</f>
        <v/>
      </c>
    </row>
    <row r="539" ht="15" customHeight="1">
      <c r="A539" s="487" t="inlineStr">
        <is>
          <t>L.ALL. APABOND 2F B.CO M/G 4050x1500x3</t>
        </is>
      </c>
      <c r="B539" s="484">
        <f>+_xlfn.CONCAT(Tabella118[[#This Row],[Composizione]], " - ", Tabella118[[#This Row],[Fornitore]])</f>
        <v/>
      </c>
      <c r="C539" s="951" t="n">
        <v>11.02</v>
      </c>
      <c r="D539" s="484" t="inlineStr">
        <is>
          <t>Apa Group</t>
        </is>
      </c>
      <c r="E539" s="484">
        <f>IFERROR(IF(H539="BC",Tabella118[[#This Row],[composizione concatenata]],IF(H539="C",Tabella118[[#This Row],[composizione concatenata]],VLOOKUP(I539,$K$2:$O$7,5,FALSE))),+Tabella118[[#This Row],[composizione concatenata]])</f>
        <v/>
      </c>
      <c r="F539" s="943">
        <f>+_xlfn.IFNA(VLOOKUP(Tabella118[[#This Row],[Composizione alternativa per digitale]],Tabella118[[composizione concatenata]:[Euro/Mq]],2,FALSE),VLOOKUP(H539,digitale[[ONDA]:[Fornitore]],3,FALSE))</f>
        <v/>
      </c>
      <c r="G539" s="484" t="n"/>
      <c r="H539" s="484">
        <f>IF(MID(A539, FIND("/", A539, FIND("/", A539) + 1) + 1, 2)="A","C",MID(A539, FIND("/", A539, FIND("/", A539) + 1) + 1, 2))</f>
        <v/>
      </c>
      <c r="I539" s="486">
        <f>TRIM(H539)</f>
        <v/>
      </c>
    </row>
    <row r="540" ht="15" customHeight="1">
      <c r="A540" s="487" t="inlineStr">
        <is>
          <t>L.ALL. APABOND 2F B.CO M/G 4050x1500x4</t>
        </is>
      </c>
      <c r="B540" s="484">
        <f>+_xlfn.CONCAT(Tabella118[[#This Row],[Composizione]], " - ", Tabella118[[#This Row],[Fornitore]])</f>
        <v/>
      </c>
      <c r="C540" s="951" t="n">
        <v>12.56</v>
      </c>
      <c r="D540" s="484" t="inlineStr">
        <is>
          <t>Apa Group</t>
        </is>
      </c>
      <c r="E540" s="484">
        <f>IFERROR(IF(H540="BC",Tabella118[[#This Row],[composizione concatenata]],IF(H540="C",Tabella118[[#This Row],[composizione concatenata]],VLOOKUP(I540,$K$2:$O$7,5,FALSE))),+Tabella118[[#This Row],[composizione concatenata]])</f>
        <v/>
      </c>
      <c r="F540" s="943">
        <f>+_xlfn.IFNA(VLOOKUP(Tabella118[[#This Row],[Composizione alternativa per digitale]],Tabella118[[composizione concatenata]:[Euro/Mq]],2,FALSE),VLOOKUP(H540,digitale[[ONDA]:[Fornitore]],3,FALSE))</f>
        <v/>
      </c>
      <c r="G540" s="484" t="n"/>
      <c r="H540" s="484">
        <f>IF(MID(A540, FIND("/", A540, FIND("/", A540) + 1) + 1, 2)="A","C",MID(A540, FIND("/", A540, FIND("/", A540) + 1) + 1, 2))</f>
        <v/>
      </c>
      <c r="I540" s="486">
        <f>TRIM(H540)</f>
        <v/>
      </c>
    </row>
    <row r="541" ht="15" customHeight="1">
      <c r="A541" s="487" t="inlineStr">
        <is>
          <t>L.ALL. APABOND NERO 2L MG 3050x1500x3</t>
        </is>
      </c>
      <c r="B541" s="484">
        <f>+_xlfn.CONCAT(Tabella118[[#This Row],[Composizione]], " - ", Tabella118[[#This Row],[Fornitore]])</f>
        <v/>
      </c>
      <c r="C541" s="951" t="n">
        <v>11.02</v>
      </c>
      <c r="D541" s="484" t="inlineStr">
        <is>
          <t>Apa Group</t>
        </is>
      </c>
      <c r="E541" s="484">
        <f>IFERROR(IF(H541="BC",Tabella118[[#This Row],[composizione concatenata]],IF(H541="C",Tabella118[[#This Row],[composizione concatenata]],VLOOKUP(I541,$K$2:$O$7,5,FALSE))),+Tabella118[[#This Row],[composizione concatenata]])</f>
        <v/>
      </c>
      <c r="F541" s="943">
        <f>+_xlfn.IFNA(VLOOKUP(Tabella118[[#This Row],[Composizione alternativa per digitale]],Tabella118[[composizione concatenata]:[Euro/Mq]],2,FALSE),VLOOKUP(H541,digitale[[ONDA]:[Fornitore]],3,FALSE))</f>
        <v/>
      </c>
      <c r="G541" s="484" t="n"/>
      <c r="H541" s="484">
        <f>IF(MID(A541, FIND("/", A541, FIND("/", A541) + 1) + 1, 2)="A","C",MID(A541, FIND("/", A541, FIND("/", A541) + 1) + 1, 2))</f>
        <v/>
      </c>
      <c r="I541" s="486">
        <f>TRIM(H541)</f>
        <v/>
      </c>
    </row>
    <row r="542" ht="15" customHeight="1">
      <c r="A542" s="487" t="inlineStr">
        <is>
          <t>L.ALL. APABOND NERO 2L MG 4050x1500x3</t>
        </is>
      </c>
      <c r="B542" s="484">
        <f>+_xlfn.CONCAT(Tabella118[[#This Row],[Composizione]], " - ", Tabella118[[#This Row],[Fornitore]])</f>
        <v/>
      </c>
      <c r="C542" s="951" t="n">
        <v>11.02</v>
      </c>
      <c r="D542" s="484" t="inlineStr">
        <is>
          <t>Apa Group</t>
        </is>
      </c>
      <c r="E542" s="484">
        <f>IFERROR(IF(H542="BC",Tabella118[[#This Row],[composizione concatenata]],IF(H542="C",Tabella118[[#This Row],[composizione concatenata]],VLOOKUP(I542,$K$2:$O$7,5,FALSE))),+Tabella118[[#This Row],[composizione concatenata]])</f>
        <v/>
      </c>
      <c r="F542" s="943">
        <f>+_xlfn.IFNA(VLOOKUP(Tabella118[[#This Row],[Composizione alternativa per digitale]],Tabella118[[composizione concatenata]:[Euro/Mq]],2,FALSE),VLOOKUP(H542,digitale[[ONDA]:[Fornitore]],3,FALSE))</f>
        <v/>
      </c>
      <c r="G542" s="484" t="n"/>
      <c r="H542" s="484">
        <f>IF(MID(A542, FIND("/", A542, FIND("/", A542) + 1) + 1, 2)="A","C",MID(A542, FIND("/", A542, FIND("/", A542) + 1) + 1, 2))</f>
        <v/>
      </c>
      <c r="I542" s="486">
        <f>TRIM(H542)</f>
        <v/>
      </c>
    </row>
    <row r="543" ht="15" customHeight="1">
      <c r="A543" s="487" t="inlineStr">
        <is>
          <t>L.ALL. APABOND SIL/BIAN. M/M 3050x1500x2</t>
        </is>
      </c>
      <c r="B543" s="484">
        <f>+_xlfn.CONCAT(Tabella118[[#This Row],[Composizione]], " - ", Tabella118[[#This Row],[Fornitore]])</f>
        <v/>
      </c>
      <c r="C543" s="951" t="n">
        <v>9.859999999999999</v>
      </c>
      <c r="D543" s="484" t="inlineStr">
        <is>
          <t>Apa Group</t>
        </is>
      </c>
      <c r="E543" s="484">
        <f>IFERROR(IF(H543="BC",Tabella118[[#This Row],[composizione concatenata]],IF(H543="C",Tabella118[[#This Row],[composizione concatenata]],VLOOKUP(I543,$K$2:$O$7,5,FALSE))),+Tabella118[[#This Row],[composizione concatenata]])</f>
        <v/>
      </c>
      <c r="F543" s="943">
        <f>+_xlfn.IFNA(VLOOKUP(Tabella118[[#This Row],[Composizione alternativa per digitale]],Tabella118[[composizione concatenata]:[Euro/Mq]],2,FALSE),VLOOKUP(H543,digitale[[ONDA]:[Fornitore]],3,FALSE))</f>
        <v/>
      </c>
      <c r="G543" s="484" t="n"/>
      <c r="H543" s="484">
        <f>IF(MID(A543, FIND("/", A543, FIND("/", A543) + 1) + 1, 2)="A","C",MID(A543, FIND("/", A543, FIND("/", A543) + 1) + 1, 2))</f>
        <v/>
      </c>
      <c r="I543" s="486">
        <f>TRIM(H543)</f>
        <v/>
      </c>
    </row>
    <row r="544" ht="15" customHeight="1">
      <c r="A544" s="487" t="inlineStr">
        <is>
          <t>L.ALL. APABOND SIL/BIAN. M/M 3050x1500x3</t>
        </is>
      </c>
      <c r="B544" s="484">
        <f>+_xlfn.CONCAT(Tabella118[[#This Row],[Composizione]], " - ", Tabella118[[#This Row],[Fornitore]])</f>
        <v/>
      </c>
      <c r="C544" s="951" t="n">
        <v>11.02</v>
      </c>
      <c r="D544" s="484" t="inlineStr">
        <is>
          <t>Apa Group</t>
        </is>
      </c>
      <c r="E544" s="484">
        <f>IFERROR(IF(H544="BC",Tabella118[[#This Row],[composizione concatenata]],IF(H544="C",Tabella118[[#This Row],[composizione concatenata]],VLOOKUP(I544,$K$2:$O$7,5,FALSE))),+Tabella118[[#This Row],[composizione concatenata]])</f>
        <v/>
      </c>
      <c r="F544" s="943">
        <f>+_xlfn.IFNA(VLOOKUP(Tabella118[[#This Row],[Composizione alternativa per digitale]],Tabella118[[composizione concatenata]:[Euro/Mq]],2,FALSE),VLOOKUP(H544,digitale[[ONDA]:[Fornitore]],3,FALSE))</f>
        <v/>
      </c>
      <c r="G544" s="484" t="n"/>
      <c r="H544" s="484">
        <f>IF(MID(A544, FIND("/", A544, FIND("/", A544) + 1) + 1, 2)="A","C",MID(A544, FIND("/", A544, FIND("/", A544) + 1) + 1, 2))</f>
        <v/>
      </c>
      <c r="I544" s="486">
        <f>TRIM(H544)</f>
        <v/>
      </c>
    </row>
    <row r="545" ht="15" customHeight="1">
      <c r="A545" s="487" t="inlineStr">
        <is>
          <t>L.ALL. APABOND SIL/BIAN. M/M 3050x1500x4</t>
        </is>
      </c>
      <c r="B545" s="484">
        <f>+_xlfn.CONCAT(Tabella118[[#This Row],[Composizione]], " - ", Tabella118[[#This Row],[Fornitore]])</f>
        <v/>
      </c>
      <c r="C545" s="951" t="n">
        <v>12.56</v>
      </c>
      <c r="D545" s="484" t="inlineStr">
        <is>
          <t>Apa Group</t>
        </is>
      </c>
      <c r="E545" s="484">
        <f>IFERROR(IF(H545="BC",Tabella118[[#This Row],[composizione concatenata]],IF(H545="C",Tabella118[[#This Row],[composizione concatenata]],VLOOKUP(I545,$K$2:$O$7,5,FALSE))),+Tabella118[[#This Row],[composizione concatenata]])</f>
        <v/>
      </c>
      <c r="F545" s="943">
        <f>+_xlfn.IFNA(VLOOKUP(Tabella118[[#This Row],[Composizione alternativa per digitale]],Tabella118[[composizione concatenata]:[Euro/Mq]],2,FALSE),VLOOKUP(H545,digitale[[ONDA]:[Fornitore]],3,FALSE))</f>
        <v/>
      </c>
      <c r="G545" s="484" t="n"/>
      <c r="H545" s="484">
        <f>IF(MID(A545, FIND("/", A545, FIND("/", A545) + 1) + 1, 2)="A","C",MID(A545, FIND("/", A545, FIND("/", A545) + 1) + 1, 2))</f>
        <v/>
      </c>
      <c r="I545" s="486">
        <f>TRIM(H545)</f>
        <v/>
      </c>
    </row>
    <row r="546" ht="15" customHeight="1">
      <c r="A546" s="487" t="inlineStr">
        <is>
          <t>L.ALL. APABOND SIL/BIAN. M/M 4050x1500x2</t>
        </is>
      </c>
      <c r="B546" s="484">
        <f>+_xlfn.CONCAT(Tabella118[[#This Row],[Composizione]], " - ", Tabella118[[#This Row],[Fornitore]])</f>
        <v/>
      </c>
      <c r="C546" s="951" t="n">
        <v>9.859999999999999</v>
      </c>
      <c r="D546" s="484" t="inlineStr">
        <is>
          <t>Apa Group</t>
        </is>
      </c>
      <c r="E546" s="484">
        <f>IFERROR(IF(H546="BC",Tabella118[[#This Row],[composizione concatenata]],IF(H546="C",Tabella118[[#This Row],[composizione concatenata]],VLOOKUP(I546,$K$2:$O$7,5,FALSE))),+Tabella118[[#This Row],[composizione concatenata]])</f>
        <v/>
      </c>
      <c r="F546" s="943">
        <f>+_xlfn.IFNA(VLOOKUP(Tabella118[[#This Row],[Composizione alternativa per digitale]],Tabella118[[composizione concatenata]:[Euro/Mq]],2,FALSE),VLOOKUP(H546,digitale[[ONDA]:[Fornitore]],3,FALSE))</f>
        <v/>
      </c>
      <c r="G546" s="484" t="n"/>
      <c r="H546" s="484">
        <f>IF(MID(A546, FIND("/", A546, FIND("/", A546) + 1) + 1, 2)="A","C",MID(A546, FIND("/", A546, FIND("/", A546) + 1) + 1, 2))</f>
        <v/>
      </c>
      <c r="I546" s="486">
        <f>TRIM(H546)</f>
        <v/>
      </c>
    </row>
    <row r="547" ht="15" customHeight="1">
      <c r="A547" s="487" t="inlineStr">
        <is>
          <t>L.ALL. APABOND SIL/BIAN. M/M 4050x1500x3</t>
        </is>
      </c>
      <c r="B547" s="484">
        <f>+_xlfn.CONCAT(Tabella118[[#This Row],[Composizione]], " - ", Tabella118[[#This Row],[Fornitore]])</f>
        <v/>
      </c>
      <c r="C547" s="951" t="n">
        <v>11.02</v>
      </c>
      <c r="D547" s="484" t="inlineStr">
        <is>
          <t>Apa Group</t>
        </is>
      </c>
      <c r="E547" s="484">
        <f>IFERROR(IF(H547="BC",Tabella118[[#This Row],[composizione concatenata]],IF(H547="C",Tabella118[[#This Row],[composizione concatenata]],VLOOKUP(I547,$K$2:$O$7,5,FALSE))),+Tabella118[[#This Row],[composizione concatenata]])</f>
        <v/>
      </c>
      <c r="F547" s="943">
        <f>+_xlfn.IFNA(VLOOKUP(Tabella118[[#This Row],[Composizione alternativa per digitale]],Tabella118[[composizione concatenata]:[Euro/Mq]],2,FALSE),VLOOKUP(H547,digitale[[ONDA]:[Fornitore]],3,FALSE))</f>
        <v/>
      </c>
      <c r="G547" s="484" t="n"/>
      <c r="H547" s="484">
        <f>IF(MID(A547, FIND("/", A547, FIND("/", A547) + 1) + 1, 2)="A","C",MID(A547, FIND("/", A547, FIND("/", A547) + 1) + 1, 2))</f>
        <v/>
      </c>
      <c r="I547" s="486">
        <f>TRIM(H547)</f>
        <v/>
      </c>
    </row>
    <row r="548" ht="15" customHeight="1">
      <c r="A548" s="487" t="inlineStr">
        <is>
          <t>L.ALL. APABOND SPAZ./SILV. 3050x1500x2</t>
        </is>
      </c>
      <c r="B548" s="484">
        <f>+_xlfn.CONCAT(Tabella118[[#This Row],[Composizione]], " - ", Tabella118[[#This Row],[Fornitore]])</f>
        <v/>
      </c>
      <c r="C548" s="951" t="n">
        <v>17.01</v>
      </c>
      <c r="D548" s="484" t="inlineStr">
        <is>
          <t>Apa Group</t>
        </is>
      </c>
      <c r="E548" s="484">
        <f>IFERROR(IF(H548="BC",Tabella118[[#This Row],[composizione concatenata]],IF(H548="C",Tabella118[[#This Row],[composizione concatenata]],VLOOKUP(I548,$K$2:$O$7,5,FALSE))),+Tabella118[[#This Row],[composizione concatenata]])</f>
        <v/>
      </c>
      <c r="F548" s="943">
        <f>+_xlfn.IFNA(VLOOKUP(Tabella118[[#This Row],[Composizione alternativa per digitale]],Tabella118[[composizione concatenata]:[Euro/Mq]],2,FALSE),VLOOKUP(H548,digitale[[ONDA]:[Fornitore]],3,FALSE))</f>
        <v/>
      </c>
      <c r="G548" s="484" t="n"/>
      <c r="H548" s="484">
        <f>IF(MID(A548, FIND("/", A548, FIND("/", A548) + 1) + 1, 2)="A","C",MID(A548, FIND("/", A548, FIND("/", A548) + 1) + 1, 2))</f>
        <v/>
      </c>
      <c r="I548" s="486">
        <f>TRIM(H548)</f>
        <v/>
      </c>
    </row>
    <row r="549" ht="15" customHeight="1">
      <c r="A549" s="487" t="inlineStr">
        <is>
          <t>L.ALL. APABOND SPAZ./SILV. 4050x1500x2</t>
        </is>
      </c>
      <c r="B549" s="484">
        <f>+_xlfn.CONCAT(Tabella118[[#This Row],[Composizione]], " - ", Tabella118[[#This Row],[Fornitore]])</f>
        <v/>
      </c>
      <c r="C549" s="951" t="n">
        <v>17.01</v>
      </c>
      <c r="D549" s="484" t="inlineStr">
        <is>
          <t>Apa Group</t>
        </is>
      </c>
      <c r="E549" s="484">
        <f>IFERROR(IF(H549="BC",Tabella118[[#This Row],[composizione concatenata]],IF(H549="C",Tabella118[[#This Row],[composizione concatenata]],VLOOKUP(I549,$K$2:$O$7,5,FALSE))),+Tabella118[[#This Row],[composizione concatenata]])</f>
        <v/>
      </c>
      <c r="F549" s="943">
        <f>+_xlfn.IFNA(VLOOKUP(Tabella118[[#This Row],[Composizione alternativa per digitale]],Tabella118[[composizione concatenata]:[Euro/Mq]],2,FALSE),VLOOKUP(H549,digitale[[ONDA]:[Fornitore]],3,FALSE))</f>
        <v/>
      </c>
      <c r="G549" s="484" t="n"/>
      <c r="H549" s="484">
        <f>IF(MID(A549, FIND("/", A549, FIND("/", A549) + 1) + 1, 2)="A","C",MID(A549, FIND("/", A549, FIND("/", A549) + 1) + 1, 2))</f>
        <v/>
      </c>
      <c r="I549" s="486">
        <f>TRIM(H549)</f>
        <v/>
      </c>
    </row>
    <row r="550" ht="15" customHeight="1">
      <c r="A550" s="487" t="inlineStr">
        <is>
          <t>L.ALL. APABOND SPAZ./SILV. 4050x1500x3</t>
        </is>
      </c>
      <c r="B550" s="484">
        <f>+_xlfn.CONCAT(Tabella118[[#This Row],[Composizione]], " - ", Tabella118[[#This Row],[Fornitore]])</f>
        <v/>
      </c>
      <c r="C550" s="951" t="n">
        <v>18.9</v>
      </c>
      <c r="D550" s="484" t="inlineStr">
        <is>
          <t>Apa Group</t>
        </is>
      </c>
      <c r="E550" s="484">
        <f>IFERROR(IF(H550="BC",Tabella118[[#This Row],[composizione concatenata]],IF(H550="C",Tabella118[[#This Row],[composizione concatenata]],VLOOKUP(I550,$K$2:$O$7,5,FALSE))),+Tabella118[[#This Row],[composizione concatenata]])</f>
        <v/>
      </c>
      <c r="F550" s="943">
        <f>+_xlfn.IFNA(VLOOKUP(Tabella118[[#This Row],[Composizione alternativa per digitale]],Tabella118[[composizione concatenata]:[Euro/Mq]],2,FALSE),VLOOKUP(H550,digitale[[ONDA]:[Fornitore]],3,FALSE))</f>
        <v/>
      </c>
      <c r="G550" s="484" t="n"/>
      <c r="H550" s="484">
        <f>IF(MID(A550, FIND("/", A550, FIND("/", A550) + 1) + 1, 2)="A","C",MID(A550, FIND("/", A550, FIND("/", A550) + 1) + 1, 2))</f>
        <v/>
      </c>
      <c r="I550" s="486">
        <f>TRIM(H550)</f>
        <v/>
      </c>
    </row>
    <row r="551" ht="15" customHeight="1">
      <c r="A551" s="487" t="inlineStr">
        <is>
          <t>L.ALL. APABOND Y 2F B.CO M/G 3050x1500x2</t>
        </is>
      </c>
      <c r="B551" s="484">
        <f>+_xlfn.CONCAT(Tabella118[[#This Row],[Composizione]], " - ", Tabella118[[#This Row],[Fornitore]])</f>
        <v/>
      </c>
      <c r="C551" s="951" t="n">
        <v>9.859999999999999</v>
      </c>
      <c r="D551" s="484" t="inlineStr">
        <is>
          <t>Apa Group</t>
        </is>
      </c>
      <c r="E551" s="484">
        <f>IFERROR(IF(H551="BC",Tabella118[[#This Row],[composizione concatenata]],IF(H551="C",Tabella118[[#This Row],[composizione concatenata]],VLOOKUP(I551,$K$2:$O$7,5,FALSE))),+Tabella118[[#This Row],[composizione concatenata]])</f>
        <v/>
      </c>
      <c r="F551" s="943">
        <f>+_xlfn.IFNA(VLOOKUP(Tabella118[[#This Row],[Composizione alternativa per digitale]],Tabella118[[composizione concatenata]:[Euro/Mq]],2,FALSE),VLOOKUP(H551,digitale[[ONDA]:[Fornitore]],3,FALSE))</f>
        <v/>
      </c>
      <c r="G551" s="484" t="n"/>
      <c r="H551" s="484">
        <f>IF(MID(A551, FIND("/", A551, FIND("/", A551) + 1) + 1, 2)="A","C",MID(A551, FIND("/", A551, FIND("/", A551) + 1) + 1, 2))</f>
        <v/>
      </c>
      <c r="I551" s="486">
        <f>TRIM(H551)</f>
        <v/>
      </c>
    </row>
    <row r="552" ht="15" customHeight="1">
      <c r="A552" s="487" t="inlineStr">
        <is>
          <t>L.ALL. APABOND Y 2F B.CO M/G 3050x1500x3</t>
        </is>
      </c>
      <c r="B552" s="484">
        <f>+_xlfn.CONCAT(Tabella118[[#This Row],[Composizione]], " - ", Tabella118[[#This Row],[Fornitore]])</f>
        <v/>
      </c>
      <c r="C552" s="951" t="n">
        <v>11.02</v>
      </c>
      <c r="D552" s="484" t="inlineStr">
        <is>
          <t>Apa Group</t>
        </is>
      </c>
      <c r="E552" s="484">
        <f>IFERROR(IF(H552="BC",Tabella118[[#This Row],[composizione concatenata]],IF(H552="C",Tabella118[[#This Row],[composizione concatenata]],VLOOKUP(I552,$K$2:$O$7,5,FALSE))),+Tabella118[[#This Row],[composizione concatenata]])</f>
        <v/>
      </c>
      <c r="F552" s="943">
        <f>+_xlfn.IFNA(VLOOKUP(Tabella118[[#This Row],[Composizione alternativa per digitale]],Tabella118[[composizione concatenata]:[Euro/Mq]],2,FALSE),VLOOKUP(H552,digitale[[ONDA]:[Fornitore]],3,FALSE))</f>
        <v/>
      </c>
      <c r="G552" s="484" t="n"/>
      <c r="H552" s="484">
        <f>IF(MID(A552, FIND("/", A552, FIND("/", A552) + 1) + 1, 2)="A","C",MID(A552, FIND("/", A552, FIND("/", A552) + 1) + 1, 2))</f>
        <v/>
      </c>
      <c r="I552" s="486">
        <f>TRIM(H552)</f>
        <v/>
      </c>
    </row>
    <row r="553" ht="15" customHeight="1">
      <c r="A553" s="487" t="inlineStr">
        <is>
          <t>L.ALL. APABOND Y 2F B.CO M/G 3050x1500x4</t>
        </is>
      </c>
      <c r="B553" s="484">
        <f>+_xlfn.CONCAT(Tabella118[[#This Row],[Composizione]], " - ", Tabella118[[#This Row],[Fornitore]])</f>
        <v/>
      </c>
      <c r="C553" s="951" t="n">
        <v>12.56</v>
      </c>
      <c r="D553" s="484" t="inlineStr">
        <is>
          <t>Apa Group</t>
        </is>
      </c>
      <c r="E553" s="484">
        <f>IFERROR(IF(H553="BC",Tabella118[[#This Row],[composizione concatenata]],IF(H553="C",Tabella118[[#This Row],[composizione concatenata]],VLOOKUP(I553,$K$2:$O$7,5,FALSE))),+Tabella118[[#This Row],[composizione concatenata]])</f>
        <v/>
      </c>
      <c r="F553" s="943">
        <f>+_xlfn.IFNA(VLOOKUP(Tabella118[[#This Row],[Composizione alternativa per digitale]],Tabella118[[composizione concatenata]:[Euro/Mq]],2,FALSE),VLOOKUP(H553,digitale[[ONDA]:[Fornitore]],3,FALSE))</f>
        <v/>
      </c>
      <c r="G553" s="484" t="n"/>
      <c r="H553" s="484">
        <f>IF(MID(A553, FIND("/", A553, FIND("/", A553) + 1) + 1, 2)="A","C",MID(A553, FIND("/", A553, FIND("/", A553) + 1) + 1, 2))</f>
        <v/>
      </c>
      <c r="I553" s="486">
        <f>TRIM(H553)</f>
        <v/>
      </c>
    </row>
    <row r="554" ht="15" customHeight="1">
      <c r="A554" s="487" t="inlineStr">
        <is>
          <t>L.ALL. APABOND Y 2F B.CO M/G 3050x2000x3</t>
        </is>
      </c>
      <c r="B554" s="484">
        <f>+_xlfn.CONCAT(Tabella118[[#This Row],[Composizione]], " - ", Tabella118[[#This Row],[Fornitore]])</f>
        <v/>
      </c>
      <c r="C554" s="951" t="n">
        <v>14.99</v>
      </c>
      <c r="D554" s="484" t="inlineStr">
        <is>
          <t>Apa Group</t>
        </is>
      </c>
      <c r="E554" s="484">
        <f>IFERROR(IF(H554="BC",Tabella118[[#This Row],[composizione concatenata]],IF(H554="C",Tabella118[[#This Row],[composizione concatenata]],VLOOKUP(I554,$K$2:$O$7,5,FALSE))),+Tabella118[[#This Row],[composizione concatenata]])</f>
        <v/>
      </c>
      <c r="F554" s="943">
        <f>+_xlfn.IFNA(VLOOKUP(Tabella118[[#This Row],[Composizione alternativa per digitale]],Tabella118[[composizione concatenata]:[Euro/Mq]],2,FALSE),VLOOKUP(H554,digitale[[ONDA]:[Fornitore]],3,FALSE))</f>
        <v/>
      </c>
      <c r="G554" s="484" t="n"/>
      <c r="H554" s="484">
        <f>IF(MID(A554, FIND("/", A554, FIND("/", A554) + 1) + 1, 2)="A","C",MID(A554, FIND("/", A554, FIND("/", A554) + 1) + 1, 2))</f>
        <v/>
      </c>
      <c r="I554" s="486">
        <f>TRIM(H554)</f>
        <v/>
      </c>
    </row>
    <row r="555" ht="15" customHeight="1">
      <c r="A555" s="487" t="inlineStr">
        <is>
          <t>L.ALL. APABOND Y 2F B.CO M/G 4050x1500x3</t>
        </is>
      </c>
      <c r="B555" s="484">
        <f>+_xlfn.CONCAT(Tabella118[[#This Row],[Composizione]], " - ", Tabella118[[#This Row],[Fornitore]])</f>
        <v/>
      </c>
      <c r="C555" s="951" t="n">
        <v>11.02</v>
      </c>
      <c r="D555" s="484" t="inlineStr">
        <is>
          <t>Apa Group</t>
        </is>
      </c>
      <c r="E555" s="484">
        <f>IFERROR(IF(H555="BC",Tabella118[[#This Row],[composizione concatenata]],IF(H555="C",Tabella118[[#This Row],[composizione concatenata]],VLOOKUP(I555,$K$2:$O$7,5,FALSE))),+Tabella118[[#This Row],[composizione concatenata]])</f>
        <v/>
      </c>
      <c r="F555" s="943">
        <f>+_xlfn.IFNA(VLOOKUP(Tabella118[[#This Row],[Composizione alternativa per digitale]],Tabella118[[composizione concatenata]:[Euro/Mq]],2,FALSE),VLOOKUP(H555,digitale[[ONDA]:[Fornitore]],3,FALSE))</f>
        <v/>
      </c>
      <c r="G555" s="484" t="n"/>
      <c r="H555" s="484">
        <f>IF(MID(A555, FIND("/", A555, FIND("/", A555) + 1) + 1, 2)="A","C",MID(A555, FIND("/", A555, FIND("/", A555) + 1) + 1, 2))</f>
        <v/>
      </c>
      <c r="I555" s="486">
        <f>TRIM(H555)</f>
        <v/>
      </c>
    </row>
    <row r="556" ht="15" customHeight="1">
      <c r="A556" s="487" t="inlineStr">
        <is>
          <t>L.ALL. APABOND Y NERO M/G 3050x1500x3</t>
        </is>
      </c>
      <c r="B556" s="484">
        <f>+_xlfn.CONCAT(Tabella118[[#This Row],[Composizione]], " - ", Tabella118[[#This Row],[Fornitore]])</f>
        <v/>
      </c>
      <c r="C556" s="951" t="n">
        <v>11.02</v>
      </c>
      <c r="D556" s="484" t="inlineStr">
        <is>
          <t>Apa Group</t>
        </is>
      </c>
      <c r="E556" s="484">
        <f>IFERROR(IF(H556="BC",Tabella118[[#This Row],[composizione concatenata]],IF(H556="C",Tabella118[[#This Row],[composizione concatenata]],VLOOKUP(I556,$K$2:$O$7,5,FALSE))),+Tabella118[[#This Row],[composizione concatenata]])</f>
        <v/>
      </c>
      <c r="F556" s="943">
        <f>+_xlfn.IFNA(VLOOKUP(Tabella118[[#This Row],[Composizione alternativa per digitale]],Tabella118[[composizione concatenata]:[Euro/Mq]],2,FALSE),VLOOKUP(H556,digitale[[ONDA]:[Fornitore]],3,FALSE))</f>
        <v/>
      </c>
      <c r="G556" s="484" t="n"/>
      <c r="H556" s="484">
        <f>IF(MID(A556, FIND("/", A556, FIND("/", A556) + 1) + 1, 2)="A","C",MID(A556, FIND("/", A556, FIND("/", A556) + 1) + 1, 2))</f>
        <v/>
      </c>
      <c r="I556" s="486">
        <f>TRIM(H556)</f>
        <v/>
      </c>
    </row>
    <row r="557" ht="15" customHeight="1">
      <c r="A557" s="487" t="inlineStr">
        <is>
          <t>L.ALL. APABOND Y SIL/BI M/M 3050x1500x2</t>
        </is>
      </c>
      <c r="B557" s="484">
        <f>+_xlfn.CONCAT(Tabella118[[#This Row],[Composizione]], " - ", Tabella118[[#This Row],[Fornitore]])</f>
        <v/>
      </c>
      <c r="C557" s="951" t="n">
        <v>9.859999999999999</v>
      </c>
      <c r="D557" s="484" t="inlineStr">
        <is>
          <t>Apa Group</t>
        </is>
      </c>
      <c r="E557" s="484">
        <f>IFERROR(IF(H557="BC",Tabella118[[#This Row],[composizione concatenata]],IF(H557="C",Tabella118[[#This Row],[composizione concatenata]],VLOOKUP(I557,$K$2:$O$7,5,FALSE))),+Tabella118[[#This Row],[composizione concatenata]])</f>
        <v/>
      </c>
      <c r="F557" s="943">
        <f>+_xlfn.IFNA(VLOOKUP(Tabella118[[#This Row],[Composizione alternativa per digitale]],Tabella118[[composizione concatenata]:[Euro/Mq]],2,FALSE),VLOOKUP(H557,digitale[[ONDA]:[Fornitore]],3,FALSE))</f>
        <v/>
      </c>
      <c r="G557" s="484" t="n"/>
      <c r="H557" s="484">
        <f>IF(MID(A557, FIND("/", A557, FIND("/", A557) + 1) + 1, 2)="A","C",MID(A557, FIND("/", A557, FIND("/", A557) + 1) + 1, 2))</f>
        <v/>
      </c>
      <c r="I557" s="486">
        <f>TRIM(H557)</f>
        <v/>
      </c>
    </row>
    <row r="558" ht="15" customHeight="1">
      <c r="A558" s="487" t="inlineStr">
        <is>
          <t>L.ALL. APABOND Y SIL/BI M/M 4050x1500x4</t>
        </is>
      </c>
      <c r="B558" s="484">
        <f>+_xlfn.CONCAT(Tabella118[[#This Row],[Composizione]], " - ", Tabella118[[#This Row],[Fornitore]])</f>
        <v/>
      </c>
      <c r="C558" s="951" t="n">
        <v>12.56</v>
      </c>
      <c r="D558" s="484" t="inlineStr">
        <is>
          <t>Apa Group</t>
        </is>
      </c>
      <c r="E558" s="484">
        <f>IFERROR(IF(H558="BC",Tabella118[[#This Row],[composizione concatenata]],IF(H558="C",Tabella118[[#This Row],[composizione concatenata]],VLOOKUP(I558,$K$2:$O$7,5,FALSE))),+Tabella118[[#This Row],[composizione concatenata]])</f>
        <v/>
      </c>
      <c r="F558" s="943">
        <f>+_xlfn.IFNA(VLOOKUP(Tabella118[[#This Row],[Composizione alternativa per digitale]],Tabella118[[composizione concatenata]:[Euro/Mq]],2,FALSE),VLOOKUP(H558,digitale[[ONDA]:[Fornitore]],3,FALSE))</f>
        <v/>
      </c>
      <c r="G558" s="484" t="n"/>
      <c r="H558" s="484">
        <f>IF(MID(A558, FIND("/", A558, FIND("/", A558) + 1) + 1, 2)="A","C",MID(A558, FIND("/", A558, FIND("/", A558) + 1) + 1, 2))</f>
        <v/>
      </c>
      <c r="I558" s="486">
        <f>TRIM(H558)</f>
        <v/>
      </c>
    </row>
    <row r="559" ht="15" customHeight="1">
      <c r="A559" s="487" t="inlineStr">
        <is>
          <t>L.ALL. APABOND Y SPAZ./SILV. 3050x1500x2</t>
        </is>
      </c>
      <c r="B559" s="484">
        <f>+_xlfn.CONCAT(Tabella118[[#This Row],[Composizione]], " - ", Tabella118[[#This Row],[Fornitore]])</f>
        <v/>
      </c>
      <c r="C559" s="951" t="n">
        <v>17.01</v>
      </c>
      <c r="D559" s="484" t="inlineStr">
        <is>
          <t>Apa Group</t>
        </is>
      </c>
      <c r="E559" s="484">
        <f>IFERROR(IF(H559="BC",Tabella118[[#This Row],[composizione concatenata]],IF(H559="C",Tabella118[[#This Row],[composizione concatenata]],VLOOKUP(I559,$K$2:$O$7,5,FALSE))),+Tabella118[[#This Row],[composizione concatenata]])</f>
        <v/>
      </c>
      <c r="F559" s="943">
        <f>+_xlfn.IFNA(VLOOKUP(Tabella118[[#This Row],[Composizione alternativa per digitale]],Tabella118[[composizione concatenata]:[Euro/Mq]],2,FALSE),VLOOKUP(H559,digitale[[ONDA]:[Fornitore]],3,FALSE))</f>
        <v/>
      </c>
      <c r="G559" s="484" t="n"/>
      <c r="H559" s="484">
        <f>IF(MID(A559, FIND("/", A559, FIND("/", A559) + 1) + 1, 2)="A","C",MID(A559, FIND("/", A559, FIND("/", A559) + 1) + 1, 2))</f>
        <v/>
      </c>
      <c r="I559" s="486">
        <f>TRIM(H559)</f>
        <v/>
      </c>
    </row>
    <row r="560" ht="15" customHeight="1">
      <c r="A560" s="487" t="inlineStr">
        <is>
          <t>L.ALL.APABOND 2F SILVER M/M 3050x1500x2</t>
        </is>
      </c>
      <c r="B560" s="484">
        <f>+_xlfn.CONCAT(Tabella118[[#This Row],[Composizione]], " - ", Tabella118[[#This Row],[Fornitore]])</f>
        <v/>
      </c>
      <c r="C560" s="951" t="n">
        <v>9.859999999999999</v>
      </c>
      <c r="D560" s="484" t="inlineStr">
        <is>
          <t>Apa Group</t>
        </is>
      </c>
      <c r="E560" s="484">
        <f>IFERROR(IF(H560="BC",Tabella118[[#This Row],[composizione concatenata]],IF(H560="C",Tabella118[[#This Row],[composizione concatenata]],VLOOKUP(I560,$K$2:$O$7,5,FALSE))),+Tabella118[[#This Row],[composizione concatenata]])</f>
        <v/>
      </c>
      <c r="F560" s="943">
        <f>+_xlfn.IFNA(VLOOKUP(Tabella118[[#This Row],[Composizione alternativa per digitale]],Tabella118[[composizione concatenata]:[Euro/Mq]],2,FALSE),VLOOKUP(H560,digitale[[ONDA]:[Fornitore]],3,FALSE))</f>
        <v/>
      </c>
      <c r="G560" s="484" t="n"/>
      <c r="H560" s="484">
        <f>IF(MID(A560, FIND("/", A560, FIND("/", A560) + 1) + 1, 2)="A","C",MID(A560, FIND("/", A560, FIND("/", A560) + 1) + 1, 2))</f>
        <v/>
      </c>
      <c r="I560" s="486">
        <f>TRIM(H560)</f>
        <v/>
      </c>
    </row>
    <row r="561" ht="15" customHeight="1">
      <c r="A561" s="487" t="inlineStr">
        <is>
          <t>L.ALL.APABOND 2F SILVER M/M 3050x1500x3</t>
        </is>
      </c>
      <c r="B561" s="484">
        <f>+_xlfn.CONCAT(Tabella118[[#This Row],[Composizione]], " - ", Tabella118[[#This Row],[Fornitore]])</f>
        <v/>
      </c>
      <c r="C561" s="951" t="n">
        <v>11.02</v>
      </c>
      <c r="D561" s="484" t="inlineStr">
        <is>
          <t>Apa Group</t>
        </is>
      </c>
      <c r="E561" s="484">
        <f>IFERROR(IF(H561="BC",Tabella118[[#This Row],[composizione concatenata]],IF(H561="C",Tabella118[[#This Row],[composizione concatenata]],VLOOKUP(I561,$K$2:$O$7,5,FALSE))),+Tabella118[[#This Row],[composizione concatenata]])</f>
        <v/>
      </c>
      <c r="F561" s="943">
        <f>+_xlfn.IFNA(VLOOKUP(Tabella118[[#This Row],[Composizione alternativa per digitale]],Tabella118[[composizione concatenata]:[Euro/Mq]],2,FALSE),VLOOKUP(H561,digitale[[ONDA]:[Fornitore]],3,FALSE))</f>
        <v/>
      </c>
      <c r="G561" s="484" t="n"/>
      <c r="H561" s="484">
        <f>IF(MID(A561, FIND("/", A561, FIND("/", A561) + 1) + 1, 2)="A","C",MID(A561, FIND("/", A561, FIND("/", A561) + 1) + 1, 2))</f>
        <v/>
      </c>
      <c r="I561" s="486">
        <f>TRIM(H561)</f>
        <v/>
      </c>
    </row>
    <row r="562" ht="15" customHeight="1">
      <c r="A562" s="487" t="inlineStr">
        <is>
          <t>L.ALL.APABOND 2F SILVER M/M 3050x1500x4</t>
        </is>
      </c>
      <c r="B562" s="484">
        <f>+_xlfn.CONCAT(Tabella118[[#This Row],[Composizione]], " - ", Tabella118[[#This Row],[Fornitore]])</f>
        <v/>
      </c>
      <c r="C562" s="951" t="n">
        <v>12.56</v>
      </c>
      <c r="D562" s="484" t="inlineStr">
        <is>
          <t>Apa Group</t>
        </is>
      </c>
      <c r="E562" s="484">
        <f>IFERROR(IF(H562="BC",Tabella118[[#This Row],[composizione concatenata]],IF(H562="C",Tabella118[[#This Row],[composizione concatenata]],VLOOKUP(I562,$K$2:$O$7,5,FALSE))),+Tabella118[[#This Row],[composizione concatenata]])</f>
        <v/>
      </c>
      <c r="F562" s="943">
        <f>+_xlfn.IFNA(VLOOKUP(Tabella118[[#This Row],[Composizione alternativa per digitale]],Tabella118[[composizione concatenata]:[Euro/Mq]],2,FALSE),VLOOKUP(H562,digitale[[ONDA]:[Fornitore]],3,FALSE))</f>
        <v/>
      </c>
      <c r="G562" s="484" t="n"/>
      <c r="H562" s="484">
        <f>IF(MID(A562, FIND("/", A562, FIND("/", A562) + 1) + 1, 2)="A","C",MID(A562, FIND("/", A562, FIND("/", A562) + 1) + 1, 2))</f>
        <v/>
      </c>
      <c r="I562" s="486">
        <f>TRIM(H562)</f>
        <v/>
      </c>
    </row>
    <row r="563" ht="15" customHeight="1">
      <c r="A563" s="487" t="inlineStr">
        <is>
          <t>L.ALL.APABOND 2F SILVER M/M 3050x2000x3</t>
        </is>
      </c>
      <c r="B563" s="484">
        <f>+_xlfn.CONCAT(Tabella118[[#This Row],[Composizione]], " - ", Tabella118[[#This Row],[Fornitore]])</f>
        <v/>
      </c>
      <c r="C563" s="951" t="n">
        <v>14.99</v>
      </c>
      <c r="D563" s="484" t="inlineStr">
        <is>
          <t>Apa Group</t>
        </is>
      </c>
      <c r="E563" s="484">
        <f>IFERROR(IF(H563="BC",Tabella118[[#This Row],[composizione concatenata]],IF(H563="C",Tabella118[[#This Row],[composizione concatenata]],VLOOKUP(I563,$K$2:$O$7,5,FALSE))),+Tabella118[[#This Row],[composizione concatenata]])</f>
        <v/>
      </c>
      <c r="F563" s="943">
        <f>+_xlfn.IFNA(VLOOKUP(Tabella118[[#This Row],[Composizione alternativa per digitale]],Tabella118[[composizione concatenata]:[Euro/Mq]],2,FALSE),VLOOKUP(H563,digitale[[ONDA]:[Fornitore]],3,FALSE))</f>
        <v/>
      </c>
      <c r="G563" s="484" t="n"/>
      <c r="H563" s="484">
        <f>IF(MID(A563, FIND("/", A563, FIND("/", A563) + 1) + 1, 2)="A","C",MID(A563, FIND("/", A563, FIND("/", A563) + 1) + 1, 2))</f>
        <v/>
      </c>
      <c r="I563" s="486">
        <f>TRIM(H563)</f>
        <v/>
      </c>
    </row>
    <row r="564" ht="15" customHeight="1">
      <c r="A564" s="487" t="inlineStr">
        <is>
          <t>L.ALL.APABOND 2F SILVER M/M 4050x1500x2</t>
        </is>
      </c>
      <c r="B564" s="484">
        <f>+_xlfn.CONCAT(Tabella118[[#This Row],[Composizione]], " - ", Tabella118[[#This Row],[Fornitore]])</f>
        <v/>
      </c>
      <c r="C564" s="951" t="n">
        <v>9.859999999999999</v>
      </c>
      <c r="D564" s="484" t="inlineStr">
        <is>
          <t>Apa Group</t>
        </is>
      </c>
      <c r="E564" s="484">
        <f>IFERROR(IF(H564="BC",Tabella118[[#This Row],[composizione concatenata]],IF(H564="C",Tabella118[[#This Row],[composizione concatenata]],VLOOKUP(I564,$K$2:$O$7,5,FALSE))),+Tabella118[[#This Row],[composizione concatenata]])</f>
        <v/>
      </c>
      <c r="F564" s="943">
        <f>+_xlfn.IFNA(VLOOKUP(Tabella118[[#This Row],[Composizione alternativa per digitale]],Tabella118[[composizione concatenata]:[Euro/Mq]],2,FALSE),VLOOKUP(H564,digitale[[ONDA]:[Fornitore]],3,FALSE))</f>
        <v/>
      </c>
      <c r="G564" s="484" t="n"/>
      <c r="H564" s="484">
        <f>IF(MID(A564, FIND("/", A564, FIND("/", A564) + 1) + 1, 2)="A","C",MID(A564, FIND("/", A564, FIND("/", A564) + 1) + 1, 2))</f>
        <v/>
      </c>
      <c r="I564" s="486">
        <f>TRIM(H564)</f>
        <v/>
      </c>
    </row>
    <row r="565" ht="15" customHeight="1">
      <c r="A565" s="487" t="inlineStr">
        <is>
          <t>L.ALL.APABOND 2F SILVER M/M 4050x1500x3</t>
        </is>
      </c>
      <c r="B565" s="484">
        <f>+_xlfn.CONCAT(Tabella118[[#This Row],[Composizione]], " - ", Tabella118[[#This Row],[Fornitore]])</f>
        <v/>
      </c>
      <c r="C565" s="951" t="n">
        <v>11.02</v>
      </c>
      <c r="D565" s="484" t="inlineStr">
        <is>
          <t>Apa Group</t>
        </is>
      </c>
      <c r="E565" s="484">
        <f>IFERROR(IF(H565="BC",Tabella118[[#This Row],[composizione concatenata]],IF(H565="C",Tabella118[[#This Row],[composizione concatenata]],VLOOKUP(I565,$K$2:$O$7,5,FALSE))),+Tabella118[[#This Row],[composizione concatenata]])</f>
        <v/>
      </c>
      <c r="F565" s="943">
        <f>+_xlfn.IFNA(VLOOKUP(Tabella118[[#This Row],[Composizione alternativa per digitale]],Tabella118[[composizione concatenata]:[Euro/Mq]],2,FALSE),VLOOKUP(H565,digitale[[ONDA]:[Fornitore]],3,FALSE))</f>
        <v/>
      </c>
      <c r="G565" s="484" t="n"/>
      <c r="H565" s="484">
        <f>IF(MID(A565, FIND("/", A565, FIND("/", A565) + 1) + 1, 2)="A","C",MID(A565, FIND("/", A565, FIND("/", A565) + 1) + 1, 2))</f>
        <v/>
      </c>
      <c r="I565" s="486">
        <f>TRIM(H565)</f>
        <v/>
      </c>
    </row>
    <row r="566" ht="15" customHeight="1">
      <c r="A566" s="487" t="inlineStr">
        <is>
          <t>L.ALL.APABOND 2F SILVER M/M 4050x1500x4</t>
        </is>
      </c>
      <c r="B566" s="484">
        <f>+_xlfn.CONCAT(Tabella118[[#This Row],[Composizione]], " - ", Tabella118[[#This Row],[Fornitore]])</f>
        <v/>
      </c>
      <c r="C566" s="951" t="n">
        <v>12.56</v>
      </c>
      <c r="D566" s="484" t="inlineStr">
        <is>
          <t>Apa Group</t>
        </is>
      </c>
      <c r="E566" s="484">
        <f>IFERROR(IF(H566="BC",Tabella118[[#This Row],[composizione concatenata]],IF(H566="C",Tabella118[[#This Row],[composizione concatenata]],VLOOKUP(I566,$K$2:$O$7,5,FALSE))),+Tabella118[[#This Row],[composizione concatenata]])</f>
        <v/>
      </c>
      <c r="F566" s="943">
        <f>+_xlfn.IFNA(VLOOKUP(Tabella118[[#This Row],[Composizione alternativa per digitale]],Tabella118[[composizione concatenata]:[Euro/Mq]],2,FALSE),VLOOKUP(H566,digitale[[ONDA]:[Fornitore]],3,FALSE))</f>
        <v/>
      </c>
      <c r="G566" s="484" t="n"/>
      <c r="H566" s="484">
        <f>IF(MID(A566, FIND("/", A566, FIND("/", A566) + 1) + 1, 2)="A","C",MID(A566, FIND("/", A566, FIND("/", A566) + 1) + 1, 2))</f>
        <v/>
      </c>
      <c r="I566" s="486">
        <f>TRIM(H566)</f>
        <v/>
      </c>
    </row>
    <row r="567" ht="15" customHeight="1">
      <c r="A567" s="487" t="inlineStr">
        <is>
          <t>L.ALL.APABOND B.CO 9010 M/M 3050x1500x4</t>
        </is>
      </c>
      <c r="B567" s="484">
        <f>+_xlfn.CONCAT(Tabella118[[#This Row],[Composizione]], " - ", Tabella118[[#This Row],[Fornitore]])</f>
        <v/>
      </c>
      <c r="C567" s="951" t="n">
        <v>12.56</v>
      </c>
      <c r="D567" s="484" t="inlineStr">
        <is>
          <t>Apa Group</t>
        </is>
      </c>
      <c r="E567" s="484">
        <f>IFERROR(IF(H567="BC",Tabella118[[#This Row],[composizione concatenata]],IF(H567="C",Tabella118[[#This Row],[composizione concatenata]],VLOOKUP(I567,$K$2:$O$7,5,FALSE))),+Tabella118[[#This Row],[composizione concatenata]])</f>
        <v/>
      </c>
      <c r="F567" s="943">
        <f>+_xlfn.IFNA(VLOOKUP(Tabella118[[#This Row],[Composizione alternativa per digitale]],Tabella118[[composizione concatenata]:[Euro/Mq]],2,FALSE),VLOOKUP(H567,digitale[[ONDA]:[Fornitore]],3,FALSE))</f>
        <v/>
      </c>
      <c r="G567" s="484" t="n"/>
      <c r="H567" s="484">
        <f>IF(MID(A567, FIND("/", A567, FIND("/", A567) + 1) + 1, 2)="A","C",MID(A567, FIND("/", A567, FIND("/", A567) + 1) + 1, 2))</f>
        <v/>
      </c>
      <c r="I567" s="486">
        <f>TRIM(H567)</f>
        <v/>
      </c>
    </row>
    <row r="568" ht="15" customHeight="1">
      <c r="A568" s="487" t="inlineStr">
        <is>
          <t>L.ALL.APABOND MIRR M./PRIMER 3050x1220x3</t>
        </is>
      </c>
      <c r="B568" s="484">
        <f>+_xlfn.CONCAT(Tabella118[[#This Row],[Composizione]], " - ", Tabella118[[#This Row],[Fornitore]])</f>
        <v/>
      </c>
      <c r="C568" s="951" t="n">
        <v>11.34</v>
      </c>
      <c r="D568" s="484" t="inlineStr">
        <is>
          <t>Apa Group</t>
        </is>
      </c>
      <c r="E568" s="484">
        <f>IFERROR(IF(H568="BC",Tabella118[[#This Row],[composizione concatenata]],IF(H568="C",Tabella118[[#This Row],[composizione concatenata]],VLOOKUP(I568,$K$2:$O$7,5,FALSE))),+Tabella118[[#This Row],[composizione concatenata]])</f>
        <v/>
      </c>
      <c r="F568" s="943">
        <f>+_xlfn.IFNA(VLOOKUP(Tabella118[[#This Row],[Composizione alternativa per digitale]],Tabella118[[composizione concatenata]:[Euro/Mq]],2,FALSE),VLOOKUP(H568,digitale[[ONDA]:[Fornitore]],3,FALSE))</f>
        <v/>
      </c>
      <c r="G568" s="484" t="n"/>
      <c r="H568" s="484">
        <f>IF(MID(A568, FIND("/", A568, FIND("/", A568) + 1) + 1, 2)="A","C",MID(A568, FIND("/", A568, FIND("/", A568) + 1) + 1, 2))</f>
        <v/>
      </c>
      <c r="I568" s="486">
        <f>TRIM(H568)</f>
        <v/>
      </c>
    </row>
    <row r="569" ht="15" customHeight="1">
      <c r="A569" s="487" t="inlineStr">
        <is>
          <t>L.ALL.APABOND MIRR M./PRIMER 4050x1220x3</t>
        </is>
      </c>
      <c r="B569" s="484">
        <f>+_xlfn.CONCAT(Tabella118[[#This Row],[Composizione]], " - ", Tabella118[[#This Row],[Fornitore]])</f>
        <v/>
      </c>
      <c r="C569" s="951" t="n">
        <v>11.34</v>
      </c>
      <c r="D569" s="484" t="inlineStr">
        <is>
          <t>Apa Group</t>
        </is>
      </c>
      <c r="E569" s="484">
        <f>IFERROR(IF(H569="BC",Tabella118[[#This Row],[composizione concatenata]],IF(H569="C",Tabella118[[#This Row],[composizione concatenata]],VLOOKUP(I569,$K$2:$O$7,5,FALSE))),+Tabella118[[#This Row],[composizione concatenata]])</f>
        <v/>
      </c>
      <c r="F569" s="943">
        <f>+_xlfn.IFNA(VLOOKUP(Tabella118[[#This Row],[Composizione alternativa per digitale]],Tabella118[[composizione concatenata]:[Euro/Mq]],2,FALSE),VLOOKUP(H569,digitale[[ONDA]:[Fornitore]],3,FALSE))</f>
        <v/>
      </c>
      <c r="G569" s="484" t="n"/>
      <c r="H569" s="484">
        <f>IF(MID(A569, FIND("/", A569, FIND("/", A569) + 1) + 1, 2)="A","C",MID(A569, FIND("/", A569, FIND("/", A569) + 1) + 1, 2))</f>
        <v/>
      </c>
      <c r="I569" s="486">
        <f>TRIM(H569)</f>
        <v/>
      </c>
    </row>
    <row r="570" ht="15" customHeight="1">
      <c r="A570" s="487" t="inlineStr">
        <is>
          <t>L.ALL.APABOND MIRROR/PRIMER 3050x1250x3</t>
        </is>
      </c>
      <c r="B570" s="484">
        <f>+_xlfn.CONCAT(Tabella118[[#This Row],[Composizione]], " - ", Tabella118[[#This Row],[Fornitore]])</f>
        <v/>
      </c>
      <c r="C570" s="951" t="n">
        <v>31.05</v>
      </c>
      <c r="D570" s="484" t="inlineStr">
        <is>
          <t>Apa Group</t>
        </is>
      </c>
      <c r="E570" s="484">
        <f>IFERROR(IF(H570="BC",Tabella118[[#This Row],[composizione concatenata]],IF(H570="C",Tabella118[[#This Row],[composizione concatenata]],VLOOKUP(I570,$K$2:$O$7,5,FALSE))),+Tabella118[[#This Row],[composizione concatenata]])</f>
        <v/>
      </c>
      <c r="F570" s="943">
        <f>+_xlfn.IFNA(VLOOKUP(Tabella118[[#This Row],[Composizione alternativa per digitale]],Tabella118[[composizione concatenata]:[Euro/Mq]],2,FALSE),VLOOKUP(H570,digitale[[ONDA]:[Fornitore]],3,FALSE))</f>
        <v/>
      </c>
      <c r="G570" s="484" t="n"/>
      <c r="H570" s="484">
        <f>IF(MID(A570, FIND("/", A570, FIND("/", A570) + 1) + 1, 2)="A","C",MID(A570, FIND("/", A570, FIND("/", A570) + 1) + 1, 2))</f>
        <v/>
      </c>
      <c r="I570" s="486">
        <f>TRIM(H570)</f>
        <v/>
      </c>
    </row>
    <row r="571" ht="15" customHeight="1">
      <c r="A571" s="487" t="inlineStr">
        <is>
          <t>L.ALL.APABOND SPECC.ORO/PRIM 3050x1250x3</t>
        </is>
      </c>
      <c r="B571" s="484">
        <f>+_xlfn.CONCAT(Tabella118[[#This Row],[Composizione]], " - ", Tabella118[[#This Row],[Fornitore]])</f>
        <v/>
      </c>
      <c r="C571" s="951" t="n">
        <v>31.05</v>
      </c>
      <c r="D571" s="484" t="inlineStr">
        <is>
          <t>Apa Group</t>
        </is>
      </c>
      <c r="E571" s="484">
        <f>IFERROR(IF(H571="BC",Tabella118[[#This Row],[composizione concatenata]],IF(H571="C",Tabella118[[#This Row],[composizione concatenata]],VLOOKUP(I571,$K$2:$O$7,5,FALSE))),+Tabella118[[#This Row],[composizione concatenata]])</f>
        <v/>
      </c>
      <c r="F571" s="943">
        <f>+_xlfn.IFNA(VLOOKUP(Tabella118[[#This Row],[Composizione alternativa per digitale]],Tabella118[[composizione concatenata]:[Euro/Mq]],2,FALSE),VLOOKUP(H571,digitale[[ONDA]:[Fornitore]],3,FALSE))</f>
        <v/>
      </c>
      <c r="G571" s="484" t="n"/>
      <c r="H571" s="484">
        <f>IF(MID(A571, FIND("/", A571, FIND("/", A571) + 1) + 1, 2)="A","C",MID(A571, FIND("/", A571, FIND("/", A571) + 1) + 1, 2))</f>
        <v/>
      </c>
      <c r="I571" s="486">
        <f>TRIM(H571)</f>
        <v/>
      </c>
    </row>
    <row r="572" ht="15" customHeight="1">
      <c r="A572" s="487" t="inlineStr">
        <is>
          <t>L.ALL.APABOND Y 2F SILVER MM 3050x1500x2</t>
        </is>
      </c>
      <c r="B572" s="484">
        <f>+_xlfn.CONCAT(Tabella118[[#This Row],[Composizione]], " - ", Tabella118[[#This Row],[Fornitore]])</f>
        <v/>
      </c>
      <c r="C572" s="951" t="n">
        <v>9.859999999999999</v>
      </c>
      <c r="D572" s="484" t="inlineStr">
        <is>
          <t>Apa Group</t>
        </is>
      </c>
      <c r="E572" s="484">
        <f>IFERROR(IF(H572="BC",Tabella118[[#This Row],[composizione concatenata]],IF(H572="C",Tabella118[[#This Row],[composizione concatenata]],VLOOKUP(I572,$K$2:$O$7,5,FALSE))),+Tabella118[[#This Row],[composizione concatenata]])</f>
        <v/>
      </c>
      <c r="F572" s="943">
        <f>+_xlfn.IFNA(VLOOKUP(Tabella118[[#This Row],[Composizione alternativa per digitale]],Tabella118[[composizione concatenata]:[Euro/Mq]],2,FALSE),VLOOKUP(H572,digitale[[ONDA]:[Fornitore]],3,FALSE))</f>
        <v/>
      </c>
      <c r="G572" s="484" t="n"/>
      <c r="H572" s="484">
        <f>IF(MID(A572, FIND("/", A572, FIND("/", A572) + 1) + 1, 2)="A","C",MID(A572, FIND("/", A572, FIND("/", A572) + 1) + 1, 2))</f>
        <v/>
      </c>
      <c r="I572" s="486">
        <f>TRIM(H572)</f>
        <v/>
      </c>
    </row>
    <row r="573" ht="15" customHeight="1">
      <c r="A573" s="487" t="inlineStr">
        <is>
          <t>L.ALL.APABOND Y 2F SILVER MM 3050x1500x3</t>
        </is>
      </c>
      <c r="B573" s="484">
        <f>+_xlfn.CONCAT(Tabella118[[#This Row],[Composizione]], " - ", Tabella118[[#This Row],[Fornitore]])</f>
        <v/>
      </c>
      <c r="C573" s="951" t="n">
        <v>11.02</v>
      </c>
      <c r="D573" s="484" t="inlineStr">
        <is>
          <t>Apa Group</t>
        </is>
      </c>
      <c r="E573" s="484">
        <f>IFERROR(IF(H573="BC",Tabella118[[#This Row],[composizione concatenata]],IF(H573="C",Tabella118[[#This Row],[composizione concatenata]],VLOOKUP(I573,$K$2:$O$7,5,FALSE))),+Tabella118[[#This Row],[composizione concatenata]])</f>
        <v/>
      </c>
      <c r="F573" s="943">
        <f>+_xlfn.IFNA(VLOOKUP(Tabella118[[#This Row],[Composizione alternativa per digitale]],Tabella118[[composizione concatenata]:[Euro/Mq]],2,FALSE),VLOOKUP(H573,digitale[[ONDA]:[Fornitore]],3,FALSE))</f>
        <v/>
      </c>
      <c r="G573" s="484" t="n"/>
      <c r="H573" s="484">
        <f>IF(MID(A573, FIND("/", A573, FIND("/", A573) + 1) + 1, 2)="A","C",MID(A573, FIND("/", A573, FIND("/", A573) + 1) + 1, 2))</f>
        <v/>
      </c>
      <c r="I573" s="486">
        <f>TRIM(H573)</f>
        <v/>
      </c>
    </row>
    <row r="574" ht="15" customHeight="1">
      <c r="A574" s="487" t="inlineStr">
        <is>
          <t>L.APABOND ARAN. RAL 2004 M/G 3050x1500x3</t>
        </is>
      </c>
      <c r="B574" s="484">
        <f>+_xlfn.CONCAT(Tabella118[[#This Row],[Composizione]], " - ", Tabella118[[#This Row],[Fornitore]])</f>
        <v/>
      </c>
      <c r="C574" s="951" t="n">
        <v>14.31</v>
      </c>
      <c r="D574" s="484" t="inlineStr">
        <is>
          <t>Apa Group</t>
        </is>
      </c>
      <c r="E574" s="484">
        <f>IFERROR(IF(H574="BC",Tabella118[[#This Row],[composizione concatenata]],IF(H574="C",Tabella118[[#This Row],[composizione concatenata]],VLOOKUP(I574,$K$2:$O$7,5,FALSE))),+Tabella118[[#This Row],[composizione concatenata]])</f>
        <v/>
      </c>
      <c r="F574" s="943">
        <f>+_xlfn.IFNA(VLOOKUP(Tabella118[[#This Row],[Composizione alternativa per digitale]],Tabella118[[composizione concatenata]:[Euro/Mq]],2,FALSE),VLOOKUP(H574,digitale[[ONDA]:[Fornitore]],3,FALSE))</f>
        <v/>
      </c>
      <c r="G574" s="484" t="n"/>
      <c r="H574" s="484">
        <f>IF(MID(A574, FIND("/", A574, FIND("/", A574) + 1) + 1, 2)="A","C",MID(A574, FIND("/", A574, FIND("/", A574) + 1) + 1, 2))</f>
        <v/>
      </c>
      <c r="I574" s="486">
        <f>TRIM(H574)</f>
        <v/>
      </c>
    </row>
    <row r="575" ht="15" customHeight="1">
      <c r="A575" s="487" t="inlineStr">
        <is>
          <t>L.APABOND DARK BLUE 5011 M/M 3050x1500x3</t>
        </is>
      </c>
      <c r="B575" s="484">
        <f>+_xlfn.CONCAT(Tabella118[[#This Row],[Composizione]], " - ", Tabella118[[#This Row],[Fornitore]])</f>
        <v/>
      </c>
      <c r="C575" s="951" t="n">
        <v>14.31</v>
      </c>
      <c r="D575" s="484" t="inlineStr">
        <is>
          <t>Apa Group</t>
        </is>
      </c>
      <c r="E575" s="484">
        <f>IFERROR(IF(H575="BC",Tabella118[[#This Row],[composizione concatenata]],IF(H575="C",Tabella118[[#This Row],[composizione concatenata]],VLOOKUP(I575,$K$2:$O$7,5,FALSE))),+Tabella118[[#This Row],[composizione concatenata]])</f>
        <v/>
      </c>
      <c r="F575" s="943">
        <f>+_xlfn.IFNA(VLOOKUP(Tabella118[[#This Row],[Composizione alternativa per digitale]],Tabella118[[composizione concatenata]:[Euro/Mq]],2,FALSE),VLOOKUP(H575,digitale[[ONDA]:[Fornitore]],3,FALSE))</f>
        <v/>
      </c>
      <c r="G575" s="484" t="n"/>
      <c r="H575" s="484">
        <f>IF(MID(A575, FIND("/", A575, FIND("/", A575) + 1) + 1, 2)="A","C",MID(A575, FIND("/", A575, FIND("/", A575) + 1) + 1, 2))</f>
        <v/>
      </c>
      <c r="I575" s="486">
        <f>TRIM(H575)</f>
        <v/>
      </c>
    </row>
    <row r="576" ht="15" customHeight="1">
      <c r="A576" s="487" t="inlineStr">
        <is>
          <t>L.APABOND GIALLO RAL 1023 MG 3050x1500x3</t>
        </is>
      </c>
      <c r="B576" s="484">
        <f>+_xlfn.CONCAT(Tabella118[[#This Row],[Composizione]], " - ", Tabella118[[#This Row],[Fornitore]])</f>
        <v/>
      </c>
      <c r="C576" s="951" t="n">
        <v>14.31</v>
      </c>
      <c r="D576" s="484" t="inlineStr">
        <is>
          <t>Apa Group</t>
        </is>
      </c>
      <c r="E576" s="484">
        <f>IFERROR(IF(H576="BC",Tabella118[[#This Row],[composizione concatenata]],IF(H576="C",Tabella118[[#This Row],[composizione concatenata]],VLOOKUP(I576,$K$2:$O$7,5,FALSE))),+Tabella118[[#This Row],[composizione concatenata]])</f>
        <v/>
      </c>
      <c r="F576" s="943">
        <f>+_xlfn.IFNA(VLOOKUP(Tabella118[[#This Row],[Composizione alternativa per digitale]],Tabella118[[composizione concatenata]:[Euro/Mq]],2,FALSE),VLOOKUP(H576,digitale[[ONDA]:[Fornitore]],3,FALSE))</f>
        <v/>
      </c>
      <c r="G576" s="484" t="n"/>
      <c r="H576" s="484">
        <f>IF(MID(A576, FIND("/", A576, FIND("/", A576) + 1) + 1, 2)="A","C",MID(A576, FIND("/", A576, FIND("/", A576) + 1) + 1, 2))</f>
        <v/>
      </c>
      <c r="I576" s="486">
        <f>TRIM(H576)</f>
        <v/>
      </c>
    </row>
    <row r="577" ht="15" customHeight="1">
      <c r="A577" s="487" t="inlineStr">
        <is>
          <t>L.APABOND ROSSO RAL 3020 M/G 3050x1500x3</t>
        </is>
      </c>
      <c r="B577" s="484">
        <f>+_xlfn.CONCAT(Tabella118[[#This Row],[Composizione]], " - ", Tabella118[[#This Row],[Fornitore]])</f>
        <v/>
      </c>
      <c r="C577" s="951" t="n">
        <v>14.31</v>
      </c>
      <c r="D577" s="484" t="inlineStr">
        <is>
          <t>Apa Group</t>
        </is>
      </c>
      <c r="E577" s="484">
        <f>IFERROR(IF(H577="BC",Tabella118[[#This Row],[composizione concatenata]],IF(H577="C",Tabella118[[#This Row],[composizione concatenata]],VLOOKUP(I577,$K$2:$O$7,5,FALSE))),+Tabella118[[#This Row],[composizione concatenata]])</f>
        <v/>
      </c>
      <c r="F577" s="943">
        <f>+_xlfn.IFNA(VLOOKUP(Tabella118[[#This Row],[Composizione alternativa per digitale]],Tabella118[[composizione concatenata]:[Euro/Mq]],2,FALSE),VLOOKUP(H577,digitale[[ONDA]:[Fornitore]],3,FALSE))</f>
        <v/>
      </c>
      <c r="G577" s="484" t="n"/>
      <c r="H577" s="484">
        <f>IF(MID(A577, FIND("/", A577, FIND("/", A577) + 1) + 1, 2)="A","C",MID(A577, FIND("/", A577, FIND("/", A577) + 1) + 1, 2))</f>
        <v/>
      </c>
      <c r="I577" s="486">
        <f>TRIM(H577)</f>
        <v/>
      </c>
    </row>
    <row r="578" ht="15" customHeight="1">
      <c r="A578" s="487" t="inlineStr">
        <is>
          <t>L.APABOND SPECC. ORO G./PRIM 3050x1220x3</t>
        </is>
      </c>
      <c r="B578" s="484">
        <f>+_xlfn.CONCAT(Tabella118[[#This Row],[Composizione]], " - ", Tabella118[[#This Row],[Fornitore]])</f>
        <v/>
      </c>
      <c r="C578" s="951" t="n">
        <v>14.58</v>
      </c>
      <c r="D578" s="484" t="inlineStr">
        <is>
          <t>Apa Group</t>
        </is>
      </c>
      <c r="E578" s="484">
        <f>IFERROR(IF(H578="BC",Tabella118[[#This Row],[composizione concatenata]],IF(H578="C",Tabella118[[#This Row],[composizione concatenata]],VLOOKUP(I578,$K$2:$O$7,5,FALSE))),+Tabella118[[#This Row],[composizione concatenata]])</f>
        <v/>
      </c>
      <c r="F578" s="943">
        <f>+_xlfn.IFNA(VLOOKUP(Tabella118[[#This Row],[Composizione alternativa per digitale]],Tabella118[[composizione concatenata]:[Euro/Mq]],2,FALSE),VLOOKUP(H578,digitale[[ONDA]:[Fornitore]],3,FALSE))</f>
        <v/>
      </c>
      <c r="G578" s="484" t="n"/>
      <c r="H578" s="484">
        <f>IF(MID(A578, FIND("/", A578, FIND("/", A578) + 1) + 1, 2)="A","C",MID(A578, FIND("/", A578, FIND("/", A578) + 1) + 1, 2))</f>
        <v/>
      </c>
      <c r="I578" s="486">
        <f>TRIM(H578)</f>
        <v/>
      </c>
    </row>
    <row r="579" ht="15" customHeight="1">
      <c r="A579" s="487" t="inlineStr">
        <is>
          <t>L.BUBBLE IPRINTO MATT B.CO 3050x2050x3</t>
        </is>
      </c>
      <c r="B579" s="484">
        <f>+_xlfn.CONCAT(Tabella118[[#This Row],[Composizione]], " - ", Tabella118[[#This Row],[Fornitore]])</f>
        <v/>
      </c>
      <c r="C579" s="951" t="n">
        <v>4.11</v>
      </c>
      <c r="D579" s="484" t="inlineStr">
        <is>
          <t>Apa Group</t>
        </is>
      </c>
      <c r="E579" s="484">
        <f>IFERROR(IF(H579="BC",Tabella118[[#This Row],[composizione concatenata]],IF(H579="C",Tabella118[[#This Row],[composizione concatenata]],VLOOKUP(I579,$K$2:$O$7,5,FALSE))),+Tabella118[[#This Row],[composizione concatenata]])</f>
        <v/>
      </c>
      <c r="F579" s="943">
        <f>+_xlfn.IFNA(VLOOKUP(Tabella118[[#This Row],[Composizione alternativa per digitale]],Tabella118[[composizione concatenata]:[Euro/Mq]],2,FALSE),VLOOKUP(H579,digitale[[ONDA]:[Fornitore]],3,FALSE))</f>
        <v/>
      </c>
      <c r="G579" s="484" t="n"/>
      <c r="H579" s="484">
        <f>IF(MID(A579, FIND("/", A579, FIND("/", A579) + 1) + 1, 2)="A","C",MID(A579, FIND("/", A579, FIND("/", A579) + 1) + 1, 2))</f>
        <v/>
      </c>
      <c r="I579" s="486">
        <f>TRIM(H579)</f>
        <v/>
      </c>
    </row>
    <row r="580" ht="15" customHeight="1">
      <c r="A580" s="487" t="inlineStr">
        <is>
          <t>L.BUBBLE IPRINTO MATT B.CO 3050x2050x5</t>
        </is>
      </c>
      <c r="B580" s="484">
        <f>+_xlfn.CONCAT(Tabella118[[#This Row],[Composizione]], " - ", Tabella118[[#This Row],[Fornitore]])</f>
        <v/>
      </c>
      <c r="C580" s="951" t="n">
        <v>6.87</v>
      </c>
      <c r="D580" s="484" t="inlineStr">
        <is>
          <t>Apa Group</t>
        </is>
      </c>
      <c r="E580" s="484">
        <f>IFERROR(IF(H580="BC",Tabella118[[#This Row],[composizione concatenata]],IF(H580="C",Tabella118[[#This Row],[composizione concatenata]],VLOOKUP(I580,$K$2:$O$7,5,FALSE))),+Tabella118[[#This Row],[composizione concatenata]])</f>
        <v/>
      </c>
      <c r="F580" s="943">
        <f>+_xlfn.IFNA(VLOOKUP(Tabella118[[#This Row],[Composizione alternativa per digitale]],Tabella118[[composizione concatenata]:[Euro/Mq]],2,FALSE),VLOOKUP(H580,digitale[[ONDA]:[Fornitore]],3,FALSE))</f>
        <v/>
      </c>
      <c r="G580" s="484" t="n"/>
      <c r="H580" s="484">
        <f>IF(MID(A580, FIND("/", A580, FIND("/", A580) + 1) + 1, 2)="A","C",MID(A580, FIND("/", A580, FIND("/", A580) + 1) + 1, 2))</f>
        <v/>
      </c>
      <c r="I580" s="486">
        <f>TRIM(H580)</f>
        <v/>
      </c>
    </row>
    <row r="581" ht="15" customHeight="1">
      <c r="A581" s="487" t="inlineStr">
        <is>
          <t>L.BUBBLE IPRINTO UV SMOOTH B.3050x2050x3</t>
        </is>
      </c>
      <c r="B581" s="484">
        <f>+_xlfn.CONCAT(Tabella118[[#This Row],[Composizione]], " - ", Tabella118[[#This Row],[Fornitore]])</f>
        <v/>
      </c>
      <c r="C581" s="951" t="n">
        <v>4.11</v>
      </c>
      <c r="D581" s="484" t="inlineStr">
        <is>
          <t>Apa Group</t>
        </is>
      </c>
      <c r="E581" s="484">
        <f>IFERROR(IF(H581="BC",Tabella118[[#This Row],[composizione concatenata]],IF(H581="C",Tabella118[[#This Row],[composizione concatenata]],VLOOKUP(I581,$K$2:$O$7,5,FALSE))),+Tabella118[[#This Row],[composizione concatenata]])</f>
        <v/>
      </c>
      <c r="F581" s="943">
        <f>+_xlfn.IFNA(VLOOKUP(Tabella118[[#This Row],[Composizione alternativa per digitale]],Tabella118[[composizione concatenata]:[Euro/Mq]],2,FALSE),VLOOKUP(H581,digitale[[ONDA]:[Fornitore]],3,FALSE))</f>
        <v/>
      </c>
      <c r="G581" s="484" t="n"/>
      <c r="H581" s="484">
        <f>IF(MID(A581, FIND("/", A581, FIND("/", A581) + 1) + 1, 2)="A","C",MID(A581, FIND("/", A581, FIND("/", A581) + 1) + 1, 2))</f>
        <v/>
      </c>
      <c r="I581" s="486">
        <f>TRIM(H581)</f>
        <v/>
      </c>
    </row>
    <row r="582" ht="15" customHeight="1">
      <c r="A582" s="487" t="inlineStr">
        <is>
          <t>L.BUBBLE IPRINTO UVSMOOTH B3050x2050x4,5</t>
        </is>
      </c>
      <c r="B582" s="484">
        <f>+_xlfn.CONCAT(Tabella118[[#This Row],[Composizione]], " - ", Tabella118[[#This Row],[Fornitore]])</f>
        <v/>
      </c>
      <c r="C582" s="951" t="n">
        <v>5.51</v>
      </c>
      <c r="D582" s="484" t="inlineStr">
        <is>
          <t>Apa Group</t>
        </is>
      </c>
      <c r="E582" s="484">
        <f>IFERROR(IF(H582="BC",Tabella118[[#This Row],[composizione concatenata]],IF(H582="C",Tabella118[[#This Row],[composizione concatenata]],VLOOKUP(I582,$K$2:$O$7,5,FALSE))),+Tabella118[[#This Row],[composizione concatenata]])</f>
        <v/>
      </c>
      <c r="F582" s="943">
        <f>+_xlfn.IFNA(VLOOKUP(Tabella118[[#This Row],[Composizione alternativa per digitale]],Tabella118[[composizione concatenata]:[Euro/Mq]],2,FALSE),VLOOKUP(H582,digitale[[ONDA]:[Fornitore]],3,FALSE))</f>
        <v/>
      </c>
      <c r="G582" s="484" t="n"/>
      <c r="H582" s="484">
        <f>IF(MID(A582, FIND("/", A582, FIND("/", A582) + 1) + 1, 2)="A","C",MID(A582, FIND("/", A582, FIND("/", A582) + 1) + 1, 2))</f>
        <v/>
      </c>
      <c r="I582" s="486">
        <f>TRIM(H582)</f>
        <v/>
      </c>
    </row>
    <row r="583" ht="15" customHeight="1">
      <c r="A583" s="487" t="inlineStr">
        <is>
          <t>L.POLIP.ALVEOLARE B.CO 3050x2050x3,5</t>
        </is>
      </c>
      <c r="B583" s="484">
        <f>+_xlfn.CONCAT(Tabella118[[#This Row],[Composizione]], " - ", Tabella118[[#This Row],[Fornitore]])</f>
        <v/>
      </c>
      <c r="C583" s="951" t="n">
        <v>2.36</v>
      </c>
      <c r="D583" s="484" t="inlineStr">
        <is>
          <t>Apa Group</t>
        </is>
      </c>
      <c r="E583" s="484">
        <f>IFERROR(IF(H583="BC",Tabella118[[#This Row],[composizione concatenata]],IF(H583="C",Tabella118[[#This Row],[composizione concatenata]],VLOOKUP(I583,$K$2:$O$7,5,FALSE))),+Tabella118[[#This Row],[composizione concatenata]])</f>
        <v/>
      </c>
      <c r="F583" s="943">
        <f>+_xlfn.IFNA(VLOOKUP(Tabella118[[#This Row],[Composizione alternativa per digitale]],Tabella118[[composizione concatenata]:[Euro/Mq]],2,FALSE),VLOOKUP(H583,digitale[[ONDA]:[Fornitore]],3,FALSE))</f>
        <v/>
      </c>
      <c r="G583" s="484" t="n"/>
      <c r="H583" s="484">
        <f>IF(MID(A583, FIND("/", A583, FIND("/", A583) + 1) + 1, 2)="A","C",MID(A583, FIND("/", A583, FIND("/", A583) + 1) + 1, 2))</f>
        <v/>
      </c>
      <c r="I583" s="486">
        <f>TRIM(H583)</f>
        <v/>
      </c>
    </row>
    <row r="584" ht="15" customHeight="1">
      <c r="A584" s="487" t="inlineStr">
        <is>
          <t>L.POLIP.ALVEOLARE BIANCO 3050x2050x5</t>
        </is>
      </c>
      <c r="B584" s="484">
        <f>+_xlfn.CONCAT(Tabella118[[#This Row],[Composizione]], " - ", Tabella118[[#This Row],[Fornitore]])</f>
        <v/>
      </c>
      <c r="C584" s="951" t="n">
        <v>3.54</v>
      </c>
      <c r="D584" s="484" t="inlineStr">
        <is>
          <t>Apa Group</t>
        </is>
      </c>
      <c r="E584" s="484">
        <f>IFERROR(IF(H584="BC",Tabella118[[#This Row],[composizione concatenata]],IF(H584="C",Tabella118[[#This Row],[composizione concatenata]],VLOOKUP(I584,$K$2:$O$7,5,FALSE))),+Tabella118[[#This Row],[composizione concatenata]])</f>
        <v/>
      </c>
      <c r="F584" s="943">
        <f>+_xlfn.IFNA(VLOOKUP(Tabella118[[#This Row],[Composizione alternativa per digitale]],Tabella118[[composizione concatenata]:[Euro/Mq]],2,FALSE),VLOOKUP(H584,digitale[[ONDA]:[Fornitore]],3,FALSE))</f>
        <v/>
      </c>
      <c r="G584" s="484" t="n"/>
      <c r="H584" s="484">
        <f>IF(MID(A584, FIND("/", A584, FIND("/", A584) + 1) + 1, 2)="A","C",MID(A584, FIND("/", A584, FIND("/", A584) + 1) + 1, 2))</f>
        <v/>
      </c>
      <c r="I584" s="486">
        <f>TRIM(H584)</f>
        <v/>
      </c>
    </row>
    <row r="585" ht="15" customHeight="1">
      <c r="A585" s="487" t="inlineStr">
        <is>
          <t>L.POLIPR .ALVEOLARE NERO 3050x2050x3</t>
        </is>
      </c>
      <c r="B585" s="484">
        <f>+_xlfn.CONCAT(Tabella118[[#This Row],[Composizione]], " - ", Tabella118[[#This Row],[Fornitore]])</f>
        <v/>
      </c>
      <c r="C585" s="951" t="n">
        <v>1.95</v>
      </c>
      <c r="D585" s="484" t="inlineStr">
        <is>
          <t>Apa Group</t>
        </is>
      </c>
      <c r="E585" s="484">
        <f>IFERROR(IF(H585="BC",Tabella118[[#This Row],[composizione concatenata]],IF(H585="C",Tabella118[[#This Row],[composizione concatenata]],VLOOKUP(I585,$K$2:$O$7,5,FALSE))),+Tabella118[[#This Row],[composizione concatenata]])</f>
        <v/>
      </c>
      <c r="F585" s="943">
        <f>+_xlfn.IFNA(VLOOKUP(Tabella118[[#This Row],[Composizione alternativa per digitale]],Tabella118[[composizione concatenata]:[Euro/Mq]],2,FALSE),VLOOKUP(H585,digitale[[ONDA]:[Fornitore]],3,FALSE))</f>
        <v/>
      </c>
      <c r="G585" s="484" t="n"/>
      <c r="H585" s="484">
        <f>IF(MID(A585, FIND("/", A585, FIND("/", A585) + 1) + 1, 2)="A","C",MID(A585, FIND("/", A585, FIND("/", A585) + 1) + 1, 2))</f>
        <v/>
      </c>
      <c r="I585" s="486">
        <f>TRIM(H585)</f>
        <v/>
      </c>
    </row>
    <row r="586" ht="15" customHeight="1">
      <c r="A586" s="487" t="inlineStr">
        <is>
          <t>L.POLIPR. ALVEOLARE B.CO 2P 3050x2050x10</t>
        </is>
      </c>
      <c r="B586" s="484">
        <f>+_xlfn.CONCAT(Tabella118[[#This Row],[Composizione]], " - ", Tabella118[[#This Row],[Fornitore]])</f>
        <v/>
      </c>
      <c r="C586" s="951" t="n">
        <v>5.3</v>
      </c>
      <c r="D586" s="484" t="inlineStr">
        <is>
          <t>Apa Group</t>
        </is>
      </c>
      <c r="E586" s="484">
        <f>IFERROR(IF(H586="BC",Tabella118[[#This Row],[composizione concatenata]],IF(H586="C",Tabella118[[#This Row],[composizione concatenata]],VLOOKUP(I586,$K$2:$O$7,5,FALSE))),+Tabella118[[#This Row],[composizione concatenata]])</f>
        <v/>
      </c>
      <c r="F586" s="943">
        <f>+_xlfn.IFNA(VLOOKUP(Tabella118[[#This Row],[Composizione alternativa per digitale]],Tabella118[[composizione concatenata]:[Euro/Mq]],2,FALSE),VLOOKUP(H586,digitale[[ONDA]:[Fornitore]],3,FALSE))</f>
        <v/>
      </c>
      <c r="G586" s="484" t="n"/>
      <c r="H586" s="484">
        <f>IF(MID(A586, FIND("/", A586, FIND("/", A586) + 1) + 1, 2)="A","C",MID(A586, FIND("/", A586, FIND("/", A586) + 1) + 1, 2))</f>
        <v/>
      </c>
      <c r="I586" s="486">
        <f>TRIM(H586)</f>
        <v/>
      </c>
    </row>
    <row r="587" ht="15" customHeight="1">
      <c r="A587" s="487" t="inlineStr">
        <is>
          <t>L.POLIPR. ALVEOLARE B.CO 3050x2050x5</t>
        </is>
      </c>
      <c r="B587" s="484">
        <f>+_xlfn.CONCAT(Tabella118[[#This Row],[Composizione]], " - ", Tabella118[[#This Row],[Fornitore]])</f>
        <v/>
      </c>
      <c r="C587" s="951" t="n">
        <v>3.23</v>
      </c>
      <c r="D587" s="484" t="inlineStr">
        <is>
          <t>Apa Group</t>
        </is>
      </c>
      <c r="E587" s="484">
        <f>IFERROR(IF(H587="BC",Tabella118[[#This Row],[composizione concatenata]],IF(H587="C",Tabella118[[#This Row],[composizione concatenata]],VLOOKUP(I587,$K$2:$O$7,5,FALSE))),+Tabella118[[#This Row],[composizione concatenata]])</f>
        <v/>
      </c>
      <c r="F587" s="943">
        <f>+_xlfn.IFNA(VLOOKUP(Tabella118[[#This Row],[Composizione alternativa per digitale]],Tabella118[[composizione concatenata]:[Euro/Mq]],2,FALSE),VLOOKUP(H587,digitale[[ONDA]:[Fornitore]],3,FALSE))</f>
        <v/>
      </c>
      <c r="G587" s="484" t="n"/>
      <c r="H587" s="484">
        <f>IF(MID(A587, FIND("/", A587, FIND("/", A587) + 1) + 1, 2)="A","C",MID(A587, FIND("/", A587, FIND("/", A587) + 1) + 1, 2))</f>
        <v/>
      </c>
      <c r="I587" s="486">
        <f>TRIM(H587)</f>
        <v/>
      </c>
    </row>
    <row r="588" ht="15" customHeight="1">
      <c r="A588" s="487" t="inlineStr">
        <is>
          <t>L.POLIPR. ALVEOLARE B.CO 3P 3050x2050x10</t>
        </is>
      </c>
      <c r="B588" s="484">
        <f>+_xlfn.CONCAT(Tabella118[[#This Row],[Composizione]], " - ", Tabella118[[#This Row],[Fornitore]])</f>
        <v/>
      </c>
      <c r="C588" s="951" t="n">
        <v>5.3</v>
      </c>
      <c r="D588" s="484" t="inlineStr">
        <is>
          <t>Apa Group</t>
        </is>
      </c>
      <c r="E588" s="484">
        <f>IFERROR(IF(H588="BC",Tabella118[[#This Row],[composizione concatenata]],IF(H588="C",Tabella118[[#This Row],[composizione concatenata]],VLOOKUP(I588,$K$2:$O$7,5,FALSE))),+Tabella118[[#This Row],[composizione concatenata]])</f>
        <v/>
      </c>
      <c r="F588" s="943">
        <f>+_xlfn.IFNA(VLOOKUP(Tabella118[[#This Row],[Composizione alternativa per digitale]],Tabella118[[composizione concatenata]:[Euro/Mq]],2,FALSE),VLOOKUP(H588,digitale[[ONDA]:[Fornitore]],3,FALSE))</f>
        <v/>
      </c>
      <c r="G588" s="484" t="n"/>
      <c r="H588" s="484">
        <f>IF(MID(A588, FIND("/", A588, FIND("/", A588) + 1) + 1, 2)="A","C",MID(A588, FIND("/", A588, FIND("/", A588) + 1) + 1, 2))</f>
        <v/>
      </c>
      <c r="I588" s="486">
        <f>TRIM(H588)</f>
        <v/>
      </c>
    </row>
    <row r="589" ht="15" customHeight="1">
      <c r="A589" s="487" t="inlineStr">
        <is>
          <t>L.POLIPR. ALVEOLARE BIANCO 3050x2050x8</t>
        </is>
      </c>
      <c r="B589" s="484">
        <f>+_xlfn.CONCAT(Tabella118[[#This Row],[Composizione]], " - ", Tabella118[[#This Row],[Fornitore]])</f>
        <v/>
      </c>
      <c r="C589" s="951" t="n">
        <v>4.73</v>
      </c>
      <c r="D589" s="484" t="inlineStr">
        <is>
          <t>Apa Group</t>
        </is>
      </c>
      <c r="E589" s="484">
        <f>IFERROR(IF(H589="BC",Tabella118[[#This Row],[composizione concatenata]],IF(H589="C",Tabella118[[#This Row],[composizione concatenata]],VLOOKUP(I589,$K$2:$O$7,5,FALSE))),+Tabella118[[#This Row],[composizione concatenata]])</f>
        <v/>
      </c>
      <c r="F589" s="943">
        <f>+_xlfn.IFNA(VLOOKUP(Tabella118[[#This Row],[Composizione alternativa per digitale]],Tabella118[[composizione concatenata]:[Euro/Mq]],2,FALSE),VLOOKUP(H589,digitale[[ONDA]:[Fornitore]],3,FALSE))</f>
        <v/>
      </c>
      <c r="G589" s="484" t="n"/>
      <c r="H589" s="484">
        <f>IF(MID(A589, FIND("/", A589, FIND("/", A589) + 1) + 1, 2)="A","C",MID(A589, FIND("/", A589, FIND("/", A589) + 1) + 1, 2))</f>
        <v/>
      </c>
      <c r="I589" s="486">
        <f>TRIM(H589)</f>
        <v/>
      </c>
    </row>
    <row r="590" ht="15" customHeight="1">
      <c r="A590" s="487" t="inlineStr">
        <is>
          <t>L.PVC APAFOAM GIALLO 3050x2050x3</t>
        </is>
      </c>
      <c r="B590" s="484">
        <f>+_xlfn.CONCAT(Tabella118[[#This Row],[Composizione]], " - ", Tabella118[[#This Row],[Fornitore]])</f>
        <v/>
      </c>
      <c r="C590" s="951" t="n">
        <v>6.48</v>
      </c>
      <c r="D590" s="484" t="inlineStr">
        <is>
          <t>Apa Group</t>
        </is>
      </c>
      <c r="E590" s="484">
        <f>IFERROR(IF(H590="BC",Tabella118[[#This Row],[composizione concatenata]],IF(H590="C",Tabella118[[#This Row],[composizione concatenata]],VLOOKUP(I590,$K$2:$O$7,5,FALSE))),+Tabella118[[#This Row],[composizione concatenata]])</f>
        <v/>
      </c>
      <c r="F590" s="943">
        <f>+_xlfn.IFNA(VLOOKUP(Tabella118[[#This Row],[Composizione alternativa per digitale]],Tabella118[[composizione concatenata]:[Euro/Mq]],2,FALSE),VLOOKUP(H590,digitale[[ONDA]:[Fornitore]],3,FALSE))</f>
        <v/>
      </c>
      <c r="G590" s="484" t="n"/>
      <c r="H590" s="484">
        <f>IF(MID(A590, FIND("/", A590, FIND("/", A590) + 1) + 1, 2)="A","C",MID(A590, FIND("/", A590, FIND("/", A590) + 1) + 1, 2))</f>
        <v/>
      </c>
      <c r="I590" s="486">
        <f>TRIM(H590)</f>
        <v/>
      </c>
    </row>
    <row r="591" ht="15" customHeight="1">
      <c r="A591" s="487" t="inlineStr">
        <is>
          <t>L.PVC APAFOAM GIALLO 3050x2050x5</t>
        </is>
      </c>
      <c r="B591" s="484">
        <f>+_xlfn.CONCAT(Tabella118[[#This Row],[Composizione]], " - ", Tabella118[[#This Row],[Fornitore]])</f>
        <v/>
      </c>
      <c r="C591" s="951" t="n">
        <v>10.8</v>
      </c>
      <c r="D591" s="484" t="inlineStr">
        <is>
          <t>Apa Group</t>
        </is>
      </c>
      <c r="E591" s="484">
        <f>IFERROR(IF(H591="BC",Tabella118[[#This Row],[composizione concatenata]],IF(H591="C",Tabella118[[#This Row],[composizione concatenata]],VLOOKUP(I591,$K$2:$O$7,5,FALSE))),+Tabella118[[#This Row],[composizione concatenata]])</f>
        <v/>
      </c>
      <c r="F591" s="943">
        <f>+_xlfn.IFNA(VLOOKUP(Tabella118[[#This Row],[Composizione alternativa per digitale]],Tabella118[[composizione concatenata]:[Euro/Mq]],2,FALSE),VLOOKUP(H591,digitale[[ONDA]:[Fornitore]],3,FALSE))</f>
        <v/>
      </c>
      <c r="G591" s="484" t="n"/>
      <c r="H591" s="484">
        <f>IF(MID(A591, FIND("/", A591, FIND("/", A591) + 1) + 1, 2)="A","C",MID(A591, FIND("/", A591, FIND("/", A591) + 1) + 1, 2))</f>
        <v/>
      </c>
      <c r="I591" s="486">
        <f>TRIM(H591)</f>
        <v/>
      </c>
    </row>
    <row r="592" ht="15" customHeight="1">
      <c r="A592" s="487" t="inlineStr">
        <is>
          <t>LASTRE ALLUM SPAZZ.ORO/PRIM. 3050x1220x3</t>
        </is>
      </c>
      <c r="B592" s="484">
        <f>+_xlfn.CONCAT(Tabella118[[#This Row],[Composizione]], " - ", Tabella118[[#This Row],[Fornitore]])</f>
        <v/>
      </c>
      <c r="C592" s="951" t="n">
        <v>17.28</v>
      </c>
      <c r="D592" s="484" t="inlineStr">
        <is>
          <t>Apa Group</t>
        </is>
      </c>
      <c r="E592" s="484">
        <f>IFERROR(IF(H592="BC",Tabella118[[#This Row],[composizione concatenata]],IF(H592="C",Tabella118[[#This Row],[composizione concatenata]],VLOOKUP(I592,$K$2:$O$7,5,FALSE))),+Tabella118[[#This Row],[composizione concatenata]])</f>
        <v/>
      </c>
      <c r="F592" s="943">
        <f>+_xlfn.IFNA(VLOOKUP(Tabella118[[#This Row],[Composizione alternativa per digitale]],Tabella118[[composizione concatenata]:[Euro/Mq]],2,FALSE),VLOOKUP(H592,digitale[[ONDA]:[Fornitore]],3,FALSE))</f>
        <v/>
      </c>
      <c r="G592" s="484" t="n"/>
      <c r="H592" s="484">
        <f>IF(MID(A592, FIND("/", A592, FIND("/", A592) + 1) + 1, 2)="A","C",MID(A592, FIND("/", A592, FIND("/", A592) + 1) + 1, 2))</f>
        <v/>
      </c>
      <c r="I592" s="486">
        <f>TRIM(H592)</f>
        <v/>
      </c>
    </row>
    <row r="593" ht="15" customHeight="1">
      <c r="A593" s="487" t="inlineStr">
        <is>
          <t>LASTRE ALLUMINIO 2F B.CO M/G 3050x1500x3</t>
        </is>
      </c>
      <c r="B593" s="484">
        <f>+_xlfn.CONCAT(Tabella118[[#This Row],[Composizione]], " - ", Tabella118[[#This Row],[Fornitore]])</f>
        <v/>
      </c>
      <c r="C593" s="951" t="n">
        <v>11.02</v>
      </c>
      <c r="D593" s="484" t="inlineStr">
        <is>
          <t>Apa Group</t>
        </is>
      </c>
      <c r="E593" s="484">
        <f>IFERROR(IF(H593="BC",Tabella118[[#This Row],[composizione concatenata]],IF(H593="C",Tabella118[[#This Row],[composizione concatenata]],VLOOKUP(I593,$K$2:$O$7,5,FALSE))),+Tabella118[[#This Row],[composizione concatenata]])</f>
        <v/>
      </c>
      <c r="F593" s="943">
        <f>+_xlfn.IFNA(VLOOKUP(Tabella118[[#This Row],[Composizione alternativa per digitale]],Tabella118[[composizione concatenata]:[Euro/Mq]],2,FALSE),VLOOKUP(H593,digitale[[ONDA]:[Fornitore]],3,FALSE))</f>
        <v/>
      </c>
      <c r="G593" s="484" t="n"/>
      <c r="H593" s="484">
        <f>IF(MID(A593, FIND("/", A593, FIND("/", A593) + 1) + 1, 2)="A","C",MID(A593, FIND("/", A593, FIND("/", A593) + 1) + 1, 2))</f>
        <v/>
      </c>
      <c r="I593" s="486">
        <f>TRIM(H593)</f>
        <v/>
      </c>
    </row>
    <row r="594" ht="15" customHeight="1">
      <c r="A594" s="487" t="inlineStr">
        <is>
          <t>LASTRE ALLUMINIO 2F B.CO M/G 4050x1500x3</t>
        </is>
      </c>
      <c r="B594" s="484">
        <f>+_xlfn.CONCAT(Tabella118[[#This Row],[Composizione]], " - ", Tabella118[[#This Row],[Fornitore]])</f>
        <v/>
      </c>
      <c r="C594" s="951" t="n">
        <v>11.02</v>
      </c>
      <c r="D594" s="484" t="inlineStr">
        <is>
          <t>Apa Group</t>
        </is>
      </c>
      <c r="E594" s="484">
        <f>IFERROR(IF(H594="BC",Tabella118[[#This Row],[composizione concatenata]],IF(H594="C",Tabella118[[#This Row],[composizione concatenata]],VLOOKUP(I594,$K$2:$O$7,5,FALSE))),+Tabella118[[#This Row],[composizione concatenata]])</f>
        <v/>
      </c>
      <c r="F594" s="943">
        <f>+_xlfn.IFNA(VLOOKUP(Tabella118[[#This Row],[Composizione alternativa per digitale]],Tabella118[[composizione concatenata]:[Euro/Mq]],2,FALSE),VLOOKUP(H594,digitale[[ONDA]:[Fornitore]],3,FALSE))</f>
        <v/>
      </c>
      <c r="G594" s="484" t="n"/>
      <c r="H594" s="484">
        <f>IF(MID(A594, FIND("/", A594, FIND("/", A594) + 1) + 1, 2)="A","C",MID(A594, FIND("/", A594, FIND("/", A594) + 1) + 1, 2))</f>
        <v/>
      </c>
      <c r="I594" s="486">
        <f>TRIM(H594)</f>
        <v/>
      </c>
    </row>
    <row r="595" ht="15" customHeight="1">
      <c r="A595" s="487" t="inlineStr">
        <is>
          <t>LASTRE MET.ESTR.SPE ARGENTO 3050x2050x3</t>
        </is>
      </c>
      <c r="B595" s="484">
        <f>+_xlfn.CONCAT(Tabella118[[#This Row],[Composizione]], " - ", Tabella118[[#This Row],[Fornitore]])</f>
        <v/>
      </c>
      <c r="C595" s="951" t="n">
        <v>21.75</v>
      </c>
      <c r="D595" s="484" t="inlineStr">
        <is>
          <t>Apa Group</t>
        </is>
      </c>
      <c r="E595" s="484">
        <f>IFERROR(IF(H595="BC",Tabella118[[#This Row],[composizione concatenata]],IF(H595="C",Tabella118[[#This Row],[composizione concatenata]],VLOOKUP(I595,$K$2:$O$7,5,FALSE))),+Tabella118[[#This Row],[composizione concatenata]])</f>
        <v/>
      </c>
      <c r="F595" s="943">
        <f>+_xlfn.IFNA(VLOOKUP(Tabella118[[#This Row],[Composizione alternativa per digitale]],Tabella118[[composizione concatenata]:[Euro/Mq]],2,FALSE),VLOOKUP(H595,digitale[[ONDA]:[Fornitore]],3,FALSE))</f>
        <v/>
      </c>
      <c r="G595" s="484" t="n"/>
      <c r="H595" s="484">
        <f>IF(MID(A595, FIND("/", A595, FIND("/", A595) + 1) + 1, 2)="A","C",MID(A595, FIND("/", A595, FIND("/", A595) + 1) + 1, 2))</f>
        <v/>
      </c>
      <c r="I595" s="486">
        <f>TRIM(H595)</f>
        <v/>
      </c>
    </row>
    <row r="596" ht="15" customHeight="1">
      <c r="A596" s="487" t="inlineStr">
        <is>
          <t>LASTRE MET.ESTR.SPE ORO 20 3050x2050x3</t>
        </is>
      </c>
      <c r="B596" s="484">
        <f>+_xlfn.CONCAT(Tabella118[[#This Row],[Composizione]], " - ", Tabella118[[#This Row],[Fornitore]])</f>
        <v/>
      </c>
      <c r="C596" s="951" t="n">
        <v>27.6</v>
      </c>
      <c r="D596" s="484" t="inlineStr">
        <is>
          <t>Apa Group</t>
        </is>
      </c>
      <c r="E596" s="484">
        <f>IFERROR(IF(H596="BC",Tabella118[[#This Row],[composizione concatenata]],IF(H596="C",Tabella118[[#This Row],[composizione concatenata]],VLOOKUP(I596,$K$2:$O$7,5,FALSE))),+Tabella118[[#This Row],[composizione concatenata]])</f>
        <v/>
      </c>
      <c r="F596" s="943">
        <f>+_xlfn.IFNA(VLOOKUP(Tabella118[[#This Row],[Composizione alternativa per digitale]],Tabella118[[composizione concatenata]:[Euro/Mq]],2,FALSE),VLOOKUP(H596,digitale[[ONDA]:[Fornitore]],3,FALSE))</f>
        <v/>
      </c>
      <c r="G596" s="484" t="n"/>
      <c r="H596" s="484">
        <f>IF(MID(A596, FIND("/", A596, FIND("/", A596) + 1) + 1, 2)="A","C",MID(A596, FIND("/", A596, FIND("/", A596) + 1) + 1, 2))</f>
        <v/>
      </c>
      <c r="I596" s="486">
        <f>TRIM(H596)</f>
        <v/>
      </c>
    </row>
    <row r="597" ht="15" customHeight="1">
      <c r="A597" s="487" t="inlineStr">
        <is>
          <t>LASTRE PC EXOLON GP TR 2050x1250x0,75</t>
        </is>
      </c>
      <c r="B597" s="484">
        <f>+_xlfn.CONCAT(Tabella118[[#This Row],[Composizione]], " - ", Tabella118[[#This Row],[Fornitore]])</f>
        <v/>
      </c>
      <c r="C597" s="951" t="n">
        <v>4.54</v>
      </c>
      <c r="D597" s="484" t="inlineStr">
        <is>
          <t>Apa Group</t>
        </is>
      </c>
      <c r="E597" s="484">
        <f>IFERROR(IF(H597="BC",Tabella118[[#This Row],[composizione concatenata]],IF(H597="C",Tabella118[[#This Row],[composizione concatenata]],VLOOKUP(I597,$K$2:$O$7,5,FALSE))),+Tabella118[[#This Row],[composizione concatenata]])</f>
        <v/>
      </c>
      <c r="F597" s="943">
        <f>+_xlfn.IFNA(VLOOKUP(Tabella118[[#This Row],[Composizione alternativa per digitale]],Tabella118[[composizione concatenata]:[Euro/Mq]],2,FALSE),VLOOKUP(H597,digitale[[ONDA]:[Fornitore]],3,FALSE))</f>
        <v/>
      </c>
      <c r="G597" s="484" t="n"/>
      <c r="H597" s="484">
        <f>IF(MID(A597, FIND("/", A597, FIND("/", A597) + 1) + 1, 2)="A","C",MID(A597, FIND("/", A597, FIND("/", A597) + 1) + 1, 2))</f>
        <v/>
      </c>
      <c r="I597" s="486">
        <f>TRIM(H597)</f>
        <v/>
      </c>
    </row>
    <row r="598" ht="15" customHeight="1">
      <c r="A598" s="487" t="inlineStr">
        <is>
          <t>LASTRE PC EXOLON GP TR 2050x1250x1</t>
        </is>
      </c>
      <c r="B598" s="484">
        <f>+_xlfn.CONCAT(Tabella118[[#This Row],[Composizione]], " - ", Tabella118[[#This Row],[Fornitore]])</f>
        <v/>
      </c>
      <c r="C598" s="951" t="n">
        <v>5.77</v>
      </c>
      <c r="D598" s="484" t="inlineStr">
        <is>
          <t>Apa Group</t>
        </is>
      </c>
      <c r="E598" s="484">
        <f>IFERROR(IF(H598="BC",Tabella118[[#This Row],[composizione concatenata]],IF(H598="C",Tabella118[[#This Row],[composizione concatenata]],VLOOKUP(I598,$K$2:$O$7,5,FALSE))),+Tabella118[[#This Row],[composizione concatenata]])</f>
        <v/>
      </c>
      <c r="F598" s="943">
        <f>+_xlfn.IFNA(VLOOKUP(Tabella118[[#This Row],[Composizione alternativa per digitale]],Tabella118[[composizione concatenata]:[Euro/Mq]],2,FALSE),VLOOKUP(H598,digitale[[ONDA]:[Fornitore]],3,FALSE))</f>
        <v/>
      </c>
      <c r="G598" s="484" t="n"/>
      <c r="H598" s="484">
        <f>IF(MID(A598, FIND("/", A598, FIND("/", A598) + 1) + 1, 2)="A","C",MID(A598, FIND("/", A598, FIND("/", A598) + 1) + 1, 2))</f>
        <v/>
      </c>
      <c r="I598" s="486">
        <f>TRIM(H598)</f>
        <v/>
      </c>
    </row>
    <row r="599" ht="15" customHeight="1">
      <c r="A599" s="487" t="inlineStr">
        <is>
          <t>LASTRE PC EXOLON GP TR 2050x1250x1,5</t>
        </is>
      </c>
      <c r="B599" s="484">
        <f>+_xlfn.CONCAT(Tabella118[[#This Row],[Composizione]], " - ", Tabella118[[#This Row],[Fornitore]])</f>
        <v/>
      </c>
      <c r="C599" s="951" t="n">
        <v>8.66</v>
      </c>
      <c r="D599" s="484" t="inlineStr">
        <is>
          <t>Apa Group</t>
        </is>
      </c>
      <c r="E599" s="484">
        <f>IFERROR(IF(H599="BC",Tabella118[[#This Row],[composizione concatenata]],IF(H599="C",Tabella118[[#This Row],[composizione concatenata]],VLOOKUP(I599,$K$2:$O$7,5,FALSE))),+Tabella118[[#This Row],[composizione concatenata]])</f>
        <v/>
      </c>
      <c r="F599" s="943">
        <f>+_xlfn.IFNA(VLOOKUP(Tabella118[[#This Row],[Composizione alternativa per digitale]],Tabella118[[composizione concatenata]:[Euro/Mq]],2,FALSE),VLOOKUP(H599,digitale[[ONDA]:[Fornitore]],3,FALSE))</f>
        <v/>
      </c>
      <c r="G599" s="484" t="n"/>
      <c r="H599" s="484">
        <f>IF(MID(A599, FIND("/", A599, FIND("/", A599) + 1) + 1, 2)="A","C",MID(A599, FIND("/", A599, FIND("/", A599) + 1) + 1, 2))</f>
        <v/>
      </c>
      <c r="I599" s="486">
        <f>TRIM(H599)</f>
        <v/>
      </c>
    </row>
    <row r="600" ht="15" customHeight="1">
      <c r="A600" s="487" t="inlineStr">
        <is>
          <t>LASTRE PC EXOLON GP TR 3050x2050x10</t>
        </is>
      </c>
      <c r="B600" s="484">
        <f>+_xlfn.CONCAT(Tabella118[[#This Row],[Composizione]], " - ", Tabella118[[#This Row],[Fornitore]])</f>
        <v/>
      </c>
      <c r="C600" s="951" t="n">
        <v>54.1</v>
      </c>
      <c r="D600" s="484" t="inlineStr">
        <is>
          <t>Apa Group</t>
        </is>
      </c>
      <c r="E600" s="484">
        <f>IFERROR(IF(H600="BC",Tabella118[[#This Row],[composizione concatenata]],IF(H600="C",Tabella118[[#This Row],[composizione concatenata]],VLOOKUP(I600,$K$2:$O$7,5,FALSE))),+Tabella118[[#This Row],[composizione concatenata]])</f>
        <v/>
      </c>
      <c r="F600" s="943">
        <f>+_xlfn.IFNA(VLOOKUP(Tabella118[[#This Row],[Composizione alternativa per digitale]],Tabella118[[composizione concatenata]:[Euro/Mq]],2,FALSE),VLOOKUP(H600,digitale[[ONDA]:[Fornitore]],3,FALSE))</f>
        <v/>
      </c>
      <c r="G600" s="484" t="n"/>
      <c r="H600" s="484">
        <f>IF(MID(A600, FIND("/", A600, FIND("/", A600) + 1) + 1, 2)="A","C",MID(A600, FIND("/", A600, FIND("/", A600) + 1) + 1, 2))</f>
        <v/>
      </c>
      <c r="I600" s="486">
        <f>TRIM(H600)</f>
        <v/>
      </c>
    </row>
    <row r="601" ht="15" customHeight="1">
      <c r="A601" s="487" t="inlineStr">
        <is>
          <t>LASTRE PC EXOLON GP TR 3050x2050x12</t>
        </is>
      </c>
      <c r="B601" s="484">
        <f>+_xlfn.CONCAT(Tabella118[[#This Row],[Composizione]], " - ", Tabella118[[#This Row],[Fornitore]])</f>
        <v/>
      </c>
      <c r="C601" s="951" t="n">
        <v>64.90000000000001</v>
      </c>
      <c r="D601" s="484" t="inlineStr">
        <is>
          <t>Apa Group</t>
        </is>
      </c>
      <c r="E601" s="484">
        <f>IFERROR(IF(H601="BC",Tabella118[[#This Row],[composizione concatenata]],IF(H601="C",Tabella118[[#This Row],[composizione concatenata]],VLOOKUP(I601,$K$2:$O$7,5,FALSE))),+Tabella118[[#This Row],[composizione concatenata]])</f>
        <v/>
      </c>
      <c r="F601" s="943">
        <f>+_xlfn.IFNA(VLOOKUP(Tabella118[[#This Row],[Composizione alternativa per digitale]],Tabella118[[composizione concatenata]:[Euro/Mq]],2,FALSE),VLOOKUP(H601,digitale[[ONDA]:[Fornitore]],3,FALSE))</f>
        <v/>
      </c>
      <c r="G601" s="484" t="n"/>
      <c r="H601" s="484">
        <f>IF(MID(A601, FIND("/", A601, FIND("/", A601) + 1) + 1, 2)="A","C",MID(A601, FIND("/", A601, FIND("/", A601) + 1) + 1, 2))</f>
        <v/>
      </c>
      <c r="I601" s="486">
        <f>TRIM(H601)</f>
        <v/>
      </c>
    </row>
    <row r="602" ht="15" customHeight="1">
      <c r="A602" s="487" t="inlineStr">
        <is>
          <t>LASTRE PC EXOLON GP TR 3050x2050x15</t>
        </is>
      </c>
      <c r="B602" s="484">
        <f>+_xlfn.CONCAT(Tabella118[[#This Row],[Composizione]], " - ", Tabella118[[#This Row],[Fornitore]])</f>
        <v/>
      </c>
      <c r="C602" s="951" t="n">
        <v>85.53</v>
      </c>
      <c r="D602" s="484" t="inlineStr">
        <is>
          <t>Apa Group</t>
        </is>
      </c>
      <c r="E602" s="484">
        <f>IFERROR(IF(H602="BC",Tabella118[[#This Row],[composizione concatenata]],IF(H602="C",Tabella118[[#This Row],[composizione concatenata]],VLOOKUP(I602,$K$2:$O$7,5,FALSE))),+Tabella118[[#This Row],[composizione concatenata]])</f>
        <v/>
      </c>
      <c r="F602" s="943">
        <f>+_xlfn.IFNA(VLOOKUP(Tabella118[[#This Row],[Composizione alternativa per digitale]],Tabella118[[composizione concatenata]:[Euro/Mq]],2,FALSE),VLOOKUP(H602,digitale[[ONDA]:[Fornitore]],3,FALSE))</f>
        <v/>
      </c>
      <c r="G602" s="484" t="n"/>
      <c r="H602" s="484">
        <f>IF(MID(A602, FIND("/", A602, FIND("/", A602) + 1) + 1, 2)="A","C",MID(A602, FIND("/", A602, FIND("/", A602) + 1) + 1, 2))</f>
        <v/>
      </c>
      <c r="I602" s="486">
        <f>TRIM(H602)</f>
        <v/>
      </c>
    </row>
    <row r="603" ht="15" customHeight="1">
      <c r="A603" s="487" t="inlineStr">
        <is>
          <t>LASTRE PC EXOLON GP TR 3050x2050x2</t>
        </is>
      </c>
      <c r="B603" s="484">
        <f>+_xlfn.CONCAT(Tabella118[[#This Row],[Composizione]], " - ", Tabella118[[#This Row],[Fornitore]])</f>
        <v/>
      </c>
      <c r="C603" s="951" t="n">
        <v>10.83</v>
      </c>
      <c r="D603" s="484" t="inlineStr">
        <is>
          <t>Apa Group</t>
        </is>
      </c>
      <c r="E603" s="484">
        <f>IFERROR(IF(H603="BC",Tabella118[[#This Row],[composizione concatenata]],IF(H603="C",Tabella118[[#This Row],[composizione concatenata]],VLOOKUP(I603,$K$2:$O$7,5,FALSE))),+Tabella118[[#This Row],[composizione concatenata]])</f>
        <v/>
      </c>
      <c r="F603" s="943">
        <f>+_xlfn.IFNA(VLOOKUP(Tabella118[[#This Row],[Composizione alternativa per digitale]],Tabella118[[composizione concatenata]:[Euro/Mq]],2,FALSE),VLOOKUP(H603,digitale[[ONDA]:[Fornitore]],3,FALSE))</f>
        <v/>
      </c>
      <c r="G603" s="484" t="n"/>
      <c r="H603" s="484">
        <f>IF(MID(A603, FIND("/", A603, FIND("/", A603) + 1) + 1, 2)="A","C",MID(A603, FIND("/", A603, FIND("/", A603) + 1) + 1, 2))</f>
        <v/>
      </c>
      <c r="I603" s="486">
        <f>TRIM(H603)</f>
        <v/>
      </c>
    </row>
    <row r="604" ht="15" customHeight="1">
      <c r="A604" s="487" t="inlineStr">
        <is>
          <t>LASTRE PC EXOLON GP TR 3050x2050x3</t>
        </is>
      </c>
      <c r="B604" s="484">
        <f>+_xlfn.CONCAT(Tabella118[[#This Row],[Composizione]], " - ", Tabella118[[#This Row],[Fornitore]])</f>
        <v/>
      </c>
      <c r="C604" s="951" t="n">
        <v>16.25</v>
      </c>
      <c r="D604" s="484" t="inlineStr">
        <is>
          <t>Apa Group</t>
        </is>
      </c>
      <c r="E604" s="484">
        <f>IFERROR(IF(H604="BC",Tabella118[[#This Row],[composizione concatenata]],IF(H604="C",Tabella118[[#This Row],[composizione concatenata]],VLOOKUP(I604,$K$2:$O$7,5,FALSE))),+Tabella118[[#This Row],[composizione concatenata]])</f>
        <v/>
      </c>
      <c r="F604" s="943">
        <f>+_xlfn.IFNA(VLOOKUP(Tabella118[[#This Row],[Composizione alternativa per digitale]],Tabella118[[composizione concatenata]:[Euro/Mq]],2,FALSE),VLOOKUP(H604,digitale[[ONDA]:[Fornitore]],3,FALSE))</f>
        <v/>
      </c>
      <c r="G604" s="484" t="n"/>
      <c r="H604" s="484">
        <f>IF(MID(A604, FIND("/", A604, FIND("/", A604) + 1) + 1, 2)="A","C",MID(A604, FIND("/", A604, FIND("/", A604) + 1) + 1, 2))</f>
        <v/>
      </c>
      <c r="I604" s="486">
        <f>TRIM(H604)</f>
        <v/>
      </c>
    </row>
    <row r="605" ht="15" customHeight="1">
      <c r="A605" s="487" t="inlineStr">
        <is>
          <t>LASTRE PC EXOLON GP TR 3050x2050x4</t>
        </is>
      </c>
      <c r="B605" s="484">
        <f>+_xlfn.CONCAT(Tabella118[[#This Row],[Composizione]], " - ", Tabella118[[#This Row],[Fornitore]])</f>
        <v/>
      </c>
      <c r="C605" s="951" t="n">
        <v>21.67</v>
      </c>
      <c r="D605" s="484" t="inlineStr">
        <is>
          <t>Apa Group</t>
        </is>
      </c>
      <c r="E605" s="484">
        <f>IFERROR(IF(H605="BC",Tabella118[[#This Row],[composizione concatenata]],IF(H605="C",Tabella118[[#This Row],[composizione concatenata]],VLOOKUP(I605,$K$2:$O$7,5,FALSE))),+Tabella118[[#This Row],[composizione concatenata]])</f>
        <v/>
      </c>
      <c r="F605" s="943">
        <f>+_xlfn.IFNA(VLOOKUP(Tabella118[[#This Row],[Composizione alternativa per digitale]],Tabella118[[composizione concatenata]:[Euro/Mq]],2,FALSE),VLOOKUP(H605,digitale[[ONDA]:[Fornitore]],3,FALSE))</f>
        <v/>
      </c>
      <c r="G605" s="484" t="n"/>
      <c r="H605" s="484">
        <f>IF(MID(A605, FIND("/", A605, FIND("/", A605) + 1) + 1, 2)="A","C",MID(A605, FIND("/", A605, FIND("/", A605) + 1) + 1, 2))</f>
        <v/>
      </c>
      <c r="I605" s="486">
        <f>TRIM(H605)</f>
        <v/>
      </c>
    </row>
    <row r="606" ht="15" customHeight="1">
      <c r="A606" s="487" t="inlineStr">
        <is>
          <t>LASTRE PC EXOLON GP TR 3050x2050x5</t>
        </is>
      </c>
      <c r="B606" s="484">
        <f>+_xlfn.CONCAT(Tabella118[[#This Row],[Composizione]], " - ", Tabella118[[#This Row],[Fornitore]])</f>
        <v/>
      </c>
      <c r="C606" s="951" t="n">
        <v>27.05</v>
      </c>
      <c r="D606" s="484" t="inlineStr">
        <is>
          <t>Apa Group</t>
        </is>
      </c>
      <c r="E606" s="484">
        <f>IFERROR(IF(H606="BC",Tabella118[[#This Row],[composizione concatenata]],IF(H606="C",Tabella118[[#This Row],[composizione concatenata]],VLOOKUP(I606,$K$2:$O$7,5,FALSE))),+Tabella118[[#This Row],[composizione concatenata]])</f>
        <v/>
      </c>
      <c r="F606" s="943">
        <f>+_xlfn.IFNA(VLOOKUP(Tabella118[[#This Row],[Composizione alternativa per digitale]],Tabella118[[composizione concatenata]:[Euro/Mq]],2,FALSE),VLOOKUP(H606,digitale[[ONDA]:[Fornitore]],3,FALSE))</f>
        <v/>
      </c>
      <c r="G606" s="484" t="n"/>
      <c r="H606" s="484">
        <f>IF(MID(A606, FIND("/", A606, FIND("/", A606) + 1) + 1, 2)="A","C",MID(A606, FIND("/", A606, FIND("/", A606) + 1) + 1, 2))</f>
        <v/>
      </c>
      <c r="I606" s="486">
        <f>TRIM(H606)</f>
        <v/>
      </c>
    </row>
    <row r="607" ht="15" customHeight="1">
      <c r="A607" s="487" t="inlineStr">
        <is>
          <t>LASTRE PC EXOLON GP TR 3050x2050x6</t>
        </is>
      </c>
      <c r="B607" s="484">
        <f>+_xlfn.CONCAT(Tabella118[[#This Row],[Composizione]], " - ", Tabella118[[#This Row],[Fornitore]])</f>
        <v/>
      </c>
      <c r="C607" s="951" t="n">
        <v>32.47</v>
      </c>
      <c r="D607" s="484" t="inlineStr">
        <is>
          <t>Apa Group</t>
        </is>
      </c>
      <c r="E607" s="484">
        <f>IFERROR(IF(H607="BC",Tabella118[[#This Row],[composizione concatenata]],IF(H607="C",Tabella118[[#This Row],[composizione concatenata]],VLOOKUP(I607,$K$2:$O$7,5,FALSE))),+Tabella118[[#This Row],[composizione concatenata]])</f>
        <v/>
      </c>
      <c r="F607" s="943">
        <f>+_xlfn.IFNA(VLOOKUP(Tabella118[[#This Row],[Composizione alternativa per digitale]],Tabella118[[composizione concatenata]:[Euro/Mq]],2,FALSE),VLOOKUP(H607,digitale[[ONDA]:[Fornitore]],3,FALSE))</f>
        <v/>
      </c>
      <c r="G607" s="484" t="n"/>
      <c r="H607" s="484">
        <f>IF(MID(A607, FIND("/", A607, FIND("/", A607) + 1) + 1, 2)="A","C",MID(A607, FIND("/", A607, FIND("/", A607) + 1) + 1, 2))</f>
        <v/>
      </c>
      <c r="I607" s="486">
        <f>TRIM(H607)</f>
        <v/>
      </c>
    </row>
    <row r="608" ht="15" customHeight="1">
      <c r="A608" s="487" t="inlineStr">
        <is>
          <t>LASTRE PC EXOLON GP TR 3050x2050x8</t>
        </is>
      </c>
      <c r="B608" s="484">
        <f>+_xlfn.CONCAT(Tabella118[[#This Row],[Composizione]], " - ", Tabella118[[#This Row],[Fornitore]])</f>
        <v/>
      </c>
      <c r="C608" s="951" t="n">
        <v>43.3</v>
      </c>
      <c r="D608" s="484" t="inlineStr">
        <is>
          <t>Apa Group</t>
        </is>
      </c>
      <c r="E608" s="484">
        <f>IFERROR(IF(H608="BC",Tabella118[[#This Row],[composizione concatenata]],IF(H608="C",Tabella118[[#This Row],[composizione concatenata]],VLOOKUP(I608,$K$2:$O$7,5,FALSE))),+Tabella118[[#This Row],[composizione concatenata]])</f>
        <v/>
      </c>
      <c r="F608" s="943">
        <f>+_xlfn.IFNA(VLOOKUP(Tabella118[[#This Row],[Composizione alternativa per digitale]],Tabella118[[composizione concatenata]:[Euro/Mq]],2,FALSE),VLOOKUP(H608,digitale[[ONDA]:[Fornitore]],3,FALSE))</f>
        <v/>
      </c>
      <c r="G608" s="484" t="n"/>
      <c r="H608" s="484">
        <f>IF(MID(A608, FIND("/", A608, FIND("/", A608) + 1) + 1, 2)="A","C",MID(A608, FIND("/", A608, FIND("/", A608) + 1) + 1, 2))</f>
        <v/>
      </c>
      <c r="I608" s="486">
        <f>TRIM(H608)</f>
        <v/>
      </c>
    </row>
    <row r="609" ht="15" customHeight="1">
      <c r="A609" s="487" t="inlineStr">
        <is>
          <t>LASTRE PC EXOLON UV BL2550 3050x2050x4</t>
        </is>
      </c>
      <c r="B609" s="484">
        <f>+_xlfn.CONCAT(Tabella118[[#This Row],[Composizione]], " - ", Tabella118[[#This Row],[Fornitore]])</f>
        <v/>
      </c>
      <c r="C609" s="951" t="n">
        <v>25.03</v>
      </c>
      <c r="D609" s="484" t="inlineStr">
        <is>
          <t>Apa Group</t>
        </is>
      </c>
      <c r="E609" s="484">
        <f>IFERROR(IF(H609="BC",Tabella118[[#This Row],[composizione concatenata]],IF(H609="C",Tabella118[[#This Row],[composizione concatenata]],VLOOKUP(I609,$K$2:$O$7,5,FALSE))),+Tabella118[[#This Row],[composizione concatenata]])</f>
        <v/>
      </c>
      <c r="F609" s="943">
        <f>+_xlfn.IFNA(VLOOKUP(Tabella118[[#This Row],[Composizione alternativa per digitale]],Tabella118[[composizione concatenata]:[Euro/Mq]],2,FALSE),VLOOKUP(H609,digitale[[ONDA]:[Fornitore]],3,FALSE))</f>
        <v/>
      </c>
      <c r="G609" s="484" t="n"/>
      <c r="H609" s="484">
        <f>IF(MID(A609, FIND("/", A609, FIND("/", A609) + 1) + 1, 2)="A","C",MID(A609, FIND("/", A609, FIND("/", A609) + 1) + 1, 2))</f>
        <v/>
      </c>
      <c r="I609" s="486">
        <f>TRIM(H609)</f>
        <v/>
      </c>
    </row>
    <row r="610" ht="15" customHeight="1">
      <c r="A610" s="487" t="inlineStr">
        <is>
          <t>LASTRE PC EXOLON UV BR 3050x2050x3</t>
        </is>
      </c>
      <c r="B610" s="484">
        <f>+_xlfn.CONCAT(Tabella118[[#This Row],[Composizione]], " - ", Tabella118[[#This Row],[Fornitore]])</f>
        <v/>
      </c>
      <c r="C610" s="951" t="n">
        <v>17.92</v>
      </c>
      <c r="D610" s="484" t="inlineStr">
        <is>
          <t>Apa Group</t>
        </is>
      </c>
      <c r="E610" s="484">
        <f>IFERROR(IF(H610="BC",Tabella118[[#This Row],[composizione concatenata]],IF(H610="C",Tabella118[[#This Row],[composizione concatenata]],VLOOKUP(I610,$K$2:$O$7,5,FALSE))),+Tabella118[[#This Row],[composizione concatenata]])</f>
        <v/>
      </c>
      <c r="F610" s="943">
        <f>+_xlfn.IFNA(VLOOKUP(Tabella118[[#This Row],[Composizione alternativa per digitale]],Tabella118[[composizione concatenata]:[Euro/Mq]],2,FALSE),VLOOKUP(H610,digitale[[ONDA]:[Fornitore]],3,FALSE))</f>
        <v/>
      </c>
      <c r="G610" s="484" t="n"/>
      <c r="H610" s="484">
        <f>IF(MID(A610, FIND("/", A610, FIND("/", A610) + 1) + 1, 2)="A","C",MID(A610, FIND("/", A610, FIND("/", A610) + 1) + 1, 2))</f>
        <v/>
      </c>
      <c r="I610" s="486">
        <f>TRIM(H610)</f>
        <v/>
      </c>
    </row>
    <row r="611" ht="15" customHeight="1">
      <c r="A611" s="487" t="inlineStr">
        <is>
          <t>LASTRE PC EXOLON UV BR 3050x2050x4</t>
        </is>
      </c>
      <c r="B611" s="484">
        <f>+_xlfn.CONCAT(Tabella118[[#This Row],[Composizione]], " - ", Tabella118[[#This Row],[Fornitore]])</f>
        <v/>
      </c>
      <c r="C611" s="951" t="n">
        <v>23.89</v>
      </c>
      <c r="D611" s="484" t="inlineStr">
        <is>
          <t>Apa Group</t>
        </is>
      </c>
      <c r="E611" s="484">
        <f>IFERROR(IF(H611="BC",Tabella118[[#This Row],[composizione concatenata]],IF(H611="C",Tabella118[[#This Row],[composizione concatenata]],VLOOKUP(I611,$K$2:$O$7,5,FALSE))),+Tabella118[[#This Row],[composizione concatenata]])</f>
        <v/>
      </c>
      <c r="F611" s="943">
        <f>+_xlfn.IFNA(VLOOKUP(Tabella118[[#This Row],[Composizione alternativa per digitale]],Tabella118[[composizione concatenata]:[Euro/Mq]],2,FALSE),VLOOKUP(H611,digitale[[ONDA]:[Fornitore]],3,FALSE))</f>
        <v/>
      </c>
      <c r="G611" s="484" t="n"/>
      <c r="H611" s="484">
        <f>IF(MID(A611, FIND("/", A611, FIND("/", A611) + 1) + 1, 2)="A","C",MID(A611, FIND("/", A611, FIND("/", A611) + 1) + 1, 2))</f>
        <v/>
      </c>
      <c r="I611" s="486">
        <f>TRIM(H611)</f>
        <v/>
      </c>
    </row>
    <row r="612" ht="15" customHeight="1">
      <c r="A612" s="487" t="inlineStr">
        <is>
          <t>LASTRE PC EXOLON UV BR 3050x2050x5</t>
        </is>
      </c>
      <c r="B612" s="484">
        <f>+_xlfn.CONCAT(Tabella118[[#This Row],[Composizione]], " - ", Tabella118[[#This Row],[Fornitore]])</f>
        <v/>
      </c>
      <c r="C612" s="951" t="n">
        <v>29.82</v>
      </c>
      <c r="D612" s="484" t="inlineStr">
        <is>
          <t>Apa Group</t>
        </is>
      </c>
      <c r="E612" s="484">
        <f>IFERROR(IF(H612="BC",Tabella118[[#This Row],[composizione concatenata]],IF(H612="C",Tabella118[[#This Row],[composizione concatenata]],VLOOKUP(I612,$K$2:$O$7,5,FALSE))),+Tabella118[[#This Row],[composizione concatenata]])</f>
        <v/>
      </c>
      <c r="F612" s="943">
        <f>+_xlfn.IFNA(VLOOKUP(Tabella118[[#This Row],[Composizione alternativa per digitale]],Tabella118[[composizione concatenata]:[Euro/Mq]],2,FALSE),VLOOKUP(H612,digitale[[ONDA]:[Fornitore]],3,FALSE))</f>
        <v/>
      </c>
      <c r="G612" s="484" t="n"/>
      <c r="H612" s="484">
        <f>IF(MID(A612, FIND("/", A612, FIND("/", A612) + 1) + 1, 2)="A","C",MID(A612, FIND("/", A612, FIND("/", A612) + 1) + 1, 2))</f>
        <v/>
      </c>
      <c r="I612" s="486">
        <f>TRIM(H612)</f>
        <v/>
      </c>
    </row>
    <row r="613" ht="15" customHeight="1">
      <c r="A613" s="487" t="inlineStr">
        <is>
          <t>LASTRE PC EXOLON UV BR 3050x2050x6</t>
        </is>
      </c>
      <c r="B613" s="484">
        <f>+_xlfn.CONCAT(Tabella118[[#This Row],[Composizione]], " - ", Tabella118[[#This Row],[Fornitore]])</f>
        <v/>
      </c>
      <c r="C613" s="951" t="n">
        <v>35.79</v>
      </c>
      <c r="D613" s="484" t="inlineStr">
        <is>
          <t>Apa Group</t>
        </is>
      </c>
      <c r="E613" s="484">
        <f>IFERROR(IF(H613="BC",Tabella118[[#This Row],[composizione concatenata]],IF(H613="C",Tabella118[[#This Row],[composizione concatenata]],VLOOKUP(I613,$K$2:$O$7,5,FALSE))),+Tabella118[[#This Row],[composizione concatenata]])</f>
        <v/>
      </c>
      <c r="F613" s="943">
        <f>+_xlfn.IFNA(VLOOKUP(Tabella118[[#This Row],[Composizione alternativa per digitale]],Tabella118[[composizione concatenata]:[Euro/Mq]],2,FALSE),VLOOKUP(H613,digitale[[ONDA]:[Fornitore]],3,FALSE))</f>
        <v/>
      </c>
      <c r="G613" s="484" t="n"/>
      <c r="H613" s="484">
        <f>IF(MID(A613, FIND("/", A613, FIND("/", A613) + 1) + 1, 2)="A","C",MID(A613, FIND("/", A613, FIND("/", A613) + 1) + 1, 2))</f>
        <v/>
      </c>
      <c r="I613" s="486">
        <f>TRIM(H613)</f>
        <v/>
      </c>
    </row>
    <row r="614" ht="15" customHeight="1">
      <c r="A614" s="487" t="inlineStr">
        <is>
          <t>LASTRE PC EXOLON UV BR 3050x2050x8</t>
        </is>
      </c>
      <c r="B614" s="484">
        <f>+_xlfn.CONCAT(Tabella118[[#This Row],[Composizione]], " - ", Tabella118[[#This Row],[Fornitore]])</f>
        <v/>
      </c>
      <c r="C614" s="951" t="n">
        <v>47.74</v>
      </c>
      <c r="D614" s="484" t="inlineStr">
        <is>
          <t>Apa Group</t>
        </is>
      </c>
      <c r="E614" s="484">
        <f>IFERROR(IF(H614="BC",Tabella118[[#This Row],[composizione concatenata]],IF(H614="C",Tabella118[[#This Row],[composizione concatenata]],VLOOKUP(I614,$K$2:$O$7,5,FALSE))),+Tabella118[[#This Row],[composizione concatenata]])</f>
        <v/>
      </c>
      <c r="F614" s="943">
        <f>+_xlfn.IFNA(VLOOKUP(Tabella118[[#This Row],[Composizione alternativa per digitale]],Tabella118[[composizione concatenata]:[Euro/Mq]],2,FALSE),VLOOKUP(H614,digitale[[ONDA]:[Fornitore]],3,FALSE))</f>
        <v/>
      </c>
      <c r="G614" s="484" t="n"/>
      <c r="H614" s="484">
        <f>IF(MID(A614, FIND("/", A614, FIND("/", A614) + 1) + 1, 2)="A","C",MID(A614, FIND("/", A614, FIND("/", A614) + 1) + 1, 2))</f>
        <v/>
      </c>
      <c r="I614" s="486">
        <f>TRIM(H614)</f>
        <v/>
      </c>
    </row>
    <row r="615" ht="15" customHeight="1">
      <c r="A615" s="487" t="inlineStr">
        <is>
          <t>LASTRE PC EXOLON UV GR2760 3050x2050x3</t>
        </is>
      </c>
      <c r="B615" s="484">
        <f>+_xlfn.CONCAT(Tabella118[[#This Row],[Composizione]], " - ", Tabella118[[#This Row],[Fornitore]])</f>
        <v/>
      </c>
      <c r="C615" s="951" t="n">
        <v>17.92</v>
      </c>
      <c r="D615" s="484" t="inlineStr">
        <is>
          <t>Apa Group</t>
        </is>
      </c>
      <c r="E615" s="484">
        <f>IFERROR(IF(H615="BC",Tabella118[[#This Row],[composizione concatenata]],IF(H615="C",Tabella118[[#This Row],[composizione concatenata]],VLOOKUP(I615,$K$2:$O$7,5,FALSE))),+Tabella118[[#This Row],[composizione concatenata]])</f>
        <v/>
      </c>
      <c r="F615" s="943">
        <f>+_xlfn.IFNA(VLOOKUP(Tabella118[[#This Row],[Composizione alternativa per digitale]],Tabella118[[composizione concatenata]:[Euro/Mq]],2,FALSE),VLOOKUP(H615,digitale[[ONDA]:[Fornitore]],3,FALSE))</f>
        <v/>
      </c>
      <c r="G615" s="484" t="n"/>
      <c r="H615" s="484">
        <f>IF(MID(A615, FIND("/", A615, FIND("/", A615) + 1) + 1, 2)="A","C",MID(A615, FIND("/", A615, FIND("/", A615) + 1) + 1, 2))</f>
        <v/>
      </c>
      <c r="I615" s="486">
        <f>TRIM(H615)</f>
        <v/>
      </c>
    </row>
    <row r="616" ht="15" customHeight="1">
      <c r="A616" s="487" t="inlineStr">
        <is>
          <t>LASTRE PC EXOLON UV GR2760 3050x2050x4</t>
        </is>
      </c>
      <c r="B616" s="484">
        <f>+_xlfn.CONCAT(Tabella118[[#This Row],[Composizione]], " - ", Tabella118[[#This Row],[Fornitore]])</f>
        <v/>
      </c>
      <c r="C616" s="951" t="n">
        <v>23.89</v>
      </c>
      <c r="D616" s="484" t="inlineStr">
        <is>
          <t>Apa Group</t>
        </is>
      </c>
      <c r="E616" s="484">
        <f>IFERROR(IF(H616="BC",Tabella118[[#This Row],[composizione concatenata]],IF(H616="C",Tabella118[[#This Row],[composizione concatenata]],VLOOKUP(I616,$K$2:$O$7,5,FALSE))),+Tabella118[[#This Row],[composizione concatenata]])</f>
        <v/>
      </c>
      <c r="F616" s="943">
        <f>+_xlfn.IFNA(VLOOKUP(Tabella118[[#This Row],[Composizione alternativa per digitale]],Tabella118[[composizione concatenata]:[Euro/Mq]],2,FALSE),VLOOKUP(H616,digitale[[ONDA]:[Fornitore]],3,FALSE))</f>
        <v/>
      </c>
      <c r="G616" s="484" t="n"/>
      <c r="H616" s="484">
        <f>IF(MID(A616, FIND("/", A616, FIND("/", A616) + 1) + 1, 2)="A","C",MID(A616, FIND("/", A616, FIND("/", A616) + 1) + 1, 2))</f>
        <v/>
      </c>
      <c r="I616" s="486">
        <f>TRIM(H616)</f>
        <v/>
      </c>
    </row>
    <row r="617" ht="15" customHeight="1">
      <c r="A617" s="487" t="inlineStr">
        <is>
          <t>LASTRE PC EXOLON UV GR2760 3050x2050x5</t>
        </is>
      </c>
      <c r="B617" s="484">
        <f>+_xlfn.CONCAT(Tabella118[[#This Row],[Composizione]], " - ", Tabella118[[#This Row],[Fornitore]])</f>
        <v/>
      </c>
      <c r="C617" s="951" t="n">
        <v>29.82</v>
      </c>
      <c r="D617" s="484" t="inlineStr">
        <is>
          <t>Apa Group</t>
        </is>
      </c>
      <c r="E617" s="484">
        <f>IFERROR(IF(H617="BC",Tabella118[[#This Row],[composizione concatenata]],IF(H617="C",Tabella118[[#This Row],[composizione concatenata]],VLOOKUP(I617,$K$2:$O$7,5,FALSE))),+Tabella118[[#This Row],[composizione concatenata]])</f>
        <v/>
      </c>
      <c r="F617" s="943">
        <f>+_xlfn.IFNA(VLOOKUP(Tabella118[[#This Row],[Composizione alternativa per digitale]],Tabella118[[composizione concatenata]:[Euro/Mq]],2,FALSE),VLOOKUP(H617,digitale[[ONDA]:[Fornitore]],3,FALSE))</f>
        <v/>
      </c>
      <c r="G617" s="484" t="n"/>
      <c r="H617" s="484">
        <f>IF(MID(A617, FIND("/", A617, FIND("/", A617) + 1) + 1, 2)="A","C",MID(A617, FIND("/", A617, FIND("/", A617) + 1) + 1, 2))</f>
        <v/>
      </c>
      <c r="I617" s="486">
        <f>TRIM(H617)</f>
        <v/>
      </c>
    </row>
    <row r="618" ht="15" customHeight="1">
      <c r="A618" s="487" t="inlineStr">
        <is>
          <t>LASTRE PC EXOLON UV OP 2150 3055x2050x10</t>
        </is>
      </c>
      <c r="B618" s="484">
        <f>+_xlfn.CONCAT(Tabella118[[#This Row],[Composizione]], " - ", Tabella118[[#This Row],[Fornitore]])</f>
        <v/>
      </c>
      <c r="C618" s="951" t="n">
        <v>59.65</v>
      </c>
      <c r="D618" s="484" t="inlineStr">
        <is>
          <t>Apa Group</t>
        </is>
      </c>
      <c r="E618" s="484">
        <f>IFERROR(IF(H618="BC",Tabella118[[#This Row],[composizione concatenata]],IF(H618="C",Tabella118[[#This Row],[composizione concatenata]],VLOOKUP(I618,$K$2:$O$7,5,FALSE))),+Tabella118[[#This Row],[composizione concatenata]])</f>
        <v/>
      </c>
      <c r="F618" s="943">
        <f>+_xlfn.IFNA(VLOOKUP(Tabella118[[#This Row],[Composizione alternativa per digitale]],Tabella118[[composizione concatenata]:[Euro/Mq]],2,FALSE),VLOOKUP(H618,digitale[[ONDA]:[Fornitore]],3,FALSE))</f>
        <v/>
      </c>
      <c r="G618" s="484" t="n"/>
      <c r="H618" s="484">
        <f>IF(MID(A618, FIND("/", A618, FIND("/", A618) + 1) + 1, 2)="A","C",MID(A618, FIND("/", A618, FIND("/", A618) + 1) + 1, 2))</f>
        <v/>
      </c>
      <c r="I618" s="486">
        <f>TRIM(H618)</f>
        <v/>
      </c>
    </row>
    <row r="619" ht="15" customHeight="1">
      <c r="A619" s="487" t="inlineStr">
        <is>
          <t>LASTRE PC EXOLON UV OP2150 3050x2050x2</t>
        </is>
      </c>
      <c r="B619" s="484">
        <f>+_xlfn.CONCAT(Tabella118[[#This Row],[Composizione]], " - ", Tabella118[[#This Row],[Fornitore]])</f>
        <v/>
      </c>
      <c r="C619" s="951" t="n">
        <v>11.94</v>
      </c>
      <c r="D619" s="484" t="inlineStr">
        <is>
          <t>Apa Group</t>
        </is>
      </c>
      <c r="E619" s="484">
        <f>IFERROR(IF(H619="BC",Tabella118[[#This Row],[composizione concatenata]],IF(H619="C",Tabella118[[#This Row],[composizione concatenata]],VLOOKUP(I619,$K$2:$O$7,5,FALSE))),+Tabella118[[#This Row],[composizione concatenata]])</f>
        <v/>
      </c>
      <c r="F619" s="943">
        <f>+_xlfn.IFNA(VLOOKUP(Tabella118[[#This Row],[Composizione alternativa per digitale]],Tabella118[[composizione concatenata]:[Euro/Mq]],2,FALSE),VLOOKUP(H619,digitale[[ONDA]:[Fornitore]],3,FALSE))</f>
        <v/>
      </c>
      <c r="G619" s="484" t="n"/>
      <c r="H619" s="484">
        <f>IF(MID(A619, FIND("/", A619, FIND("/", A619) + 1) + 1, 2)="A","C",MID(A619, FIND("/", A619, FIND("/", A619) + 1) + 1, 2))</f>
        <v/>
      </c>
      <c r="I619" s="486">
        <f>TRIM(H619)</f>
        <v/>
      </c>
    </row>
    <row r="620" ht="15" customHeight="1">
      <c r="A620" s="487" t="inlineStr">
        <is>
          <t>LASTRE PC EXOLON UV OP2150 3050x2050x3</t>
        </is>
      </c>
      <c r="B620" s="484">
        <f>+_xlfn.CONCAT(Tabella118[[#This Row],[Composizione]], " - ", Tabella118[[#This Row],[Fornitore]])</f>
        <v/>
      </c>
      <c r="C620" s="951" t="n">
        <v>17.92</v>
      </c>
      <c r="D620" s="484" t="inlineStr">
        <is>
          <t>Apa Group</t>
        </is>
      </c>
      <c r="E620" s="484">
        <f>IFERROR(IF(H620="BC",Tabella118[[#This Row],[composizione concatenata]],IF(H620="C",Tabella118[[#This Row],[composizione concatenata]],VLOOKUP(I620,$K$2:$O$7,5,FALSE))),+Tabella118[[#This Row],[composizione concatenata]])</f>
        <v/>
      </c>
      <c r="F620" s="943">
        <f>+_xlfn.IFNA(VLOOKUP(Tabella118[[#This Row],[Composizione alternativa per digitale]],Tabella118[[composizione concatenata]:[Euro/Mq]],2,FALSE),VLOOKUP(H620,digitale[[ONDA]:[Fornitore]],3,FALSE))</f>
        <v/>
      </c>
      <c r="G620" s="484" t="n"/>
      <c r="H620" s="484">
        <f>IF(MID(A620, FIND("/", A620, FIND("/", A620) + 1) + 1, 2)="A","C",MID(A620, FIND("/", A620, FIND("/", A620) + 1) + 1, 2))</f>
        <v/>
      </c>
      <c r="I620" s="486">
        <f>TRIM(H620)</f>
        <v/>
      </c>
    </row>
    <row r="621" ht="15" customHeight="1">
      <c r="A621" s="487" t="inlineStr">
        <is>
          <t>LASTRE PC EXOLON UV OP2150 3050x2050x4</t>
        </is>
      </c>
      <c r="B621" s="484">
        <f>+_xlfn.CONCAT(Tabella118[[#This Row],[Composizione]], " - ", Tabella118[[#This Row],[Fornitore]])</f>
        <v/>
      </c>
      <c r="C621" s="951" t="n">
        <v>23.89</v>
      </c>
      <c r="D621" s="484" t="inlineStr">
        <is>
          <t>Apa Group</t>
        </is>
      </c>
      <c r="E621" s="484">
        <f>IFERROR(IF(H621="BC",Tabella118[[#This Row],[composizione concatenata]],IF(H621="C",Tabella118[[#This Row],[composizione concatenata]],VLOOKUP(I621,$K$2:$O$7,5,FALSE))),+Tabella118[[#This Row],[composizione concatenata]])</f>
        <v/>
      </c>
      <c r="F621" s="943">
        <f>+_xlfn.IFNA(VLOOKUP(Tabella118[[#This Row],[Composizione alternativa per digitale]],Tabella118[[composizione concatenata]:[Euro/Mq]],2,FALSE),VLOOKUP(H621,digitale[[ONDA]:[Fornitore]],3,FALSE))</f>
        <v/>
      </c>
      <c r="G621" s="484" t="n"/>
      <c r="H621" s="484">
        <f>IF(MID(A621, FIND("/", A621, FIND("/", A621) + 1) + 1, 2)="A","C",MID(A621, FIND("/", A621, FIND("/", A621) + 1) + 1, 2))</f>
        <v/>
      </c>
      <c r="I621" s="486">
        <f>TRIM(H621)</f>
        <v/>
      </c>
    </row>
    <row r="622" ht="15" customHeight="1">
      <c r="A622" s="487" t="inlineStr">
        <is>
          <t>LASTRE PC EXOLON UV OP2150 3050x2050x5</t>
        </is>
      </c>
      <c r="B622" s="484">
        <f>+_xlfn.CONCAT(Tabella118[[#This Row],[Composizione]], " - ", Tabella118[[#This Row],[Fornitore]])</f>
        <v/>
      </c>
      <c r="C622" s="951" t="n">
        <v>29.82</v>
      </c>
      <c r="D622" s="484" t="inlineStr">
        <is>
          <t>Apa Group</t>
        </is>
      </c>
      <c r="E622" s="484">
        <f>IFERROR(IF(H622="BC",Tabella118[[#This Row],[composizione concatenata]],IF(H622="C",Tabella118[[#This Row],[composizione concatenata]],VLOOKUP(I622,$K$2:$O$7,5,FALSE))),+Tabella118[[#This Row],[composizione concatenata]])</f>
        <v/>
      </c>
      <c r="F622" s="943">
        <f>+_xlfn.IFNA(VLOOKUP(Tabella118[[#This Row],[Composizione alternativa per digitale]],Tabella118[[composizione concatenata]:[Euro/Mq]],2,FALSE),VLOOKUP(H622,digitale[[ONDA]:[Fornitore]],3,FALSE))</f>
        <v/>
      </c>
      <c r="G622" s="484" t="n"/>
      <c r="H622" s="484">
        <f>IF(MID(A622, FIND("/", A622, FIND("/", A622) + 1) + 1, 2)="A","C",MID(A622, FIND("/", A622, FIND("/", A622) + 1) + 1, 2))</f>
        <v/>
      </c>
      <c r="I622" s="486">
        <f>TRIM(H622)</f>
        <v/>
      </c>
    </row>
    <row r="623" ht="15" customHeight="1">
      <c r="A623" s="487" t="inlineStr">
        <is>
          <t>LASTRE PC EXOLON UV OP2150 3050x2050x6</t>
        </is>
      </c>
      <c r="B623" s="484">
        <f>+_xlfn.CONCAT(Tabella118[[#This Row],[Composizione]], " - ", Tabella118[[#This Row],[Fornitore]])</f>
        <v/>
      </c>
      <c r="C623" s="951" t="n">
        <v>35.79</v>
      </c>
      <c r="D623" s="484" t="inlineStr">
        <is>
          <t>Apa Group</t>
        </is>
      </c>
      <c r="E623" s="484">
        <f>IFERROR(IF(H623="BC",Tabella118[[#This Row],[composizione concatenata]],IF(H623="C",Tabella118[[#This Row],[composizione concatenata]],VLOOKUP(I623,$K$2:$O$7,5,FALSE))),+Tabella118[[#This Row],[composizione concatenata]])</f>
        <v/>
      </c>
      <c r="F623" s="943">
        <f>+_xlfn.IFNA(VLOOKUP(Tabella118[[#This Row],[Composizione alternativa per digitale]],Tabella118[[composizione concatenata]:[Euro/Mq]],2,FALSE),VLOOKUP(H623,digitale[[ONDA]:[Fornitore]],3,FALSE))</f>
        <v/>
      </c>
      <c r="G623" s="484" t="n"/>
      <c r="H623" s="484">
        <f>IF(MID(A623, FIND("/", A623, FIND("/", A623) + 1) + 1, 2)="A","C",MID(A623, FIND("/", A623, FIND("/", A623) + 1) + 1, 2))</f>
        <v/>
      </c>
      <c r="I623" s="486">
        <f>TRIM(H623)</f>
        <v/>
      </c>
    </row>
    <row r="624" ht="15" customHeight="1">
      <c r="A624" s="487" t="inlineStr">
        <is>
          <t>LASTRE PC EXOLON UV OP2150 3055x2050x8</t>
        </is>
      </c>
      <c r="B624" s="484">
        <f>+_xlfn.CONCAT(Tabella118[[#This Row],[Composizione]], " - ", Tabella118[[#This Row],[Fornitore]])</f>
        <v/>
      </c>
      <c r="C624" s="951" t="n">
        <v>47.74</v>
      </c>
      <c r="D624" s="484" t="inlineStr">
        <is>
          <t>Apa Group</t>
        </is>
      </c>
      <c r="E624" s="484">
        <f>IFERROR(IF(H624="BC",Tabella118[[#This Row],[composizione concatenata]],IF(H624="C",Tabella118[[#This Row],[composizione concatenata]],VLOOKUP(I624,$K$2:$O$7,5,FALSE))),+Tabella118[[#This Row],[composizione concatenata]])</f>
        <v/>
      </c>
      <c r="F624" s="943">
        <f>+_xlfn.IFNA(VLOOKUP(Tabella118[[#This Row],[Composizione alternativa per digitale]],Tabella118[[composizione concatenata]:[Euro/Mq]],2,FALSE),VLOOKUP(H624,digitale[[ONDA]:[Fornitore]],3,FALSE))</f>
        <v/>
      </c>
      <c r="G624" s="484" t="n"/>
      <c r="H624" s="484">
        <f>IF(MID(A624, FIND("/", A624, FIND("/", A624) + 1) + 1, 2)="A","C",MID(A624, FIND("/", A624, FIND("/", A624) + 1) + 1, 2))</f>
        <v/>
      </c>
      <c r="I624" s="486">
        <f>TRIM(H624)</f>
        <v/>
      </c>
    </row>
    <row r="625" ht="15" customHeight="1">
      <c r="A625" s="487" t="inlineStr">
        <is>
          <t>LASTRE PC EXOLON UV TR 3050x2050x10</t>
        </is>
      </c>
      <c r="B625" s="484">
        <f>+_xlfn.CONCAT(Tabella118[[#This Row],[Composizione]], " - ", Tabella118[[#This Row],[Fornitore]])</f>
        <v/>
      </c>
      <c r="C625" s="951" t="n">
        <v>56.81</v>
      </c>
      <c r="D625" s="484" t="inlineStr">
        <is>
          <t>Apa Group</t>
        </is>
      </c>
      <c r="E625" s="484">
        <f>IFERROR(IF(H625="BC",Tabella118[[#This Row],[composizione concatenata]],IF(H625="C",Tabella118[[#This Row],[composizione concatenata]],VLOOKUP(I625,$K$2:$O$7,5,FALSE))),+Tabella118[[#This Row],[composizione concatenata]])</f>
        <v/>
      </c>
      <c r="F625" s="943">
        <f>+_xlfn.IFNA(VLOOKUP(Tabella118[[#This Row],[Composizione alternativa per digitale]],Tabella118[[composizione concatenata]:[Euro/Mq]],2,FALSE),VLOOKUP(H625,digitale[[ONDA]:[Fornitore]],3,FALSE))</f>
        <v/>
      </c>
      <c r="G625" s="484" t="n"/>
      <c r="H625" s="484">
        <f>IF(MID(A625, FIND("/", A625, FIND("/", A625) + 1) + 1, 2)="A","C",MID(A625, FIND("/", A625, FIND("/", A625) + 1) + 1, 2))</f>
        <v/>
      </c>
      <c r="I625" s="486">
        <f>TRIM(H625)</f>
        <v/>
      </c>
    </row>
    <row r="626" ht="15" customHeight="1">
      <c r="A626" s="487" t="inlineStr">
        <is>
          <t>LASTRE PC EXOLON UV TR 3050x2050x12</t>
        </is>
      </c>
      <c r="B626" s="484">
        <f>+_xlfn.CONCAT(Tabella118[[#This Row],[Composizione]], " - ", Tabella118[[#This Row],[Fornitore]])</f>
        <v/>
      </c>
      <c r="C626" s="951" t="n">
        <v>68.15000000000001</v>
      </c>
      <c r="D626" s="484" t="inlineStr">
        <is>
          <t>Apa Group</t>
        </is>
      </c>
      <c r="E626" s="484">
        <f>IFERROR(IF(H626="BC",Tabella118[[#This Row],[composizione concatenata]],IF(H626="C",Tabella118[[#This Row],[composizione concatenata]],VLOOKUP(I626,$K$2:$O$7,5,FALSE))),+Tabella118[[#This Row],[composizione concatenata]])</f>
        <v/>
      </c>
      <c r="F626" s="943">
        <f>+_xlfn.IFNA(VLOOKUP(Tabella118[[#This Row],[Composizione alternativa per digitale]],Tabella118[[composizione concatenata]:[Euro/Mq]],2,FALSE),VLOOKUP(H626,digitale[[ONDA]:[Fornitore]],3,FALSE))</f>
        <v/>
      </c>
      <c r="G626" s="484" t="n"/>
      <c r="H626" s="484">
        <f>IF(MID(A626, FIND("/", A626, FIND("/", A626) + 1) + 1, 2)="A","C",MID(A626, FIND("/", A626, FIND("/", A626) + 1) + 1, 2))</f>
        <v/>
      </c>
      <c r="I626" s="486">
        <f>TRIM(H626)</f>
        <v/>
      </c>
    </row>
    <row r="627" ht="15" customHeight="1">
      <c r="A627" s="487" t="inlineStr">
        <is>
          <t>LASTRE PC EXOLON UV TR 3050x2050x15</t>
        </is>
      </c>
      <c r="B627" s="484">
        <f>+_xlfn.CONCAT(Tabella118[[#This Row],[Composizione]], " - ", Tabella118[[#This Row],[Fornitore]])</f>
        <v/>
      </c>
      <c r="C627" s="951" t="n">
        <v>89.81</v>
      </c>
      <c r="D627" s="484" t="inlineStr">
        <is>
          <t>Apa Group</t>
        </is>
      </c>
      <c r="E627" s="484">
        <f>IFERROR(IF(H627="BC",Tabella118[[#This Row],[composizione concatenata]],IF(H627="C",Tabella118[[#This Row],[composizione concatenata]],VLOOKUP(I627,$K$2:$O$7,5,FALSE))),+Tabella118[[#This Row],[composizione concatenata]])</f>
        <v/>
      </c>
      <c r="F627" s="943">
        <f>+_xlfn.IFNA(VLOOKUP(Tabella118[[#This Row],[Composizione alternativa per digitale]],Tabella118[[composizione concatenata]:[Euro/Mq]],2,FALSE),VLOOKUP(H627,digitale[[ONDA]:[Fornitore]],3,FALSE))</f>
        <v/>
      </c>
      <c r="G627" s="484" t="n"/>
      <c r="H627" s="484">
        <f>IF(MID(A627, FIND("/", A627, FIND("/", A627) + 1) + 1, 2)="A","C",MID(A627, FIND("/", A627, FIND("/", A627) + 1) + 1, 2))</f>
        <v/>
      </c>
      <c r="I627" s="486">
        <f>TRIM(H627)</f>
        <v/>
      </c>
    </row>
    <row r="628" ht="15" customHeight="1">
      <c r="A628" s="487" t="inlineStr">
        <is>
          <t>LASTRE PC EXOLON UV TR 3050x2050x2</t>
        </is>
      </c>
      <c r="B628" s="484">
        <f>+_xlfn.CONCAT(Tabella118[[#This Row],[Composizione]], " - ", Tabella118[[#This Row],[Fornitore]])</f>
        <v/>
      </c>
      <c r="C628" s="951" t="n">
        <v>11.38</v>
      </c>
      <c r="D628" s="484" t="inlineStr">
        <is>
          <t>Apa Group</t>
        </is>
      </c>
      <c r="E628" s="484">
        <f>IFERROR(IF(H628="BC",Tabella118[[#This Row],[composizione concatenata]],IF(H628="C",Tabella118[[#This Row],[composizione concatenata]],VLOOKUP(I628,$K$2:$O$7,5,FALSE))),+Tabella118[[#This Row],[composizione concatenata]])</f>
        <v/>
      </c>
      <c r="F628" s="943">
        <f>+_xlfn.IFNA(VLOOKUP(Tabella118[[#This Row],[Composizione alternativa per digitale]],Tabella118[[composizione concatenata]:[Euro/Mq]],2,FALSE),VLOOKUP(H628,digitale[[ONDA]:[Fornitore]],3,FALSE))</f>
        <v/>
      </c>
      <c r="G628" s="484" t="n"/>
      <c r="H628" s="484">
        <f>IF(MID(A628, FIND("/", A628, FIND("/", A628) + 1) + 1, 2)="A","C",MID(A628, FIND("/", A628, FIND("/", A628) + 1) + 1, 2))</f>
        <v/>
      </c>
      <c r="I628" s="486">
        <f>TRIM(H628)</f>
        <v/>
      </c>
    </row>
    <row r="629" ht="15" customHeight="1">
      <c r="A629" s="487" t="inlineStr">
        <is>
          <t>LASTRE PC EXOLON UV TR 3050x2050x3</t>
        </is>
      </c>
      <c r="B629" s="484">
        <f>+_xlfn.CONCAT(Tabella118[[#This Row],[Composizione]], " - ", Tabella118[[#This Row],[Fornitore]])</f>
        <v/>
      </c>
      <c r="C629" s="951" t="n">
        <v>17.06</v>
      </c>
      <c r="D629" s="484" t="inlineStr">
        <is>
          <t>Apa Group</t>
        </is>
      </c>
      <c r="E629" s="484">
        <f>IFERROR(IF(H629="BC",Tabella118[[#This Row],[composizione concatenata]],IF(H629="C",Tabella118[[#This Row],[composizione concatenata]],VLOOKUP(I629,$K$2:$O$7,5,FALSE))),+Tabella118[[#This Row],[composizione concatenata]])</f>
        <v/>
      </c>
      <c r="F629" s="943">
        <f>+_xlfn.IFNA(VLOOKUP(Tabella118[[#This Row],[Composizione alternativa per digitale]],Tabella118[[composizione concatenata]:[Euro/Mq]],2,FALSE),VLOOKUP(H629,digitale[[ONDA]:[Fornitore]],3,FALSE))</f>
        <v/>
      </c>
      <c r="G629" s="484" t="n"/>
      <c r="H629" s="484">
        <f>IF(MID(A629, FIND("/", A629, FIND("/", A629) + 1) + 1, 2)="A","C",MID(A629, FIND("/", A629, FIND("/", A629) + 1) + 1, 2))</f>
        <v/>
      </c>
      <c r="I629" s="486">
        <f>TRIM(H629)</f>
        <v/>
      </c>
    </row>
    <row r="630" ht="15" customHeight="1">
      <c r="A630" s="487" t="inlineStr">
        <is>
          <t>LASTRE PC EXOLON UV TR 3050x2050x4</t>
        </is>
      </c>
      <c r="B630" s="484">
        <f>+_xlfn.CONCAT(Tabella118[[#This Row],[Composizione]], " - ", Tabella118[[#This Row],[Fornitore]])</f>
        <v/>
      </c>
      <c r="C630" s="951" t="n">
        <v>22.75</v>
      </c>
      <c r="D630" s="484" t="inlineStr">
        <is>
          <t>Apa Group</t>
        </is>
      </c>
      <c r="E630" s="484">
        <f>IFERROR(IF(H630="BC",Tabella118[[#This Row],[composizione concatenata]],IF(H630="C",Tabella118[[#This Row],[composizione concatenata]],VLOOKUP(I630,$K$2:$O$7,5,FALSE))),+Tabella118[[#This Row],[composizione concatenata]])</f>
        <v/>
      </c>
      <c r="F630" s="943">
        <f>+_xlfn.IFNA(VLOOKUP(Tabella118[[#This Row],[Composizione alternativa per digitale]],Tabella118[[composizione concatenata]:[Euro/Mq]],2,FALSE),VLOOKUP(H630,digitale[[ONDA]:[Fornitore]],3,FALSE))</f>
        <v/>
      </c>
      <c r="G630" s="484" t="n"/>
      <c r="H630" s="484">
        <f>IF(MID(A630, FIND("/", A630, FIND("/", A630) + 1) + 1, 2)="A","C",MID(A630, FIND("/", A630, FIND("/", A630) + 1) + 1, 2))</f>
        <v/>
      </c>
      <c r="I630" s="486">
        <f>TRIM(H630)</f>
        <v/>
      </c>
    </row>
    <row r="631" ht="15" customHeight="1">
      <c r="A631" s="487" t="inlineStr">
        <is>
          <t>LASTRE PC EXOLON UV TR 3050x2050x5</t>
        </is>
      </c>
      <c r="B631" s="484">
        <f>+_xlfn.CONCAT(Tabella118[[#This Row],[Composizione]], " - ", Tabella118[[#This Row],[Fornitore]])</f>
        <v/>
      </c>
      <c r="C631" s="951" t="n">
        <v>28.4</v>
      </c>
      <c r="D631" s="484" t="inlineStr">
        <is>
          <t>Apa Group</t>
        </is>
      </c>
      <c r="E631" s="484">
        <f>IFERROR(IF(H631="BC",Tabella118[[#This Row],[composizione concatenata]],IF(H631="C",Tabella118[[#This Row],[composizione concatenata]],VLOOKUP(I631,$K$2:$O$7,5,FALSE))),+Tabella118[[#This Row],[composizione concatenata]])</f>
        <v/>
      </c>
      <c r="F631" s="943">
        <f>+_xlfn.IFNA(VLOOKUP(Tabella118[[#This Row],[Composizione alternativa per digitale]],Tabella118[[composizione concatenata]:[Euro/Mq]],2,FALSE),VLOOKUP(H631,digitale[[ONDA]:[Fornitore]],3,FALSE))</f>
        <v/>
      </c>
      <c r="G631" s="484" t="n"/>
      <c r="H631" s="484">
        <f>IF(MID(A631, FIND("/", A631, FIND("/", A631) + 1) + 1, 2)="A","C",MID(A631, FIND("/", A631, FIND("/", A631) + 1) + 1, 2))</f>
        <v/>
      </c>
      <c r="I631" s="486">
        <f>TRIM(H631)</f>
        <v/>
      </c>
    </row>
    <row r="632" ht="15" customHeight="1">
      <c r="A632" s="487" t="inlineStr">
        <is>
          <t>LASTRE PC EXOLON UV TR 3050x2050x6</t>
        </is>
      </c>
      <c r="B632" s="484">
        <f>+_xlfn.CONCAT(Tabella118[[#This Row],[Composizione]], " - ", Tabella118[[#This Row],[Fornitore]])</f>
        <v/>
      </c>
      <c r="C632" s="951" t="n">
        <v>34.09</v>
      </c>
      <c r="D632" s="484" t="inlineStr">
        <is>
          <t>Apa Group</t>
        </is>
      </c>
      <c r="E632" s="484">
        <f>IFERROR(IF(H632="BC",Tabella118[[#This Row],[composizione concatenata]],IF(H632="C",Tabella118[[#This Row],[composizione concatenata]],VLOOKUP(I632,$K$2:$O$7,5,FALSE))),+Tabella118[[#This Row],[composizione concatenata]])</f>
        <v/>
      </c>
      <c r="F632" s="943">
        <f>+_xlfn.IFNA(VLOOKUP(Tabella118[[#This Row],[Composizione alternativa per digitale]],Tabella118[[composizione concatenata]:[Euro/Mq]],2,FALSE),VLOOKUP(H632,digitale[[ONDA]:[Fornitore]],3,FALSE))</f>
        <v/>
      </c>
      <c r="G632" s="484" t="n"/>
      <c r="H632" s="484">
        <f>IF(MID(A632, FIND("/", A632, FIND("/", A632) + 1) + 1, 2)="A","C",MID(A632, FIND("/", A632, FIND("/", A632) + 1) + 1, 2))</f>
        <v/>
      </c>
      <c r="I632" s="486">
        <f>TRIM(H632)</f>
        <v/>
      </c>
    </row>
    <row r="633" ht="15" customHeight="1">
      <c r="A633" s="487" t="inlineStr">
        <is>
          <t>LASTRE PC EXOLON UV TR 3050x2050x8</t>
        </is>
      </c>
      <c r="B633" s="484">
        <f>+_xlfn.CONCAT(Tabella118[[#This Row],[Composizione]], " - ", Tabella118[[#This Row],[Fornitore]])</f>
        <v/>
      </c>
      <c r="C633" s="951" t="n">
        <v>45.47</v>
      </c>
      <c r="D633" s="484" t="inlineStr">
        <is>
          <t>Apa Group</t>
        </is>
      </c>
      <c r="E633" s="484">
        <f>IFERROR(IF(H633="BC",Tabella118[[#This Row],[composizione concatenata]],IF(H633="C",Tabella118[[#This Row],[composizione concatenata]],VLOOKUP(I633,$K$2:$O$7,5,FALSE))),+Tabella118[[#This Row],[composizione concatenata]])</f>
        <v/>
      </c>
      <c r="F633" s="943">
        <f>+_xlfn.IFNA(VLOOKUP(Tabella118[[#This Row],[Composizione alternativa per digitale]],Tabella118[[composizione concatenata]:[Euro/Mq]],2,FALSE),VLOOKUP(H633,digitale[[ONDA]:[Fornitore]],3,FALSE))</f>
        <v/>
      </c>
      <c r="G633" s="484" t="n"/>
      <c r="H633" s="484">
        <f>IF(MID(A633, FIND("/", A633, FIND("/", A633) + 1) + 1, 2)="A","C",MID(A633, FIND("/", A633, FIND("/", A633) + 1) + 1, 2))</f>
        <v/>
      </c>
      <c r="I633" s="486">
        <f>TRIM(H633)</f>
        <v/>
      </c>
    </row>
    <row r="634" ht="15" customHeight="1">
      <c r="A634" s="487" t="inlineStr">
        <is>
          <t>LASTRE PC EXOLON UV VE2650 6110x2050x4</t>
        </is>
      </c>
      <c r="B634" s="484">
        <f>+_xlfn.CONCAT(Tabella118[[#This Row],[Composizione]], " - ", Tabella118[[#This Row],[Fornitore]])</f>
        <v/>
      </c>
      <c r="C634" s="951" t="n">
        <v>25.03</v>
      </c>
      <c r="D634" s="484" t="inlineStr">
        <is>
          <t>Apa Group</t>
        </is>
      </c>
      <c r="E634" s="484">
        <f>IFERROR(IF(H634="BC",Tabella118[[#This Row],[composizione concatenata]],IF(H634="C",Tabella118[[#This Row],[composizione concatenata]],VLOOKUP(I634,$K$2:$O$7,5,FALSE))),+Tabella118[[#This Row],[composizione concatenata]])</f>
        <v/>
      </c>
      <c r="F634" s="943">
        <f>+_xlfn.IFNA(VLOOKUP(Tabella118[[#This Row],[Composizione alternativa per digitale]],Tabella118[[composizione concatenata]:[Euro/Mq]],2,FALSE),VLOOKUP(H634,digitale[[ONDA]:[Fornitore]],3,FALSE))</f>
        <v/>
      </c>
      <c r="G634" s="484" t="n"/>
      <c r="H634" s="484">
        <f>IF(MID(A634, FIND("/", A634, FIND("/", A634) + 1) + 1, 2)="A","C",MID(A634, FIND("/", A634, FIND("/", A634) + 1) + 1, 2))</f>
        <v/>
      </c>
      <c r="I634" s="486">
        <f>TRIM(H634)</f>
        <v/>
      </c>
    </row>
    <row r="635" ht="15" customHeight="1">
      <c r="A635" s="487" t="inlineStr">
        <is>
          <t>LASTRE PETG VIVAK TR 2050x1250x0,5</t>
        </is>
      </c>
      <c r="B635" s="484">
        <f>+_xlfn.CONCAT(Tabella118[[#This Row],[Composizione]], " - ", Tabella118[[#This Row],[Fornitore]])</f>
        <v/>
      </c>
      <c r="C635" s="951" t="n">
        <v>2.87</v>
      </c>
      <c r="D635" s="484" t="inlineStr">
        <is>
          <t>Apa Group</t>
        </is>
      </c>
      <c r="E635" s="484">
        <f>IFERROR(IF(H635="BC",Tabella118[[#This Row],[composizione concatenata]],IF(H635="C",Tabella118[[#This Row],[composizione concatenata]],VLOOKUP(I635,$K$2:$O$7,5,FALSE))),+Tabella118[[#This Row],[composizione concatenata]])</f>
        <v/>
      </c>
      <c r="F635" s="943">
        <f>+_xlfn.IFNA(VLOOKUP(Tabella118[[#This Row],[Composizione alternativa per digitale]],Tabella118[[composizione concatenata]:[Euro/Mq]],2,FALSE),VLOOKUP(H635,digitale[[ONDA]:[Fornitore]],3,FALSE))</f>
        <v/>
      </c>
      <c r="G635" s="484" t="n"/>
      <c r="H635" s="484">
        <f>IF(MID(A635, FIND("/", A635, FIND("/", A635) + 1) + 1, 2)="A","C",MID(A635, FIND("/", A635, FIND("/", A635) + 1) + 1, 2))</f>
        <v/>
      </c>
      <c r="I635" s="486">
        <f>TRIM(H635)</f>
        <v/>
      </c>
    </row>
    <row r="636" ht="15" customHeight="1">
      <c r="A636" s="487" t="inlineStr">
        <is>
          <t>LASTRE PETG VIVAK TR 2050x1250x0,75</t>
        </is>
      </c>
      <c r="B636" s="484">
        <f>+_xlfn.CONCAT(Tabella118[[#This Row],[Composizione]], " - ", Tabella118[[#This Row],[Fornitore]])</f>
        <v/>
      </c>
      <c r="C636" s="951" t="n">
        <v>3.92</v>
      </c>
      <c r="D636" s="484" t="inlineStr">
        <is>
          <t>Apa Group</t>
        </is>
      </c>
      <c r="E636" s="484">
        <f>IFERROR(IF(H636="BC",Tabella118[[#This Row],[composizione concatenata]],IF(H636="C",Tabella118[[#This Row],[composizione concatenata]],VLOOKUP(I636,$K$2:$O$7,5,FALSE))),+Tabella118[[#This Row],[composizione concatenata]])</f>
        <v/>
      </c>
      <c r="F636" s="943">
        <f>+_xlfn.IFNA(VLOOKUP(Tabella118[[#This Row],[Composizione alternativa per digitale]],Tabella118[[composizione concatenata]:[Euro/Mq]],2,FALSE),VLOOKUP(H636,digitale[[ONDA]:[Fornitore]],3,FALSE))</f>
        <v/>
      </c>
      <c r="G636" s="484" t="n"/>
      <c r="H636" s="484">
        <f>IF(MID(A636, FIND("/", A636, FIND("/", A636) + 1) + 1, 2)="A","C",MID(A636, FIND("/", A636, FIND("/", A636) + 1) + 1, 2))</f>
        <v/>
      </c>
      <c r="I636" s="486">
        <f>TRIM(H636)</f>
        <v/>
      </c>
    </row>
    <row r="637" ht="15" customHeight="1">
      <c r="A637" s="487" t="inlineStr">
        <is>
          <t>LASTRE PETG VIVAK TR 3050x2050x1</t>
        </is>
      </c>
      <c r="B637" s="484">
        <f>+_xlfn.CONCAT(Tabella118[[#This Row],[Composizione]], " - ", Tabella118[[#This Row],[Fornitore]])</f>
        <v/>
      </c>
      <c r="C637" s="951" t="n">
        <v>5.02</v>
      </c>
      <c r="D637" s="484" t="inlineStr">
        <is>
          <t>Apa Group</t>
        </is>
      </c>
      <c r="E637" s="484">
        <f>IFERROR(IF(H637="BC",Tabella118[[#This Row],[composizione concatenata]],IF(H637="C",Tabella118[[#This Row],[composizione concatenata]],VLOOKUP(I637,$K$2:$O$7,5,FALSE))),+Tabella118[[#This Row],[composizione concatenata]])</f>
        <v/>
      </c>
      <c r="F637" s="943">
        <f>+_xlfn.IFNA(VLOOKUP(Tabella118[[#This Row],[Composizione alternativa per digitale]],Tabella118[[composizione concatenata]:[Euro/Mq]],2,FALSE),VLOOKUP(H637,digitale[[ONDA]:[Fornitore]],3,FALSE))</f>
        <v/>
      </c>
      <c r="G637" s="484" t="n"/>
      <c r="H637" s="484">
        <f>IF(MID(A637, FIND("/", A637, FIND("/", A637) + 1) + 1, 2)="A","C",MID(A637, FIND("/", A637, FIND("/", A637) + 1) + 1, 2))</f>
        <v/>
      </c>
      <c r="I637" s="486">
        <f>TRIM(H637)</f>
        <v/>
      </c>
    </row>
    <row r="638" ht="15" customHeight="1">
      <c r="A638" s="487" t="inlineStr">
        <is>
          <t>LASTRE PETG VIVAK TR 3050x2050x1,5</t>
        </is>
      </c>
      <c r="B638" s="484">
        <f>+_xlfn.CONCAT(Tabella118[[#This Row],[Composizione]], " - ", Tabella118[[#This Row],[Fornitore]])</f>
        <v/>
      </c>
      <c r="C638" s="951" t="n">
        <v>7.14</v>
      </c>
      <c r="D638" s="484" t="inlineStr">
        <is>
          <t>Apa Group</t>
        </is>
      </c>
      <c r="E638" s="484">
        <f>IFERROR(IF(H638="BC",Tabella118[[#This Row],[composizione concatenata]],IF(H638="C",Tabella118[[#This Row],[composizione concatenata]],VLOOKUP(I638,$K$2:$O$7,5,FALSE))),+Tabella118[[#This Row],[composizione concatenata]])</f>
        <v/>
      </c>
      <c r="F638" s="943">
        <f>+_xlfn.IFNA(VLOOKUP(Tabella118[[#This Row],[Composizione alternativa per digitale]],Tabella118[[composizione concatenata]:[Euro/Mq]],2,FALSE),VLOOKUP(H638,digitale[[ONDA]:[Fornitore]],3,FALSE))</f>
        <v/>
      </c>
      <c r="G638" s="484" t="n"/>
      <c r="H638" s="484">
        <f>IF(MID(A638, FIND("/", A638, FIND("/", A638) + 1) + 1, 2)="A","C",MID(A638, FIND("/", A638, FIND("/", A638) + 1) + 1, 2))</f>
        <v/>
      </c>
      <c r="I638" s="486">
        <f>TRIM(H638)</f>
        <v/>
      </c>
    </row>
    <row r="639" ht="15" customHeight="1">
      <c r="A639" s="487" t="inlineStr">
        <is>
          <t>LASTRE PETG VIVAK TR 3050x2050x2</t>
        </is>
      </c>
      <c r="B639" s="484">
        <f>+_xlfn.CONCAT(Tabella118[[#This Row],[Composizione]], " - ", Tabella118[[#This Row],[Fornitore]])</f>
        <v/>
      </c>
      <c r="C639" s="951" t="n">
        <v>9.539999999999999</v>
      </c>
      <c r="D639" s="484" t="inlineStr">
        <is>
          <t>Apa Group</t>
        </is>
      </c>
      <c r="E639" s="484">
        <f>IFERROR(IF(H639="BC",Tabella118[[#This Row],[composizione concatenata]],IF(H639="C",Tabella118[[#This Row],[composizione concatenata]],VLOOKUP(I639,$K$2:$O$7,5,FALSE))),+Tabella118[[#This Row],[composizione concatenata]])</f>
        <v/>
      </c>
      <c r="F639" s="943">
        <f>+_xlfn.IFNA(VLOOKUP(Tabella118[[#This Row],[Composizione alternativa per digitale]],Tabella118[[composizione concatenata]:[Euro/Mq]],2,FALSE),VLOOKUP(H639,digitale[[ONDA]:[Fornitore]],3,FALSE))</f>
        <v/>
      </c>
      <c r="G639" s="484" t="n"/>
      <c r="H639" s="484">
        <f>IF(MID(A639, FIND("/", A639, FIND("/", A639) + 1) + 1, 2)="A","C",MID(A639, FIND("/", A639, FIND("/", A639) + 1) + 1, 2))</f>
        <v/>
      </c>
      <c r="I639" s="486">
        <f>TRIM(H639)</f>
        <v/>
      </c>
    </row>
    <row r="640" ht="15" customHeight="1">
      <c r="A640" s="487" t="inlineStr">
        <is>
          <t>LASTRE PETG VIVAK TR 3050x2050x3</t>
        </is>
      </c>
      <c r="B640" s="484">
        <f>+_xlfn.CONCAT(Tabella118[[#This Row],[Composizione]], " - ", Tabella118[[#This Row],[Fornitore]])</f>
        <v/>
      </c>
      <c r="C640" s="951" t="n">
        <v>14.28</v>
      </c>
      <c r="D640" s="484" t="inlineStr">
        <is>
          <t>Apa Group</t>
        </is>
      </c>
      <c r="E640" s="484">
        <f>IFERROR(IF(H640="BC",Tabella118[[#This Row],[composizione concatenata]],IF(H640="C",Tabella118[[#This Row],[composizione concatenata]],VLOOKUP(I640,$K$2:$O$7,5,FALSE))),+Tabella118[[#This Row],[composizione concatenata]])</f>
        <v/>
      </c>
      <c r="F640" s="943">
        <f>+_xlfn.IFNA(VLOOKUP(Tabella118[[#This Row],[Composizione alternativa per digitale]],Tabella118[[composizione concatenata]:[Euro/Mq]],2,FALSE),VLOOKUP(H640,digitale[[ONDA]:[Fornitore]],3,FALSE))</f>
        <v/>
      </c>
      <c r="G640" s="484" t="n"/>
      <c r="H640" s="484">
        <f>IF(MID(A640, FIND("/", A640, FIND("/", A640) + 1) + 1, 2)="A","C",MID(A640, FIND("/", A640, FIND("/", A640) + 1) + 1, 2))</f>
        <v/>
      </c>
      <c r="I640" s="486">
        <f>TRIM(H640)</f>
        <v/>
      </c>
    </row>
    <row r="641" ht="15" customHeight="1">
      <c r="A641" s="487" t="inlineStr">
        <is>
          <t>LASTRE PETG VIVAK TR 3050x2050x4</t>
        </is>
      </c>
      <c r="B641" s="484">
        <f>+_xlfn.CONCAT(Tabella118[[#This Row],[Composizione]], " - ", Tabella118[[#This Row],[Fornitore]])</f>
        <v/>
      </c>
      <c r="C641" s="951" t="n">
        <v>19.05</v>
      </c>
      <c r="D641" s="484" t="inlineStr">
        <is>
          <t>Apa Group</t>
        </is>
      </c>
      <c r="E641" s="484">
        <f>IFERROR(IF(H641="BC",Tabella118[[#This Row],[composizione concatenata]],IF(H641="C",Tabella118[[#This Row],[composizione concatenata]],VLOOKUP(I641,$K$2:$O$7,5,FALSE))),+Tabella118[[#This Row],[composizione concatenata]])</f>
        <v/>
      </c>
      <c r="F641" s="943">
        <f>+_xlfn.IFNA(VLOOKUP(Tabella118[[#This Row],[Composizione alternativa per digitale]],Tabella118[[composizione concatenata]:[Euro/Mq]],2,FALSE),VLOOKUP(H641,digitale[[ONDA]:[Fornitore]],3,FALSE))</f>
        <v/>
      </c>
      <c r="G641" s="484" t="n"/>
      <c r="H641" s="484">
        <f>IF(MID(A641, FIND("/", A641, FIND("/", A641) + 1) + 1, 2)="A","C",MID(A641, FIND("/", A641, FIND("/", A641) + 1) + 1, 2))</f>
        <v/>
      </c>
      <c r="I641" s="486">
        <f>TRIM(H641)</f>
        <v/>
      </c>
    </row>
    <row r="642" ht="15" customHeight="1">
      <c r="A642" s="487" t="inlineStr">
        <is>
          <t>LASTRE PETG VIVAK TR 3050x2050x5</t>
        </is>
      </c>
      <c r="B642" s="484">
        <f>+_xlfn.CONCAT(Tabella118[[#This Row],[Composizione]], " - ", Tabella118[[#This Row],[Fornitore]])</f>
        <v/>
      </c>
      <c r="C642" s="951" t="n">
        <v>23.82</v>
      </c>
      <c r="D642" s="484" t="inlineStr">
        <is>
          <t>Apa Group</t>
        </is>
      </c>
      <c r="E642" s="484">
        <f>IFERROR(IF(H642="BC",Tabella118[[#This Row],[composizione concatenata]],IF(H642="C",Tabella118[[#This Row],[composizione concatenata]],VLOOKUP(I642,$K$2:$O$7,5,FALSE))),+Tabella118[[#This Row],[composizione concatenata]])</f>
        <v/>
      </c>
      <c r="F642" s="943">
        <f>+_xlfn.IFNA(VLOOKUP(Tabella118[[#This Row],[Composizione alternativa per digitale]],Tabella118[[composizione concatenata]:[Euro/Mq]],2,FALSE),VLOOKUP(H642,digitale[[ONDA]:[Fornitore]],3,FALSE))</f>
        <v/>
      </c>
      <c r="G642" s="484" t="n"/>
      <c r="H642" s="484">
        <f>IF(MID(A642, FIND("/", A642, FIND("/", A642) + 1) + 1, 2)="A","C",MID(A642, FIND("/", A642, FIND("/", A642) + 1) + 1, 2))</f>
        <v/>
      </c>
      <c r="I642" s="486">
        <f>TRIM(H642)</f>
        <v/>
      </c>
    </row>
    <row r="643" ht="15" customHeight="1">
      <c r="A643" s="487" t="inlineStr">
        <is>
          <t>LASTRE PETG VIVAK TR 3050x2050x6</t>
        </is>
      </c>
      <c r="B643" s="484">
        <f>+_xlfn.CONCAT(Tabella118[[#This Row],[Composizione]], " - ", Tabella118[[#This Row],[Fornitore]])</f>
        <v/>
      </c>
      <c r="C643" s="951" t="n">
        <v>28.55</v>
      </c>
      <c r="D643" s="484" t="inlineStr">
        <is>
          <t>Apa Group</t>
        </is>
      </c>
      <c r="E643" s="484">
        <f>IFERROR(IF(H643="BC",Tabella118[[#This Row],[composizione concatenata]],IF(H643="C",Tabella118[[#This Row],[composizione concatenata]],VLOOKUP(I643,$K$2:$O$7,5,FALSE))),+Tabella118[[#This Row],[composizione concatenata]])</f>
        <v/>
      </c>
      <c r="F643" s="943">
        <f>+_xlfn.IFNA(VLOOKUP(Tabella118[[#This Row],[Composizione alternativa per digitale]],Tabella118[[composizione concatenata]:[Euro/Mq]],2,FALSE),VLOOKUP(H643,digitale[[ONDA]:[Fornitore]],3,FALSE))</f>
        <v/>
      </c>
      <c r="G643" s="484" t="n"/>
      <c r="H643" s="484">
        <f>IF(MID(A643, FIND("/", A643, FIND("/", A643) + 1) + 1, 2)="A","C",MID(A643, FIND("/", A643, FIND("/", A643) + 1) + 1, 2))</f>
        <v/>
      </c>
      <c r="I643" s="486">
        <f>TRIM(H643)</f>
        <v/>
      </c>
    </row>
    <row r="644" ht="15" customHeight="1">
      <c r="A644" s="487" t="inlineStr">
        <is>
          <t>LASTRE PETG VIVAK TR 3050x2050x8</t>
        </is>
      </c>
      <c r="B644" s="484">
        <f>+_xlfn.CONCAT(Tabella118[[#This Row],[Composizione]], " - ", Tabella118[[#This Row],[Fornitore]])</f>
        <v/>
      </c>
      <c r="C644" s="951" t="n">
        <v>38.13</v>
      </c>
      <c r="D644" s="484" t="inlineStr">
        <is>
          <t>Apa Group</t>
        </is>
      </c>
      <c r="E644" s="484">
        <f>IFERROR(IF(H644="BC",Tabella118[[#This Row],[composizione concatenata]],IF(H644="C",Tabella118[[#This Row],[composizione concatenata]],VLOOKUP(I644,$K$2:$O$7,5,FALSE))),+Tabella118[[#This Row],[composizione concatenata]])</f>
        <v/>
      </c>
      <c r="F644" s="943">
        <f>+_xlfn.IFNA(VLOOKUP(Tabella118[[#This Row],[Composizione alternativa per digitale]],Tabella118[[composizione concatenata]:[Euro/Mq]],2,FALSE),VLOOKUP(H644,digitale[[ONDA]:[Fornitore]],3,FALSE))</f>
        <v/>
      </c>
      <c r="G644" s="484" t="n"/>
      <c r="H644" s="484">
        <f>IF(MID(A644, FIND("/", A644, FIND("/", A644) + 1) + 1, 2)="A","C",MID(A644, FIND("/", A644, FIND("/", A644) + 1) + 1, 2))</f>
        <v/>
      </c>
      <c r="I644" s="486">
        <f>TRIM(H644)</f>
        <v/>
      </c>
    </row>
    <row r="645" ht="15" customHeight="1">
      <c r="A645" s="487" t="inlineStr">
        <is>
          <t>LASTRE PVC ESP. MTP BIANCO (FOREX)3050x1560x19</t>
        </is>
      </c>
      <c r="B645" s="484">
        <f>+_xlfn.CONCAT(Tabella118[[#This Row],[Composizione]], " - ", Tabella118[[#This Row],[Fornitore]])</f>
        <v/>
      </c>
      <c r="C645" s="951" t="n">
        <v>31.3</v>
      </c>
      <c r="D645" s="484" t="inlineStr">
        <is>
          <t>Apa Group</t>
        </is>
      </c>
      <c r="E645" s="484">
        <f>IFERROR(IF(H645="BC",Tabella118[[#This Row],[composizione concatenata]],IF(H645="C",Tabella118[[#This Row],[composizione concatenata]],VLOOKUP(I645,$K$2:$O$7,5,FALSE))),+Tabella118[[#This Row],[composizione concatenata]])</f>
        <v/>
      </c>
      <c r="F645" s="943">
        <f>+_xlfn.IFNA(VLOOKUP(Tabella118[[#This Row],[Composizione alternativa per digitale]],Tabella118[[composizione concatenata]:[Euro/Mq]],2,FALSE),VLOOKUP(H645,digitale[[ONDA]:[Fornitore]],3,FALSE))</f>
        <v/>
      </c>
      <c r="G645" s="484" t="n"/>
      <c r="H645" s="484">
        <f>IF(MID(A645, FIND("/", A645, FIND("/", A645) + 1) + 1, 2)="A","C",MID(A645, FIND("/", A645, FIND("/", A645) + 1) + 1, 2))</f>
        <v/>
      </c>
      <c r="I645" s="486">
        <f>TRIM(H645)</f>
        <v/>
      </c>
    </row>
    <row r="646" ht="15" customHeight="1">
      <c r="A646" s="487" t="inlineStr">
        <is>
          <t>LASTRE PVC ESP. MTP BIANCO (FOREX)3050x2050x1</t>
        </is>
      </c>
      <c r="B646" s="484">
        <f>+_xlfn.CONCAT(Tabella118[[#This Row],[Composizione]], " - ", Tabella118[[#This Row],[Fornitore]])</f>
        <v/>
      </c>
      <c r="C646" s="951" t="n">
        <v>2.57</v>
      </c>
      <c r="D646" s="484" t="inlineStr">
        <is>
          <t>Apa Group</t>
        </is>
      </c>
      <c r="E646" s="484">
        <f>IFERROR(IF(H646="BC",Tabella118[[#This Row],[composizione concatenata]],IF(H646="C",Tabella118[[#This Row],[composizione concatenata]],VLOOKUP(I646,$K$2:$O$7,5,FALSE))),+Tabella118[[#This Row],[composizione concatenata]])</f>
        <v/>
      </c>
      <c r="F646" s="943">
        <f>+_xlfn.IFNA(VLOOKUP(Tabella118[[#This Row],[Composizione alternativa per digitale]],Tabella118[[composizione concatenata]:[Euro/Mq]],2,FALSE),VLOOKUP(H646,digitale[[ONDA]:[Fornitore]],3,FALSE))</f>
        <v/>
      </c>
      <c r="G646" s="484" t="n"/>
      <c r="H646" s="484">
        <f>IF(MID(A646, FIND("/", A646, FIND("/", A646) + 1) + 1, 2)="A","C",MID(A646, FIND("/", A646, FIND("/", A646) + 1) + 1, 2))</f>
        <v/>
      </c>
      <c r="I646" s="486">
        <f>TRIM(H646)</f>
        <v/>
      </c>
    </row>
    <row r="647" ht="15" customHeight="1">
      <c r="A647" s="487" t="inlineStr">
        <is>
          <t>LASTRE PVC ESP. MTP BIANCO (FOREX)3050x2050x10</t>
        </is>
      </c>
      <c r="B647" s="484">
        <f>+_xlfn.CONCAT(Tabella118[[#This Row],[Composizione]], " - ", Tabella118[[#This Row],[Fornitore]])</f>
        <v/>
      </c>
      <c r="C647" s="951" t="n">
        <v>13.68</v>
      </c>
      <c r="D647" s="484" t="inlineStr">
        <is>
          <t>Apa Group</t>
        </is>
      </c>
      <c r="E647" s="484">
        <f>IFERROR(IF(H647="BC",Tabella118[[#This Row],[composizione concatenata]],IF(H647="C",Tabella118[[#This Row],[composizione concatenata]],VLOOKUP(I647,$K$2:$O$7,5,FALSE))),+Tabella118[[#This Row],[composizione concatenata]])</f>
        <v/>
      </c>
      <c r="F647" s="943">
        <f>+_xlfn.IFNA(VLOOKUP(Tabella118[[#This Row],[Composizione alternativa per digitale]],Tabella118[[composizione concatenata]:[Euro/Mq]],2,FALSE),VLOOKUP(H647,digitale[[ONDA]:[Fornitore]],3,FALSE))</f>
        <v/>
      </c>
      <c r="G647" s="484" t="n"/>
      <c r="H647" s="484">
        <f>IF(MID(A647, FIND("/", A647, FIND("/", A647) + 1) + 1, 2)="A","C",MID(A647, FIND("/", A647, FIND("/", A647) + 1) + 1, 2))</f>
        <v/>
      </c>
      <c r="I647" s="486">
        <f>TRIM(H647)</f>
        <v/>
      </c>
    </row>
    <row r="648" ht="15" customHeight="1">
      <c r="A648" s="487" t="inlineStr">
        <is>
          <t>LASTRE PVC ESP. MTP BIANCO (FOREX)3050x2050x2</t>
        </is>
      </c>
      <c r="B648" s="484">
        <f>+_xlfn.CONCAT(Tabella118[[#This Row],[Composizione]], " - ", Tabella118[[#This Row],[Fornitore]])</f>
        <v/>
      </c>
      <c r="C648" s="951" t="n">
        <v>3.45</v>
      </c>
      <c r="D648" s="484" t="inlineStr">
        <is>
          <t>Apa Group</t>
        </is>
      </c>
      <c r="E648" s="484">
        <f>IFERROR(IF(H648="BC",Tabella118[[#This Row],[composizione concatenata]],IF(H648="C",Tabella118[[#This Row],[composizione concatenata]],VLOOKUP(I648,$K$2:$O$7,5,FALSE))),+Tabella118[[#This Row],[composizione concatenata]])</f>
        <v/>
      </c>
      <c r="F648" s="943">
        <f>+_xlfn.IFNA(VLOOKUP(Tabella118[[#This Row],[Composizione alternativa per digitale]],Tabella118[[composizione concatenata]:[Euro/Mq]],2,FALSE),VLOOKUP(H648,digitale[[ONDA]:[Fornitore]],3,FALSE))</f>
        <v/>
      </c>
      <c r="G648" s="484" t="n"/>
      <c r="H648" s="484">
        <f>IF(MID(A648, FIND("/", A648, FIND("/", A648) + 1) + 1, 2)="A","C",MID(A648, FIND("/", A648, FIND("/", A648) + 1) + 1, 2))</f>
        <v/>
      </c>
      <c r="I648" s="486">
        <f>TRIM(H648)</f>
        <v/>
      </c>
    </row>
    <row r="649" ht="15" customHeight="1">
      <c r="A649" s="487" t="inlineStr">
        <is>
          <t>LASTRE PVC ESP. MTP BIANCO (FOREX)3050x2050x3</t>
        </is>
      </c>
      <c r="B649" s="484">
        <f>+_xlfn.CONCAT(Tabella118[[#This Row],[Composizione]], " - ", Tabella118[[#This Row],[Fornitore]])</f>
        <v/>
      </c>
      <c r="C649" s="951" t="n">
        <v>4.12</v>
      </c>
      <c r="D649" s="484" t="inlineStr">
        <is>
          <t>Apa Group</t>
        </is>
      </c>
      <c r="E649" s="484">
        <f>IFERROR(IF(H649="BC",Tabella118[[#This Row],[composizione concatenata]],IF(H649="C",Tabella118[[#This Row],[composizione concatenata]],VLOOKUP(I649,$K$2:$O$7,5,FALSE))),+Tabella118[[#This Row],[composizione concatenata]])</f>
        <v/>
      </c>
      <c r="F649" s="943">
        <f>+_xlfn.IFNA(VLOOKUP(Tabella118[[#This Row],[Composizione alternativa per digitale]],Tabella118[[composizione concatenata]:[Euro/Mq]],2,FALSE),VLOOKUP(H649,digitale[[ONDA]:[Fornitore]],3,FALSE))</f>
        <v/>
      </c>
      <c r="G649" s="484" t="n"/>
      <c r="H649" s="484">
        <f>IF(MID(A649, FIND("/", A649, FIND("/", A649) + 1) + 1, 2)="A","C",MID(A649, FIND("/", A649, FIND("/", A649) + 1) + 1, 2))</f>
        <v/>
      </c>
      <c r="I649" s="486">
        <f>TRIM(H649)</f>
        <v/>
      </c>
    </row>
    <row r="650" ht="15" customHeight="1">
      <c r="A650" s="487" t="inlineStr">
        <is>
          <t>LASTRE PVC ESP. MTP BIANCO (FOREX)3050x2050x4</t>
        </is>
      </c>
      <c r="B650" s="484">
        <f>+_xlfn.CONCAT(Tabella118[[#This Row],[Composizione]], " - ", Tabella118[[#This Row],[Fornitore]])</f>
        <v/>
      </c>
      <c r="C650" s="951" t="n">
        <v>5.53</v>
      </c>
      <c r="D650" s="484" t="inlineStr">
        <is>
          <t>Apa Group</t>
        </is>
      </c>
      <c r="E650" s="484">
        <f>IFERROR(IF(H650="BC",Tabella118[[#This Row],[composizione concatenata]],IF(H650="C",Tabella118[[#This Row],[composizione concatenata]],VLOOKUP(I650,$K$2:$O$7,5,FALSE))),+Tabella118[[#This Row],[composizione concatenata]])</f>
        <v/>
      </c>
      <c r="F650" s="943">
        <f>+_xlfn.IFNA(VLOOKUP(Tabella118[[#This Row],[Composizione alternativa per digitale]],Tabella118[[composizione concatenata]:[Euro/Mq]],2,FALSE),VLOOKUP(H650,digitale[[ONDA]:[Fornitore]],3,FALSE))</f>
        <v/>
      </c>
      <c r="G650" s="484" t="n"/>
      <c r="H650" s="484">
        <f>IF(MID(A650, FIND("/", A650, FIND("/", A650) + 1) + 1, 2)="A","C",MID(A650, FIND("/", A650, FIND("/", A650) + 1) + 1, 2))</f>
        <v/>
      </c>
      <c r="I650" s="486">
        <f>TRIM(H650)</f>
        <v/>
      </c>
    </row>
    <row r="651" ht="15" customHeight="1">
      <c r="A651" s="487" t="inlineStr">
        <is>
          <t>LASTRE PVC ESP. MTP BIANCO (FOREX)3050x2050x5</t>
        </is>
      </c>
      <c r="B651" s="484">
        <f>+_xlfn.CONCAT(Tabella118[[#This Row],[Composizione]], " - ", Tabella118[[#This Row],[Fornitore]])</f>
        <v/>
      </c>
      <c r="C651" s="951" t="n">
        <v>6.82</v>
      </c>
      <c r="D651" s="484" t="inlineStr">
        <is>
          <t>Apa Group</t>
        </is>
      </c>
      <c r="E651" s="484">
        <f>IFERROR(IF(H651="BC",Tabella118[[#This Row],[composizione concatenata]],IF(H651="C",Tabella118[[#This Row],[composizione concatenata]],VLOOKUP(I651,$K$2:$O$7,5,FALSE))),+Tabella118[[#This Row],[composizione concatenata]])</f>
        <v/>
      </c>
      <c r="F651" s="943">
        <f>+_xlfn.IFNA(VLOOKUP(Tabella118[[#This Row],[Composizione alternativa per digitale]],Tabella118[[composizione concatenata]:[Euro/Mq]],2,FALSE),VLOOKUP(H651,digitale[[ONDA]:[Fornitore]],3,FALSE))</f>
        <v/>
      </c>
      <c r="G651" s="484" t="n"/>
      <c r="H651" s="484">
        <f>IF(MID(A651, FIND("/", A651, FIND("/", A651) + 1) + 1, 2)="A","C",MID(A651, FIND("/", A651, FIND("/", A651) + 1) + 1, 2))</f>
        <v/>
      </c>
      <c r="I651" s="486">
        <f>TRIM(H651)</f>
        <v/>
      </c>
    </row>
    <row r="652" ht="15" customHeight="1">
      <c r="A652" s="487" t="inlineStr">
        <is>
          <t>LASTRE PVC ESP. MTP BIANCO (FOREX)3050x2050x6</t>
        </is>
      </c>
      <c r="B652" s="484">
        <f>+_xlfn.CONCAT(Tabella118[[#This Row],[Composizione]], " - ", Tabella118[[#This Row],[Fornitore]])</f>
        <v/>
      </c>
      <c r="C652" s="951" t="n">
        <v>8.32</v>
      </c>
      <c r="D652" s="484" t="inlineStr">
        <is>
          <t>Apa Group</t>
        </is>
      </c>
      <c r="E652" s="484">
        <f>IFERROR(IF(H652="BC",Tabella118[[#This Row],[composizione concatenata]],IF(H652="C",Tabella118[[#This Row],[composizione concatenata]],VLOOKUP(I652,$K$2:$O$7,5,FALSE))),+Tabella118[[#This Row],[composizione concatenata]])</f>
        <v/>
      </c>
      <c r="F652" s="943">
        <f>+_xlfn.IFNA(VLOOKUP(Tabella118[[#This Row],[Composizione alternativa per digitale]],Tabella118[[composizione concatenata]:[Euro/Mq]],2,FALSE),VLOOKUP(H652,digitale[[ONDA]:[Fornitore]],3,FALSE))</f>
        <v/>
      </c>
      <c r="G652" s="484" t="n"/>
      <c r="H652" s="484">
        <f>IF(MID(A652, FIND("/", A652, FIND("/", A652) + 1) + 1, 2)="A","C",MID(A652, FIND("/", A652, FIND("/", A652) + 1) + 1, 2))</f>
        <v/>
      </c>
      <c r="I652" s="486">
        <f>TRIM(H652)</f>
        <v/>
      </c>
    </row>
    <row r="653" ht="15" customHeight="1">
      <c r="A653" s="487" t="inlineStr">
        <is>
          <t>LASTRE PVC ESP. MTP BIANCO (FOREX)3050x2050x8</t>
        </is>
      </c>
      <c r="B653" s="484">
        <f>+_xlfn.CONCAT(Tabella118[[#This Row],[Composizione]], " - ", Tabella118[[#This Row],[Fornitore]])</f>
        <v/>
      </c>
      <c r="C653" s="951" t="n">
        <v>11.06</v>
      </c>
      <c r="D653" s="484" t="inlineStr">
        <is>
          <t>Apa Group</t>
        </is>
      </c>
      <c r="E653" s="484">
        <f>IFERROR(IF(H653="BC",Tabella118[[#This Row],[composizione concatenata]],IF(H653="C",Tabella118[[#This Row],[composizione concatenata]],VLOOKUP(I653,$K$2:$O$7,5,FALSE))),+Tabella118[[#This Row],[composizione concatenata]])</f>
        <v/>
      </c>
      <c r="F653" s="943">
        <f>+_xlfn.IFNA(VLOOKUP(Tabella118[[#This Row],[Composizione alternativa per digitale]],Tabella118[[composizione concatenata]:[Euro/Mq]],2,FALSE),VLOOKUP(H653,digitale[[ONDA]:[Fornitore]],3,FALSE))</f>
        <v/>
      </c>
      <c r="G653" s="484" t="n"/>
      <c r="H653" s="484">
        <f>IF(MID(A653, FIND("/", A653, FIND("/", A653) + 1) + 1, 2)="A","C",MID(A653, FIND("/", A653, FIND("/", A653) + 1) + 1, 2))</f>
        <v/>
      </c>
      <c r="I653" s="486">
        <f>TRIM(H653)</f>
        <v/>
      </c>
    </row>
    <row r="654" ht="15" customHeight="1">
      <c r="A654" s="484" t="inlineStr">
        <is>
          <t>LML/343/E</t>
        </is>
      </c>
      <c r="B654" s="484">
        <f>+_xlfn.CONCAT(Tabella118[[#This Row],[Composizione]], " - ", Tabella118[[#This Row],[Fornitore]])</f>
        <v/>
      </c>
      <c r="C654" s="943" t="n">
        <v>0.3</v>
      </c>
      <c r="D654" s="484" t="inlineStr">
        <is>
          <t>Giusti</t>
        </is>
      </c>
      <c r="E654" s="484">
        <f>IFERROR(IF(H654="BC",Tabella118[[#This Row],[composizione concatenata]],IF(H654="C",Tabella118[[#This Row],[composizione concatenata]],VLOOKUP(I654,$K$2:$O$7,5,FALSE))),+Tabella118[[#This Row],[composizione concatenata]])</f>
        <v/>
      </c>
      <c r="F654" s="944">
        <f>+_xlfn.IFNA(VLOOKUP(Tabella118[[#This Row],[Composizione alternativa per digitale]],Tabella118[[composizione concatenata]:[Euro/Mq]],2,FALSE),VLOOKUP(H654,digitale[[ONDA]:[Fornitore]],3,FALSE))</f>
        <v/>
      </c>
      <c r="G654" s="484" t="n"/>
      <c r="H654" s="484">
        <f>IF(MID(A654, FIND("/", A654, FIND("/", A654) + 1) + 1, 2)="A","C",MID(A654, FIND("/", A654, FIND("/", A654) + 1) + 1, 2))</f>
        <v/>
      </c>
      <c r="I654" s="486">
        <f>TRIM(H654)</f>
        <v/>
      </c>
    </row>
    <row r="655" ht="15" customHeight="1">
      <c r="A655" s="484" t="inlineStr">
        <is>
          <t>LML/365/E</t>
        </is>
      </c>
      <c r="B655" s="484">
        <f>+_xlfn.CONCAT(Tabella118[[#This Row],[Composizione]], " - ", Tabella118[[#This Row],[Fornitore]])</f>
        <v/>
      </c>
      <c r="C655" s="943" t="n">
        <v>0.342</v>
      </c>
      <c r="D655" s="484" t="inlineStr">
        <is>
          <t>Giusti</t>
        </is>
      </c>
      <c r="E655" s="484">
        <f>IFERROR(IF(H655="BC",Tabella118[[#This Row],[composizione concatenata]],IF(H655="C",Tabella118[[#This Row],[composizione concatenata]],VLOOKUP(I655,$K$2:$O$7,5,FALSE))),+Tabella118[[#This Row],[composizione concatenata]])</f>
        <v/>
      </c>
      <c r="F655" s="944">
        <f>+_xlfn.IFNA(VLOOKUP(Tabella118[[#This Row],[Composizione alternativa per digitale]],Tabella118[[composizione concatenata]:[Euro/Mq]],2,FALSE),VLOOKUP(H655,digitale[[ONDA]:[Fornitore]],3,FALSE))</f>
        <v/>
      </c>
      <c r="G655" s="484" t="n"/>
      <c r="H655" s="484">
        <f>IF(MID(A655, FIND("/", A655, FIND("/", A655) + 1) + 1, 2)="A","C",MID(A655, FIND("/", A655, FIND("/", A655) + 1) + 1, 2))</f>
        <v/>
      </c>
      <c r="I655" s="486">
        <f>TRIM(H655)</f>
        <v/>
      </c>
    </row>
    <row r="656" ht="15" customHeight="1">
      <c r="A656" s="484" t="inlineStr">
        <is>
          <t>LML/563/E</t>
        </is>
      </c>
      <c r="B656" s="484">
        <f>+_xlfn.CONCAT(Tabella118[[#This Row],[Composizione]], " - ", Tabella118[[#This Row],[Fornitore]])</f>
        <v/>
      </c>
      <c r="C656" s="943" t="n">
        <v>0.342</v>
      </c>
      <c r="D656" s="484" t="inlineStr">
        <is>
          <t>Giusti</t>
        </is>
      </c>
      <c r="E656" s="484">
        <f>IFERROR(IF(H656="BC",Tabella118[[#This Row],[composizione concatenata]],IF(H656="C",Tabella118[[#This Row],[composizione concatenata]],VLOOKUP(I656,$K$2:$O$7,5,FALSE))),+Tabella118[[#This Row],[composizione concatenata]])</f>
        <v/>
      </c>
      <c r="F656" s="944">
        <f>+_xlfn.IFNA(VLOOKUP(Tabella118[[#This Row],[Composizione alternativa per digitale]],Tabella118[[composizione concatenata]:[Euro/Mq]],2,FALSE),VLOOKUP(H656,digitale[[ONDA]:[Fornitore]],3,FALSE))</f>
        <v/>
      </c>
      <c r="G656" s="484" t="n"/>
      <c r="H656" s="484">
        <f>IF(MID(A656, FIND("/", A656, FIND("/", A656) + 1) + 1, 2)="A","C",MID(A656, FIND("/", A656, FIND("/", A656) + 1) + 1, 2))</f>
        <v/>
      </c>
      <c r="I656" s="486">
        <f>TRIM(H656)</f>
        <v/>
      </c>
    </row>
    <row r="657" ht="15" customHeight="1">
      <c r="A657" s="484" t="inlineStr">
        <is>
          <t>LMT/242/B</t>
        </is>
      </c>
      <c r="B657" s="484">
        <f>+_xlfn.CONCAT(Tabella118[[#This Row],[Composizione]], " - ", Tabella118[[#This Row],[Fornitore]])</f>
        <v/>
      </c>
      <c r="C657" s="943" t="n">
        <v>0.275</v>
      </c>
      <c r="D657" s="484" t="inlineStr">
        <is>
          <t xml:space="preserve">Ds Smith </t>
        </is>
      </c>
      <c r="E657" s="484">
        <f>IFERROR(IF(H657="BC",Tabella118[[#This Row],[composizione concatenata]],IF(H657="C",Tabella118[[#This Row],[composizione concatenata]],VLOOKUP(I657,$K$2:$O$7,5,FALSE))),+Tabella118[[#This Row],[composizione concatenata]])</f>
        <v/>
      </c>
      <c r="F657" s="943">
        <f>+_xlfn.IFNA(VLOOKUP(Tabella118[[#This Row],[Composizione alternativa per digitale]],Tabella118[[composizione concatenata]:[Euro/Mq]],2,FALSE),VLOOKUP(H657,digitale[[ONDA]:[Fornitore]],3,FALSE))</f>
        <v/>
      </c>
      <c r="G657" s="484" t="n"/>
      <c r="H657" s="484">
        <f>IF(MID(A657, FIND("/", A657, FIND("/", A657) + 1) + 1, 2)="A","C",MID(A657, FIND("/", A657, FIND("/", A657) + 1) + 1, 2))</f>
        <v/>
      </c>
      <c r="I657" s="486">
        <f>TRIM(H657)</f>
        <v/>
      </c>
    </row>
    <row r="658" ht="15" customHeight="1">
      <c r="A658" s="484" t="inlineStr">
        <is>
          <t>LMT/242/C</t>
        </is>
      </c>
      <c r="B658" s="484">
        <f>+_xlfn.CONCAT(Tabella118[[#This Row],[Composizione]], " - ", Tabella118[[#This Row],[Fornitore]])</f>
        <v/>
      </c>
      <c r="C658" s="943" t="n">
        <v>0.27</v>
      </c>
      <c r="D658" s="484" t="inlineStr">
        <is>
          <t>Giusti</t>
        </is>
      </c>
      <c r="E658" s="484">
        <f>IFERROR(IF(H658="BC",Tabella118[[#This Row],[composizione concatenata]],IF(H658="C",Tabella118[[#This Row],[composizione concatenata]],VLOOKUP(I658,$K$2:$O$7,5,FALSE))),+Tabella118[[#This Row],[composizione concatenata]])</f>
        <v/>
      </c>
      <c r="F658" s="944">
        <f>+_xlfn.IFNA(VLOOKUP(Tabella118[[#This Row],[Composizione alternativa per digitale]],Tabella118[[composizione concatenata]:[Euro/Mq]],2,FALSE),VLOOKUP(H658,digitale[[ONDA]:[Fornitore]],3,FALSE))</f>
        <v/>
      </c>
      <c r="G658" s="484" t="n"/>
      <c r="H658" s="484">
        <f>IF(MID(A658, FIND("/", A658, FIND("/", A658) + 1) + 1, 2)="A","C",MID(A658, FIND("/", A658, FIND("/", A658) + 1) + 1, 2))</f>
        <v/>
      </c>
      <c r="I658" s="486">
        <f>TRIM(H658)</f>
        <v/>
      </c>
    </row>
    <row r="659" ht="15" customHeight="1">
      <c r="A659" s="484" t="inlineStr">
        <is>
          <t>LMT/242/E</t>
        </is>
      </c>
      <c r="B659" s="484">
        <f>+_xlfn.CONCAT(Tabella118[[#This Row],[Composizione]], " - ", Tabella118[[#This Row],[Fornitore]])</f>
        <v/>
      </c>
      <c r="C659" s="943" t="n">
        <v>0.257</v>
      </c>
      <c r="D659" s="484" t="inlineStr">
        <is>
          <t>Giusti</t>
        </is>
      </c>
      <c r="E659" s="484">
        <f>IFERROR(IF(H659="BC",Tabella118[[#This Row],[composizione concatenata]],IF(H659="C",Tabella118[[#This Row],[composizione concatenata]],VLOOKUP(I659,$K$2:$O$7,5,FALSE))),+Tabella118[[#This Row],[composizione concatenata]])</f>
        <v/>
      </c>
      <c r="F659" s="944">
        <f>+_xlfn.IFNA(VLOOKUP(Tabella118[[#This Row],[Composizione alternativa per digitale]],Tabella118[[composizione concatenata]:[Euro/Mq]],2,FALSE),VLOOKUP(H659,digitale[[ONDA]:[Fornitore]],3,FALSE))</f>
        <v/>
      </c>
      <c r="G659" s="484" t="n"/>
      <c r="H659" s="484">
        <f>IF(MID(A659, FIND("/", A659, FIND("/", A659) + 1) + 1, 2)="A","C",MID(A659, FIND("/", A659, FIND("/", A659) + 1) + 1, 2))</f>
        <v/>
      </c>
      <c r="I659" s="486">
        <f>TRIM(H659)</f>
        <v/>
      </c>
    </row>
    <row r="660" ht="15" customHeight="1">
      <c r="A660" s="484" t="inlineStr">
        <is>
          <t>LSFSL/34243/EB</t>
        </is>
      </c>
      <c r="B660" s="484">
        <f>+_xlfn.CONCAT(Tabella118[[#This Row],[Composizione]], " - ", Tabella118[[#This Row],[Fornitore]])</f>
        <v/>
      </c>
      <c r="C660" s="943" t="n">
        <v>0.48</v>
      </c>
      <c r="D660" s="484" t="inlineStr">
        <is>
          <t>Giusti</t>
        </is>
      </c>
      <c r="E660" s="484">
        <f>IFERROR(IF(H660="BC",Tabella118[[#This Row],[composizione concatenata]],IF(H660="C",Tabella118[[#This Row],[composizione concatenata]],VLOOKUP(I660,$K$2:$O$7,5,FALSE))),+Tabella118[[#This Row],[composizione concatenata]])</f>
        <v/>
      </c>
      <c r="F660" s="944">
        <f>+_xlfn.IFNA(VLOOKUP(Tabella118[[#This Row],[Composizione alternativa per digitale]],Tabella118[[composizione concatenata]:[Euro/Mq]],2,FALSE),VLOOKUP(H660,digitale[[ONDA]:[Fornitore]],3,FALSE))</f>
        <v/>
      </c>
      <c r="G660" s="484" t="n"/>
      <c r="H660" s="484">
        <f>IF(MID(A660, FIND("/", A660, FIND("/", A660) + 1) + 1, 2)="A","C",MID(A660, FIND("/", A660, FIND("/", A660) + 1) + 1, 2))</f>
        <v/>
      </c>
      <c r="I660" s="486">
        <f>TRIM(H660)</f>
        <v/>
      </c>
    </row>
    <row r="661" ht="15" customHeight="1">
      <c r="A661" s="484" t="inlineStr">
        <is>
          <t>LSL/262/B</t>
        </is>
      </c>
      <c r="B661" s="484">
        <f>+_xlfn.CONCAT(Tabella118[[#This Row],[Composizione]], " - ", Tabella118[[#This Row],[Fornitore]])</f>
        <v/>
      </c>
      <c r="C661" s="943" t="n">
        <v>0.312</v>
      </c>
      <c r="D661" s="484" t="inlineStr">
        <is>
          <t>Giusti</t>
        </is>
      </c>
      <c r="E661" s="484">
        <f>IFERROR(IF(H661="BC",Tabella118[[#This Row],[composizione concatenata]],IF(H661="C",Tabella118[[#This Row],[composizione concatenata]],VLOOKUP(I661,$K$2:$O$7,5,FALSE))),+Tabella118[[#This Row],[composizione concatenata]])</f>
        <v/>
      </c>
      <c r="F661" s="944">
        <f>+_xlfn.IFNA(VLOOKUP(Tabella118[[#This Row],[Composizione alternativa per digitale]],Tabella118[[composizione concatenata]:[Euro/Mq]],2,FALSE),VLOOKUP(H661,digitale[[ONDA]:[Fornitore]],3,FALSE))</f>
        <v/>
      </c>
      <c r="G661" s="484" t="n"/>
      <c r="H661" s="484">
        <f>IF(MID(A661, FIND("/", A661, FIND("/", A661) + 1) + 1, 2)="A","C",MID(A661, FIND("/", A661, FIND("/", A661) + 1) + 1, 2))</f>
        <v/>
      </c>
      <c r="I661" s="486">
        <f>TRIM(H661)</f>
        <v/>
      </c>
    </row>
    <row r="662" ht="15" customHeight="1">
      <c r="A662" s="484" t="inlineStr">
        <is>
          <t>LSL/343/C</t>
        </is>
      </c>
      <c r="B662" s="484">
        <f>+_xlfn.CONCAT(Tabella118[[#This Row],[Composizione]], " - ", Tabella118[[#This Row],[Fornitore]])</f>
        <v/>
      </c>
      <c r="C662" s="943" t="n">
        <v>0.345</v>
      </c>
      <c r="D662" s="484" t="inlineStr">
        <is>
          <t xml:space="preserve">Ds Smith </t>
        </is>
      </c>
      <c r="E662" s="484">
        <f>IFERROR(IF(H662="BC",Tabella118[[#This Row],[composizione concatenata]],IF(H662="C",Tabella118[[#This Row],[composizione concatenata]],VLOOKUP(I662,$K$2:$O$7,5,FALSE))),+Tabella118[[#This Row],[composizione concatenata]])</f>
        <v/>
      </c>
      <c r="F662" s="943">
        <f>+_xlfn.IFNA(VLOOKUP(Tabella118[[#This Row],[Composizione alternativa per digitale]],Tabella118[[composizione concatenata]:[Euro/Mq]],2,FALSE),VLOOKUP(H662,digitale[[ONDA]:[Fornitore]],3,FALSE))</f>
        <v/>
      </c>
      <c r="G662" s="484" t="n"/>
      <c r="H662" s="484">
        <f>IF(MID(A662, FIND("/", A662, FIND("/", A662) + 1) + 1, 2)="A","C",MID(A662, FIND("/", A662, FIND("/", A662) + 1) + 1, 2))</f>
        <v/>
      </c>
      <c r="I662" s="486">
        <f>TRIM(H662)</f>
        <v/>
      </c>
    </row>
    <row r="663" ht="15" customHeight="1">
      <c r="A663" s="484" t="inlineStr">
        <is>
          <t>LSL/343/E</t>
        </is>
      </c>
      <c r="B663" s="484">
        <f>+_xlfn.CONCAT(Tabella118[[#This Row],[Composizione]], " - ", Tabella118[[#This Row],[Fornitore]])</f>
        <v/>
      </c>
      <c r="C663" s="943" t="n">
        <v>0.31</v>
      </c>
      <c r="D663" s="484" t="inlineStr">
        <is>
          <t>Giusti</t>
        </is>
      </c>
      <c r="E663" s="484">
        <f>IFERROR(IF(H663="BC",Tabella118[[#This Row],[composizione concatenata]],IF(H663="C",Tabella118[[#This Row],[composizione concatenata]],VLOOKUP(I663,$K$2:$O$7,5,FALSE))),+Tabella118[[#This Row],[composizione concatenata]])</f>
        <v/>
      </c>
      <c r="F663" s="944">
        <f>+_xlfn.IFNA(VLOOKUP(Tabella118[[#This Row],[Composizione alternativa per digitale]],Tabella118[[composizione concatenata]:[Euro/Mq]],2,FALSE),VLOOKUP(H663,digitale[[ONDA]:[Fornitore]],3,FALSE))</f>
        <v/>
      </c>
      <c r="G663" s="484" t="n"/>
      <c r="H663" s="484">
        <f>IF(MID(A663, FIND("/", A663, FIND("/", A663) + 1) + 1, 2)="A","C",MID(A663, FIND("/", A663, FIND("/", A663) + 1) + 1, 2))</f>
        <v/>
      </c>
      <c r="I663" s="486">
        <f>TRIM(H663)</f>
        <v/>
      </c>
    </row>
    <row r="664" ht="15" customHeight="1">
      <c r="A664" s="484" t="inlineStr">
        <is>
          <t>LSL/563/E</t>
        </is>
      </c>
      <c r="B664" s="484">
        <f>+_xlfn.CONCAT(Tabella118[[#This Row],[Composizione]], " - ", Tabella118[[#This Row],[Fornitore]])</f>
        <v/>
      </c>
      <c r="C664" s="943" t="n">
        <v>0.36</v>
      </c>
      <c r="D664" s="484" t="inlineStr">
        <is>
          <t>Giusti</t>
        </is>
      </c>
      <c r="E664" s="484">
        <f>IFERROR(IF(H664="BC",Tabella118[[#This Row],[composizione concatenata]],IF(H664="C",Tabella118[[#This Row],[composizione concatenata]],VLOOKUP(I664,$K$2:$O$7,5,FALSE))),+Tabella118[[#This Row],[composizione concatenata]])</f>
        <v/>
      </c>
      <c r="F664" s="944">
        <f>+_xlfn.IFNA(VLOOKUP(Tabella118[[#This Row],[Composizione alternativa per digitale]],Tabella118[[composizione concatenata]:[Euro/Mq]],2,FALSE),VLOOKUP(H664,digitale[[ONDA]:[Fornitore]],3,FALSE))</f>
        <v/>
      </c>
      <c r="G664" s="484" t="n"/>
      <c r="H664" s="484">
        <f>IF(MID(A664, FIND("/", A664, FIND("/", A664) + 1) + 1, 2)="A","C",MID(A664, FIND("/", A664, FIND("/", A664) + 1) + 1, 2))</f>
        <v/>
      </c>
      <c r="I664" s="486">
        <f>TRIM(H664)</f>
        <v/>
      </c>
    </row>
    <row r="665" ht="15" customHeight="1">
      <c r="A665" s="487" t="inlineStr">
        <is>
          <t>PANNELLO SANDWICH APA2 B.CO 3035x2030x19</t>
        </is>
      </c>
      <c r="B665" s="484">
        <f>+_xlfn.CONCAT(Tabella118[[#This Row],[Composizione]], " - ", Tabella118[[#This Row],[Fornitore]])</f>
        <v/>
      </c>
      <c r="C665" s="951" t="n">
        <v>12.3</v>
      </c>
      <c r="D665" s="484" t="inlineStr">
        <is>
          <t>Apa Group</t>
        </is>
      </c>
      <c r="E665" s="484">
        <f>IFERROR(IF(H665="BC",Tabella118[[#This Row],[composizione concatenata]],IF(H665="C",Tabella118[[#This Row],[composizione concatenata]],VLOOKUP(I665,$K$2:$O$7,5,FALSE))),+Tabella118[[#This Row],[composizione concatenata]])</f>
        <v/>
      </c>
      <c r="F665" s="943">
        <f>+_xlfn.IFNA(VLOOKUP(Tabella118[[#This Row],[Composizione alternativa per digitale]],Tabella118[[composizione concatenata]:[Euro/Mq]],2,FALSE),VLOOKUP(H665,digitale[[ONDA]:[Fornitore]],3,FALSE))</f>
        <v/>
      </c>
      <c r="G665" s="484" t="n"/>
      <c r="H665" s="484">
        <f>IF(MID(A665, FIND("/", A665, FIND("/", A665) + 1) + 1, 2)="A","C",MID(A665, FIND("/", A665, FIND("/", A665) + 1) + 1, 2))</f>
        <v/>
      </c>
      <c r="I665" s="486">
        <f>TRIM(H665)</f>
        <v/>
      </c>
    </row>
    <row r="666" ht="15" customHeight="1">
      <c r="A666" s="487" t="inlineStr">
        <is>
          <t>PANNELLO SANDWICH APA2 B.CO 3050x2030x10</t>
        </is>
      </c>
      <c r="B666" s="484">
        <f>+_xlfn.CONCAT(Tabella118[[#This Row],[Composizione]], " - ", Tabella118[[#This Row],[Fornitore]])</f>
        <v/>
      </c>
      <c r="C666" s="951" t="n">
        <v>10.33</v>
      </c>
      <c r="D666" s="484" t="inlineStr">
        <is>
          <t>Apa Group</t>
        </is>
      </c>
      <c r="E666" s="484">
        <f>IFERROR(IF(H666="BC",Tabella118[[#This Row],[composizione concatenata]],IF(H666="C",Tabella118[[#This Row],[composizione concatenata]],VLOOKUP(I666,$K$2:$O$7,5,FALSE))),+Tabella118[[#This Row],[composizione concatenata]])</f>
        <v/>
      </c>
      <c r="F666" s="943">
        <f>+_xlfn.IFNA(VLOOKUP(Tabella118[[#This Row],[Composizione alternativa per digitale]],Tabella118[[composizione concatenata]:[Euro/Mq]],2,FALSE),VLOOKUP(H666,digitale[[ONDA]:[Fornitore]],3,FALSE))</f>
        <v/>
      </c>
      <c r="G666" s="484" t="n"/>
      <c r="H666" s="484">
        <f>IF(MID(A666, FIND("/", A666, FIND("/", A666) + 1) + 1, 2)="A","C",MID(A666, FIND("/", A666, FIND("/", A666) + 1) + 1, 2))</f>
        <v/>
      </c>
      <c r="I666" s="486">
        <f>TRIM(H666)</f>
        <v/>
      </c>
    </row>
    <row r="667" ht="15" customHeight="1">
      <c r="A667" s="487" t="inlineStr">
        <is>
          <t>PANNELLO SANDWICH APA2 B.CO 3050x2030x15</t>
        </is>
      </c>
      <c r="B667" s="484">
        <f>+_xlfn.CONCAT(Tabella118[[#This Row],[Composizione]], " - ", Tabella118[[#This Row],[Fornitore]])</f>
        <v/>
      </c>
      <c r="C667" s="951" t="n">
        <v>11.5</v>
      </c>
      <c r="D667" s="484" t="inlineStr">
        <is>
          <t>Apa Group</t>
        </is>
      </c>
      <c r="E667" s="484">
        <f>IFERROR(IF(H667="BC",Tabella118[[#This Row],[composizione concatenata]],IF(H667="C",Tabella118[[#This Row],[composizione concatenata]],VLOOKUP(I667,$K$2:$O$7,5,FALSE))),+Tabella118[[#This Row],[composizione concatenata]])</f>
        <v/>
      </c>
      <c r="F667" s="943">
        <f>+_xlfn.IFNA(VLOOKUP(Tabella118[[#This Row],[Composizione alternativa per digitale]],Tabella118[[composizione concatenata]:[Euro/Mq]],2,FALSE),VLOOKUP(H667,digitale[[ONDA]:[Fornitore]],3,FALSE))</f>
        <v/>
      </c>
      <c r="G667" s="484" t="n"/>
      <c r="H667" s="484">
        <f>IF(MID(A667, FIND("/", A667, FIND("/", A667) + 1) + 1, 2)="A","C",MID(A667, FIND("/", A667, FIND("/", A667) + 1) + 1, 2))</f>
        <v/>
      </c>
      <c r="I667" s="486">
        <f>TRIM(H667)</f>
        <v/>
      </c>
    </row>
    <row r="668" ht="15" customHeight="1">
      <c r="A668" s="487" t="inlineStr">
        <is>
          <t>PANNELLO SANDWICH APA2 B.CO 3050x2030x19</t>
        </is>
      </c>
      <c r="B668" s="484">
        <f>+_xlfn.CONCAT(Tabella118[[#This Row],[Composizione]], " - ", Tabella118[[#This Row],[Fornitore]])</f>
        <v/>
      </c>
      <c r="C668" s="951" t="n">
        <v>12.3</v>
      </c>
      <c r="D668" s="484" t="inlineStr">
        <is>
          <t>Apa Group</t>
        </is>
      </c>
      <c r="E668" s="484">
        <f>IFERROR(IF(H668="BC",Tabella118[[#This Row],[composizione concatenata]],IF(H668="C",Tabella118[[#This Row],[composizione concatenata]],VLOOKUP(I668,$K$2:$O$7,5,FALSE))),+Tabella118[[#This Row],[composizione concatenata]])</f>
        <v/>
      </c>
      <c r="F668" s="943">
        <f>+_xlfn.IFNA(VLOOKUP(Tabella118[[#This Row],[Composizione alternativa per digitale]],Tabella118[[composizione concatenata]:[Euro/Mq]],2,FALSE),VLOOKUP(H668,digitale[[ONDA]:[Fornitore]],3,FALSE))</f>
        <v/>
      </c>
      <c r="G668" s="484" t="n"/>
      <c r="H668" s="484">
        <f>IF(MID(A668, FIND("/", A668, FIND("/", A668) + 1) + 1, 2)="A","C",MID(A668, FIND("/", A668, FIND("/", A668) + 1) + 1, 2))</f>
        <v/>
      </c>
      <c r="I668" s="486">
        <f>TRIM(H668)</f>
        <v/>
      </c>
    </row>
    <row r="669" ht="15" customHeight="1">
      <c r="A669" s="487" t="inlineStr">
        <is>
          <t>PANNELLO SANDWICH APA2 B.CO 3050x2030x24</t>
        </is>
      </c>
      <c r="B669" s="484">
        <f>+_xlfn.CONCAT(Tabella118[[#This Row],[Composizione]], " - ", Tabella118[[#This Row],[Fornitore]])</f>
        <v/>
      </c>
      <c r="C669" s="951" t="n">
        <v>15.3</v>
      </c>
      <c r="D669" s="484" t="inlineStr">
        <is>
          <t>Apa Group</t>
        </is>
      </c>
      <c r="E669" s="484">
        <f>IFERROR(IF(H669="BC",Tabella118[[#This Row],[composizione concatenata]],IF(H669="C",Tabella118[[#This Row],[composizione concatenata]],VLOOKUP(I669,$K$2:$O$7,5,FALSE))),+Tabella118[[#This Row],[composizione concatenata]])</f>
        <v/>
      </c>
      <c r="F669" s="943">
        <f>+_xlfn.IFNA(VLOOKUP(Tabella118[[#This Row],[Composizione alternativa per digitale]],Tabella118[[composizione concatenata]:[Euro/Mq]],2,FALSE),VLOOKUP(H669,digitale[[ONDA]:[Fornitore]],3,FALSE))</f>
        <v/>
      </c>
      <c r="G669" s="484" t="n"/>
      <c r="H669" s="484">
        <f>IF(MID(A669, FIND("/", A669, FIND("/", A669) + 1) + 1, 2)="A","C",MID(A669, FIND("/", A669, FIND("/", A669) + 1) + 1, 2))</f>
        <v/>
      </c>
      <c r="I669" s="486">
        <f>TRIM(H669)</f>
        <v/>
      </c>
    </row>
    <row r="670" ht="15" customHeight="1">
      <c r="A670" s="487" t="inlineStr">
        <is>
          <t>PANNELLO SANDWICH B.CO 3050x2030x10</t>
        </is>
      </c>
      <c r="B670" s="484">
        <f>+_xlfn.CONCAT(Tabella118[[#This Row],[Composizione]], " - ", Tabella118[[#This Row],[Fornitore]])</f>
        <v/>
      </c>
      <c r="C670" s="951" t="n">
        <v>10.61</v>
      </c>
      <c r="D670" s="484" t="inlineStr">
        <is>
          <t>Apa Group</t>
        </is>
      </c>
      <c r="E670" s="484">
        <f>IFERROR(IF(H670="BC",Tabella118[[#This Row],[composizione concatenata]],IF(H670="C",Tabella118[[#This Row],[composizione concatenata]],VLOOKUP(I670,$K$2:$O$7,5,FALSE))),+Tabella118[[#This Row],[composizione concatenata]])</f>
        <v/>
      </c>
      <c r="F670" s="943">
        <f>+_xlfn.IFNA(VLOOKUP(Tabella118[[#This Row],[Composizione alternativa per digitale]],Tabella118[[composizione concatenata]:[Euro/Mq]],2,FALSE),VLOOKUP(H670,digitale[[ONDA]:[Fornitore]],3,FALSE))</f>
        <v/>
      </c>
      <c r="G670" s="484" t="n"/>
      <c r="H670" s="484">
        <f>IF(MID(A670, FIND("/", A670, FIND("/", A670) + 1) + 1, 2)="A","C",MID(A670, FIND("/", A670, FIND("/", A670) + 1) + 1, 2))</f>
        <v/>
      </c>
      <c r="I670" s="486">
        <f>TRIM(H670)</f>
        <v/>
      </c>
    </row>
    <row r="671" ht="15" customHeight="1">
      <c r="A671" s="487" t="inlineStr">
        <is>
          <t>PANNELLO SANDWICH B.CO 3050x2030x19</t>
        </is>
      </c>
      <c r="B671" s="484">
        <f>+_xlfn.CONCAT(Tabella118[[#This Row],[Composizione]], " - ", Tabella118[[#This Row],[Fornitore]])</f>
        <v/>
      </c>
      <c r="C671" s="951" t="n">
        <v>12.82</v>
      </c>
      <c r="D671" s="484" t="inlineStr">
        <is>
          <t>Apa Group</t>
        </is>
      </c>
      <c r="E671" s="484">
        <f>IFERROR(IF(H671="BC",Tabella118[[#This Row],[composizione concatenata]],IF(H671="C",Tabella118[[#This Row],[composizione concatenata]],VLOOKUP(I671,$K$2:$O$7,5,FALSE))),+Tabella118[[#This Row],[composizione concatenata]])</f>
        <v/>
      </c>
      <c r="F671" s="943">
        <f>+_xlfn.IFNA(VLOOKUP(Tabella118[[#This Row],[Composizione alternativa per digitale]],Tabella118[[composizione concatenata]:[Euro/Mq]],2,FALSE),VLOOKUP(H671,digitale[[ONDA]:[Fornitore]],3,FALSE))</f>
        <v/>
      </c>
      <c r="G671" s="484" t="n"/>
      <c r="H671" s="484">
        <f>IF(MID(A671, FIND("/", A671, FIND("/", A671) + 1) + 1, 2)="A","C",MID(A671, FIND("/", A671, FIND("/", A671) + 1) + 1, 2))</f>
        <v/>
      </c>
      <c r="I671" s="486">
        <f>TRIM(H671)</f>
        <v/>
      </c>
    </row>
    <row r="672" ht="15" customHeight="1">
      <c r="A672" s="487" t="inlineStr">
        <is>
          <t>PANNELLO SANDWICH B.CO 3050x2030x30</t>
        </is>
      </c>
      <c r="B672" s="484">
        <f>+_xlfn.CONCAT(Tabella118[[#This Row],[Composizione]], " - ", Tabella118[[#This Row],[Fornitore]])</f>
        <v/>
      </c>
      <c r="C672" s="951" t="n">
        <v>17.51</v>
      </c>
      <c r="D672" s="484" t="inlineStr">
        <is>
          <t>Apa Group</t>
        </is>
      </c>
      <c r="E672" s="484">
        <f>IFERROR(IF(H672="BC",Tabella118[[#This Row],[composizione concatenata]],IF(H672="C",Tabella118[[#This Row],[composizione concatenata]],VLOOKUP(I672,$K$2:$O$7,5,FALSE))),+Tabella118[[#This Row],[composizione concatenata]])</f>
        <v/>
      </c>
      <c r="F672" s="943">
        <f>+_xlfn.IFNA(VLOOKUP(Tabella118[[#This Row],[Composizione alternativa per digitale]],Tabella118[[composizione concatenata]:[Euro/Mq]],2,FALSE),VLOOKUP(H672,digitale[[ONDA]:[Fornitore]],3,FALSE))</f>
        <v/>
      </c>
      <c r="G672" s="484" t="n"/>
      <c r="H672" s="484">
        <f>IF(MID(A672, FIND("/", A672, FIND("/", A672) + 1) + 1, 2)="A","C",MID(A672, FIND("/", A672, FIND("/", A672) + 1) + 1, 2))</f>
        <v/>
      </c>
      <c r="I672" s="486">
        <f>TRIM(H672)</f>
        <v/>
      </c>
    </row>
    <row r="673" ht="15" customHeight="1">
      <c r="A673" s="487" t="inlineStr">
        <is>
          <t>PANNELLO SANDWICH NERO 3050x2030x10</t>
        </is>
      </c>
      <c r="B673" s="484">
        <f>+_xlfn.CONCAT(Tabella118[[#This Row],[Composizione]], " - ", Tabella118[[#This Row],[Fornitore]])</f>
        <v/>
      </c>
      <c r="C673" s="951" t="n">
        <v>15.2</v>
      </c>
      <c r="D673" s="484" t="inlineStr">
        <is>
          <t>Apa Group</t>
        </is>
      </c>
      <c r="E673" s="484">
        <f>IFERROR(IF(H673="BC",Tabella118[[#This Row],[composizione concatenata]],IF(H673="C",Tabella118[[#This Row],[composizione concatenata]],VLOOKUP(I673,$K$2:$O$7,5,FALSE))),+Tabella118[[#This Row],[composizione concatenata]])</f>
        <v/>
      </c>
      <c r="F673" s="943">
        <f>+_xlfn.IFNA(VLOOKUP(Tabella118[[#This Row],[Composizione alternativa per digitale]],Tabella118[[composizione concatenata]:[Euro/Mq]],2,FALSE),VLOOKUP(H673,digitale[[ONDA]:[Fornitore]],3,FALSE))</f>
        <v/>
      </c>
      <c r="G673" s="484" t="n"/>
      <c r="H673" s="484">
        <f>IF(MID(A673, FIND("/", A673, FIND("/", A673) + 1) + 1, 2)="A","C",MID(A673, FIND("/", A673, FIND("/", A673) + 1) + 1, 2))</f>
        <v/>
      </c>
      <c r="I673" s="486">
        <f>TRIM(H673)</f>
        <v/>
      </c>
    </row>
    <row r="674" ht="15" customHeight="1">
      <c r="A674" s="487" t="inlineStr">
        <is>
          <t>PANNELLO SANDWICH NERO 3050x2030x19</t>
        </is>
      </c>
      <c r="B674" s="484">
        <f>+_xlfn.CONCAT(Tabella118[[#This Row],[Composizione]], " - ", Tabella118[[#This Row],[Fornitore]])</f>
        <v/>
      </c>
      <c r="C674" s="951" t="n">
        <v>17.34</v>
      </c>
      <c r="D674" s="484" t="inlineStr">
        <is>
          <t>Apa Group</t>
        </is>
      </c>
      <c r="E674" s="484">
        <f>IFERROR(IF(H674="BC",Tabella118[[#This Row],[composizione concatenata]],IF(H674="C",Tabella118[[#This Row],[composizione concatenata]],VLOOKUP(I674,$K$2:$O$7,5,FALSE))),+Tabella118[[#This Row],[composizione concatenata]])</f>
        <v/>
      </c>
      <c r="F674" s="943">
        <f>+_xlfn.IFNA(VLOOKUP(Tabella118[[#This Row],[Composizione alternativa per digitale]],Tabella118[[composizione concatenata]:[Euro/Mq]],2,FALSE),VLOOKUP(H674,digitale[[ONDA]:[Fornitore]],3,FALSE))</f>
        <v/>
      </c>
      <c r="G674" s="484" t="n"/>
      <c r="H674" s="484">
        <f>IF(MID(A674, FIND("/", A674, FIND("/", A674) + 1) + 1, 2)="A","C",MID(A674, FIND("/", A674, FIND("/", A674) + 1) + 1, 2))</f>
        <v/>
      </c>
      <c r="I674" s="486">
        <f>TRIM(H674)</f>
        <v/>
      </c>
    </row>
    <row r="675" ht="15" customHeight="1">
      <c r="A675" s="487" t="inlineStr">
        <is>
          <t>PMMA COLATO COLORATO MET..COL. OROGLAS ARAN. 5630 3050x2030x3</t>
        </is>
      </c>
      <c r="B675" s="484">
        <f>+_xlfn.CONCAT(Tabella118[[#This Row],[Composizione]], " - ", Tabella118[[#This Row],[Fornitore]])</f>
        <v/>
      </c>
      <c r="C675" s="951" t="n">
        <v>21.24</v>
      </c>
      <c r="D675" s="484" t="inlineStr">
        <is>
          <t>Apa Group</t>
        </is>
      </c>
      <c r="E675" s="484">
        <f>IFERROR(IF(H675="BC",Tabella118[[#This Row],[composizione concatenata]],IF(H675="C",Tabella118[[#This Row],[composizione concatenata]],VLOOKUP(I675,$K$2:$O$7,5,FALSE))),+Tabella118[[#This Row],[composizione concatenata]])</f>
        <v/>
      </c>
      <c r="F675" s="943">
        <f>+_xlfn.IFNA(VLOOKUP(Tabella118[[#This Row],[Composizione alternativa per digitale]],Tabella118[[composizione concatenata]:[Euro/Mq]],2,FALSE),VLOOKUP(H675,digitale[[ONDA]:[Fornitore]],3,FALSE))</f>
        <v/>
      </c>
      <c r="G675" s="484" t="n"/>
      <c r="H675" s="484">
        <f>IF(MID(A675, FIND("/", A675, FIND("/", A675) + 1) + 1, 2)="A","C",MID(A675, FIND("/", A675, FIND("/", A675) + 1) + 1, 2))</f>
        <v/>
      </c>
      <c r="I675" s="486">
        <f>TRIM(H675)</f>
        <v/>
      </c>
    </row>
    <row r="676" ht="15" customHeight="1">
      <c r="A676" s="487" t="inlineStr">
        <is>
          <t>PMMA COLATO COLORATO MET..COL. OROGLAS ARAN. 5760 3050x2030x3</t>
        </is>
      </c>
      <c r="B676" s="484">
        <f>+_xlfn.CONCAT(Tabella118[[#This Row],[Composizione]], " - ", Tabella118[[#This Row],[Fornitore]])</f>
        <v/>
      </c>
      <c r="C676" s="951" t="n">
        <v>21.24</v>
      </c>
      <c r="D676" s="484" t="inlineStr">
        <is>
          <t>Apa Group</t>
        </is>
      </c>
      <c r="E676" s="484">
        <f>IFERROR(IF(H676="BC",Tabella118[[#This Row],[composizione concatenata]],IF(H676="C",Tabella118[[#This Row],[composizione concatenata]],VLOOKUP(I676,$K$2:$O$7,5,FALSE))),+Tabella118[[#This Row],[composizione concatenata]])</f>
        <v/>
      </c>
      <c r="F676" s="943">
        <f>+_xlfn.IFNA(VLOOKUP(Tabella118[[#This Row],[Composizione alternativa per digitale]],Tabella118[[composizione concatenata]:[Euro/Mq]],2,FALSE),VLOOKUP(H676,digitale[[ONDA]:[Fornitore]],3,FALSE))</f>
        <v/>
      </c>
      <c r="G676" s="484" t="n"/>
      <c r="H676" s="484">
        <f>IF(MID(A676, FIND("/", A676, FIND("/", A676) + 1) + 1, 2)="A","C",MID(A676, FIND("/", A676, FIND("/", A676) + 1) + 1, 2))</f>
        <v/>
      </c>
      <c r="I676" s="486">
        <f>TRIM(H676)</f>
        <v/>
      </c>
    </row>
    <row r="677" ht="15" customHeight="1">
      <c r="A677" s="487" t="inlineStr">
        <is>
          <t>PMMA COLATO COLORATO MET..COL. OROGLAS AZZUR. 2130 3050x2030x3</t>
        </is>
      </c>
      <c r="B677" s="484">
        <f>+_xlfn.CONCAT(Tabella118[[#This Row],[Composizione]], " - ", Tabella118[[#This Row],[Fornitore]])</f>
        <v/>
      </c>
      <c r="C677" s="951" t="n">
        <v>21.24</v>
      </c>
      <c r="D677" s="484" t="inlineStr">
        <is>
          <t>Apa Group</t>
        </is>
      </c>
      <c r="E677" s="484">
        <f>IFERROR(IF(H677="BC",Tabella118[[#This Row],[composizione concatenata]],IF(H677="C",Tabella118[[#This Row],[composizione concatenata]],VLOOKUP(I677,$K$2:$O$7,5,FALSE))),+Tabella118[[#This Row],[composizione concatenata]])</f>
        <v/>
      </c>
      <c r="F677" s="943">
        <f>+_xlfn.IFNA(VLOOKUP(Tabella118[[#This Row],[Composizione alternativa per digitale]],Tabella118[[composizione concatenata]:[Euro/Mq]],2,FALSE),VLOOKUP(H677,digitale[[ONDA]:[Fornitore]],3,FALSE))</f>
        <v/>
      </c>
      <c r="G677" s="484" t="n"/>
      <c r="H677" s="484">
        <f>IF(MID(A677, FIND("/", A677, FIND("/", A677) + 1) + 1, 2)="A","C",MID(A677, FIND("/", A677, FIND("/", A677) + 1) + 1, 2))</f>
        <v/>
      </c>
      <c r="I677" s="486">
        <f>TRIM(H677)</f>
        <v/>
      </c>
    </row>
    <row r="678" ht="15" customHeight="1">
      <c r="A678" s="487" t="inlineStr">
        <is>
          <t>PMMA COLATO COLORATO MET..COL. OROGLAS BLU 2230 3050x2030x3</t>
        </is>
      </c>
      <c r="B678" s="484">
        <f>+_xlfn.CONCAT(Tabella118[[#This Row],[Composizione]], " - ", Tabella118[[#This Row],[Fornitore]])</f>
        <v/>
      </c>
      <c r="C678" s="951" t="n">
        <v>21.24</v>
      </c>
      <c r="D678" s="484" t="inlineStr">
        <is>
          <t>Apa Group</t>
        </is>
      </c>
      <c r="E678" s="484">
        <f>IFERROR(IF(H678="BC",Tabella118[[#This Row],[composizione concatenata]],IF(H678="C",Tabella118[[#This Row],[composizione concatenata]],VLOOKUP(I678,$K$2:$O$7,5,FALSE))),+Tabella118[[#This Row],[composizione concatenata]])</f>
        <v/>
      </c>
      <c r="F678" s="943">
        <f>+_xlfn.IFNA(VLOOKUP(Tabella118[[#This Row],[Composizione alternativa per digitale]],Tabella118[[composizione concatenata]:[Euro/Mq]],2,FALSE),VLOOKUP(H678,digitale[[ONDA]:[Fornitore]],3,FALSE))</f>
        <v/>
      </c>
      <c r="G678" s="484" t="n"/>
      <c r="H678" s="484">
        <f>IF(MID(A678, FIND("/", A678, FIND("/", A678) + 1) + 1, 2)="A","C",MID(A678, FIND("/", A678, FIND("/", A678) + 1) + 1, 2))</f>
        <v/>
      </c>
      <c r="I678" s="486">
        <f>TRIM(H678)</f>
        <v/>
      </c>
    </row>
    <row r="679" ht="15" customHeight="1">
      <c r="A679" s="487" t="inlineStr">
        <is>
          <t>PMMA COLATO COLORATO MET..COL. OROGLAS BLU 2520 3050x2030x3</t>
        </is>
      </c>
      <c r="B679" s="484">
        <f>+_xlfn.CONCAT(Tabella118[[#This Row],[Composizione]], " - ", Tabella118[[#This Row],[Fornitore]])</f>
        <v/>
      </c>
      <c r="C679" s="951" t="n">
        <v>21.24</v>
      </c>
      <c r="D679" s="484" t="inlineStr">
        <is>
          <t>Apa Group</t>
        </is>
      </c>
      <c r="E679" s="484">
        <f>IFERROR(IF(H679="BC",Tabella118[[#This Row],[composizione concatenata]],IF(H679="C",Tabella118[[#This Row],[composizione concatenata]],VLOOKUP(I679,$K$2:$O$7,5,FALSE))),+Tabella118[[#This Row],[composizione concatenata]])</f>
        <v/>
      </c>
      <c r="F679" s="943">
        <f>+_xlfn.IFNA(VLOOKUP(Tabella118[[#This Row],[Composizione alternativa per digitale]],Tabella118[[composizione concatenata]:[Euro/Mq]],2,FALSE),VLOOKUP(H679,digitale[[ONDA]:[Fornitore]],3,FALSE))</f>
        <v/>
      </c>
      <c r="G679" s="484" t="n"/>
      <c r="H679" s="484">
        <f>IF(MID(A679, FIND("/", A679, FIND("/", A679) + 1) + 1, 2)="A","C",MID(A679, FIND("/", A679, FIND("/", A679) + 1) + 1, 2))</f>
        <v/>
      </c>
      <c r="I679" s="486">
        <f>TRIM(H679)</f>
        <v/>
      </c>
    </row>
    <row r="680" ht="15" customHeight="1">
      <c r="A680" s="487" t="inlineStr">
        <is>
          <t>PMMA COLATO COLORATO MET..COL. OROGLAS BLU 2840 3050x2030x3</t>
        </is>
      </c>
      <c r="B680" s="484">
        <f>+_xlfn.CONCAT(Tabella118[[#This Row],[Composizione]], " - ", Tabella118[[#This Row],[Fornitore]])</f>
        <v/>
      </c>
      <c r="C680" s="951" t="n">
        <v>21.24</v>
      </c>
      <c r="D680" s="484" t="inlineStr">
        <is>
          <t>Apa Group</t>
        </is>
      </c>
      <c r="E680" s="484">
        <f>IFERROR(IF(H680="BC",Tabella118[[#This Row],[composizione concatenata]],IF(H680="C",Tabella118[[#This Row],[composizione concatenata]],VLOOKUP(I680,$K$2:$O$7,5,FALSE))),+Tabella118[[#This Row],[composizione concatenata]])</f>
        <v/>
      </c>
      <c r="F680" s="943">
        <f>+_xlfn.IFNA(VLOOKUP(Tabella118[[#This Row],[Composizione alternativa per digitale]],Tabella118[[composizione concatenata]:[Euro/Mq]],2,FALSE),VLOOKUP(H680,digitale[[ONDA]:[Fornitore]],3,FALSE))</f>
        <v/>
      </c>
      <c r="G680" s="484" t="n"/>
      <c r="H680" s="484">
        <f>IF(MID(A680, FIND("/", A680, FIND("/", A680) + 1) + 1, 2)="A","C",MID(A680, FIND("/", A680, FIND("/", A680) + 1) + 1, 2))</f>
        <v/>
      </c>
      <c r="I680" s="486">
        <f>TRIM(H680)</f>
        <v/>
      </c>
    </row>
    <row r="681" ht="15" customHeight="1">
      <c r="A681" s="487" t="inlineStr">
        <is>
          <t>PMMA COLATO COLORATO MET..COL. OROGLAS GIALLO 3120 3050x2030x3</t>
        </is>
      </c>
      <c r="B681" s="484">
        <f>+_xlfn.CONCAT(Tabella118[[#This Row],[Composizione]], " - ", Tabella118[[#This Row],[Fornitore]])</f>
        <v/>
      </c>
      <c r="C681" s="951" t="n">
        <v>21.24</v>
      </c>
      <c r="D681" s="484" t="inlineStr">
        <is>
          <t>Apa Group</t>
        </is>
      </c>
      <c r="E681" s="484">
        <f>IFERROR(IF(H681="BC",Tabella118[[#This Row],[composizione concatenata]],IF(H681="C",Tabella118[[#This Row],[composizione concatenata]],VLOOKUP(I681,$K$2:$O$7,5,FALSE))),+Tabella118[[#This Row],[composizione concatenata]])</f>
        <v/>
      </c>
      <c r="F681" s="943">
        <f>+_xlfn.IFNA(VLOOKUP(Tabella118[[#This Row],[Composizione alternativa per digitale]],Tabella118[[composizione concatenata]:[Euro/Mq]],2,FALSE),VLOOKUP(H681,digitale[[ONDA]:[Fornitore]],3,FALSE))</f>
        <v/>
      </c>
      <c r="G681" s="484" t="n"/>
      <c r="H681" s="484">
        <f>IF(MID(A681, FIND("/", A681, FIND("/", A681) + 1) + 1, 2)="A","C",MID(A681, FIND("/", A681, FIND("/", A681) + 1) + 1, 2))</f>
        <v/>
      </c>
      <c r="I681" s="486">
        <f>TRIM(H681)</f>
        <v/>
      </c>
    </row>
    <row r="682" ht="15" customHeight="1">
      <c r="A682" s="487" t="inlineStr">
        <is>
          <t>PMMA COLATO COLORATO MET..COL. OROGLAS GIALLO 3520 3050x2030x3</t>
        </is>
      </c>
      <c r="B682" s="484">
        <f>+_xlfn.CONCAT(Tabella118[[#This Row],[Composizione]], " - ", Tabella118[[#This Row],[Fornitore]])</f>
        <v/>
      </c>
      <c r="C682" s="951" t="n">
        <v>21.24</v>
      </c>
      <c r="D682" s="484" t="inlineStr">
        <is>
          <t>Apa Group</t>
        </is>
      </c>
      <c r="E682" s="484">
        <f>IFERROR(IF(H682="BC",Tabella118[[#This Row],[composizione concatenata]],IF(H682="C",Tabella118[[#This Row],[composizione concatenata]],VLOOKUP(I682,$K$2:$O$7,5,FALSE))),+Tabella118[[#This Row],[composizione concatenata]])</f>
        <v/>
      </c>
      <c r="F682" s="943">
        <f>+_xlfn.IFNA(VLOOKUP(Tabella118[[#This Row],[Composizione alternativa per digitale]],Tabella118[[composizione concatenata]:[Euro/Mq]],2,FALSE),VLOOKUP(H682,digitale[[ONDA]:[Fornitore]],3,FALSE))</f>
        <v/>
      </c>
      <c r="G682" s="484" t="n"/>
      <c r="H682" s="484">
        <f>IF(MID(A682, FIND("/", A682, FIND("/", A682) + 1) + 1, 2)="A","C",MID(A682, FIND("/", A682, FIND("/", A682) + 1) + 1, 2))</f>
        <v/>
      </c>
      <c r="I682" s="486">
        <f>TRIM(H682)</f>
        <v/>
      </c>
    </row>
    <row r="683" ht="15" customHeight="1">
      <c r="A683" s="487" t="inlineStr">
        <is>
          <t>PMMA COLATO COLORATO MET..COL. OROGLAS GRIGIO 7560 3050x2030x3</t>
        </is>
      </c>
      <c r="B683" s="484">
        <f>+_xlfn.CONCAT(Tabella118[[#This Row],[Composizione]], " - ", Tabella118[[#This Row],[Fornitore]])</f>
        <v/>
      </c>
      <c r="C683" s="951" t="n">
        <v>21.24</v>
      </c>
      <c r="D683" s="484" t="inlineStr">
        <is>
          <t>Apa Group</t>
        </is>
      </c>
      <c r="E683" s="484">
        <f>IFERROR(IF(H683="BC",Tabella118[[#This Row],[composizione concatenata]],IF(H683="C",Tabella118[[#This Row],[composizione concatenata]],VLOOKUP(I683,$K$2:$O$7,5,FALSE))),+Tabella118[[#This Row],[composizione concatenata]])</f>
        <v/>
      </c>
      <c r="F683" s="943">
        <f>+_xlfn.IFNA(VLOOKUP(Tabella118[[#This Row],[Composizione alternativa per digitale]],Tabella118[[composizione concatenata]:[Euro/Mq]],2,FALSE),VLOOKUP(H683,digitale[[ONDA]:[Fornitore]],3,FALSE))</f>
        <v/>
      </c>
      <c r="G683" s="484" t="n"/>
      <c r="H683" s="484">
        <f>IF(MID(A683, FIND("/", A683, FIND("/", A683) + 1) + 1, 2)="A","C",MID(A683, FIND("/", A683, FIND("/", A683) + 1) + 1, 2))</f>
        <v/>
      </c>
      <c r="I683" s="486">
        <f>TRIM(H683)</f>
        <v/>
      </c>
    </row>
    <row r="684" ht="15" customHeight="1">
      <c r="A684" s="487" t="inlineStr">
        <is>
          <t>PMMA COLATO COLORATO MET..COL. OROGLAS GRIGIO 8242 3050x2030x3</t>
        </is>
      </c>
      <c r="B684" s="484">
        <f>+_xlfn.CONCAT(Tabella118[[#This Row],[Composizione]], " - ", Tabella118[[#This Row],[Fornitore]])</f>
        <v/>
      </c>
      <c r="C684" s="951" t="n">
        <v>21.24</v>
      </c>
      <c r="D684" s="484" t="inlineStr">
        <is>
          <t>Apa Group</t>
        </is>
      </c>
      <c r="E684" s="484">
        <f>IFERROR(IF(H684="BC",Tabella118[[#This Row],[composizione concatenata]],IF(H684="C",Tabella118[[#This Row],[composizione concatenata]],VLOOKUP(I684,$K$2:$O$7,5,FALSE))),+Tabella118[[#This Row],[composizione concatenata]])</f>
        <v/>
      </c>
      <c r="F684" s="943">
        <f>+_xlfn.IFNA(VLOOKUP(Tabella118[[#This Row],[Composizione alternativa per digitale]],Tabella118[[composizione concatenata]:[Euro/Mq]],2,FALSE),VLOOKUP(H684,digitale[[ONDA]:[Fornitore]],3,FALSE))</f>
        <v/>
      </c>
      <c r="G684" s="484" t="n"/>
      <c r="H684" s="484">
        <f>IF(MID(A684, FIND("/", A684, FIND("/", A684) + 1) + 1, 2)="A","C",MID(A684, FIND("/", A684, FIND("/", A684) + 1) + 1, 2))</f>
        <v/>
      </c>
      <c r="I684" s="486">
        <f>TRIM(H684)</f>
        <v/>
      </c>
    </row>
    <row r="685" ht="15" customHeight="1">
      <c r="A685" s="487" t="inlineStr">
        <is>
          <t>PMMA COLATO COLORATO MET..COL. OROGLAS GRIGIO 8720 3050x2030x4</t>
        </is>
      </c>
      <c r="B685" s="484">
        <f>+_xlfn.CONCAT(Tabella118[[#This Row],[Composizione]], " - ", Tabella118[[#This Row],[Fornitore]])</f>
        <v/>
      </c>
      <c r="C685" s="951" t="n">
        <v>26.92</v>
      </c>
      <c r="D685" s="484" t="inlineStr">
        <is>
          <t>Apa Group</t>
        </is>
      </c>
      <c r="E685" s="484">
        <f>IFERROR(IF(H685="BC",Tabella118[[#This Row],[composizione concatenata]],IF(H685="C",Tabella118[[#This Row],[composizione concatenata]],VLOOKUP(I685,$K$2:$O$7,5,FALSE))),+Tabella118[[#This Row],[composizione concatenata]])</f>
        <v/>
      </c>
      <c r="F685" s="943">
        <f>+_xlfn.IFNA(VLOOKUP(Tabella118[[#This Row],[Composizione alternativa per digitale]],Tabella118[[composizione concatenata]:[Euro/Mq]],2,FALSE),VLOOKUP(H685,digitale[[ONDA]:[Fornitore]],3,FALSE))</f>
        <v/>
      </c>
      <c r="G685" s="484" t="n"/>
      <c r="H685" s="484">
        <f>IF(MID(A685, FIND("/", A685, FIND("/", A685) + 1) + 1, 2)="A","C",MID(A685, FIND("/", A685, FIND("/", A685) + 1) + 1, 2))</f>
        <v/>
      </c>
      <c r="I685" s="486">
        <f>TRIM(H685)</f>
        <v/>
      </c>
    </row>
    <row r="686" ht="15" customHeight="1">
      <c r="A686" s="487" t="inlineStr">
        <is>
          <t>PMMA COLATO COLORATO MET..COL. OROGLAS GRIGIO 8750 3050x2030x3</t>
        </is>
      </c>
      <c r="B686" s="484">
        <f>+_xlfn.CONCAT(Tabella118[[#This Row],[Composizione]], " - ", Tabella118[[#This Row],[Fornitore]])</f>
        <v/>
      </c>
      <c r="C686" s="951" t="n">
        <v>21.24</v>
      </c>
      <c r="D686" s="484" t="inlineStr">
        <is>
          <t>Apa Group</t>
        </is>
      </c>
      <c r="E686" s="484">
        <f>IFERROR(IF(H686="BC",Tabella118[[#This Row],[composizione concatenata]],IF(H686="C",Tabella118[[#This Row],[composizione concatenata]],VLOOKUP(I686,$K$2:$O$7,5,FALSE))),+Tabella118[[#This Row],[composizione concatenata]])</f>
        <v/>
      </c>
      <c r="F686" s="943">
        <f>+_xlfn.IFNA(VLOOKUP(Tabella118[[#This Row],[Composizione alternativa per digitale]],Tabella118[[composizione concatenata]:[Euro/Mq]],2,FALSE),VLOOKUP(H686,digitale[[ONDA]:[Fornitore]],3,FALSE))</f>
        <v/>
      </c>
      <c r="G686" s="484" t="n"/>
      <c r="H686" s="484">
        <f>IF(MID(A686, FIND("/", A686, FIND("/", A686) + 1) + 1, 2)="A","C",MID(A686, FIND("/", A686, FIND("/", A686) + 1) + 1, 2))</f>
        <v/>
      </c>
      <c r="I686" s="486">
        <f>TRIM(H686)</f>
        <v/>
      </c>
    </row>
    <row r="687" ht="15" customHeight="1">
      <c r="A687" s="487" t="inlineStr">
        <is>
          <t>PMMA COLATO COLORATO MET..COL. OROGLAS GRIGIO 8750 3050x2030x4</t>
        </is>
      </c>
      <c r="B687" s="484">
        <f>+_xlfn.CONCAT(Tabella118[[#This Row],[Composizione]], " - ", Tabella118[[#This Row],[Fornitore]])</f>
        <v/>
      </c>
      <c r="C687" s="951" t="n">
        <v>26.92</v>
      </c>
      <c r="D687" s="484" t="inlineStr">
        <is>
          <t>Apa Group</t>
        </is>
      </c>
      <c r="E687" s="484">
        <f>IFERROR(IF(H687="BC",Tabella118[[#This Row],[composizione concatenata]],IF(H687="C",Tabella118[[#This Row],[composizione concatenata]],VLOOKUP(I687,$K$2:$O$7,5,FALSE))),+Tabella118[[#This Row],[composizione concatenata]])</f>
        <v/>
      </c>
      <c r="F687" s="943">
        <f>+_xlfn.IFNA(VLOOKUP(Tabella118[[#This Row],[Composizione alternativa per digitale]],Tabella118[[composizione concatenata]:[Euro/Mq]],2,FALSE),VLOOKUP(H687,digitale[[ONDA]:[Fornitore]],3,FALSE))</f>
        <v/>
      </c>
      <c r="G687" s="484" t="n"/>
      <c r="H687" s="484">
        <f>IF(MID(A687, FIND("/", A687, FIND("/", A687) + 1) + 1, 2)="A","C",MID(A687, FIND("/", A687, FIND("/", A687) + 1) + 1, 2))</f>
        <v/>
      </c>
      <c r="I687" s="486">
        <f>TRIM(H687)</f>
        <v/>
      </c>
    </row>
    <row r="688" ht="15" customHeight="1">
      <c r="A688" s="487" t="inlineStr">
        <is>
          <t>PMMA COLATO COLORATO MET..COL. OROGLAS GRIGIO 8750 3050x2030x5</t>
        </is>
      </c>
      <c r="B688" s="484">
        <f>+_xlfn.CONCAT(Tabella118[[#This Row],[Composizione]], " - ", Tabella118[[#This Row],[Fornitore]])</f>
        <v/>
      </c>
      <c r="C688" s="951" t="n">
        <v>33.66</v>
      </c>
      <c r="D688" s="484" t="inlineStr">
        <is>
          <t>Apa Group</t>
        </is>
      </c>
      <c r="E688" s="484">
        <f>IFERROR(IF(H688="BC",Tabella118[[#This Row],[composizione concatenata]],IF(H688="C",Tabella118[[#This Row],[composizione concatenata]],VLOOKUP(I688,$K$2:$O$7,5,FALSE))),+Tabella118[[#This Row],[composizione concatenata]])</f>
        <v/>
      </c>
      <c r="F688" s="943">
        <f>+_xlfn.IFNA(VLOOKUP(Tabella118[[#This Row],[Composizione alternativa per digitale]],Tabella118[[composizione concatenata]:[Euro/Mq]],2,FALSE),VLOOKUP(H688,digitale[[ONDA]:[Fornitore]],3,FALSE))</f>
        <v/>
      </c>
      <c r="G688" s="484" t="n"/>
      <c r="H688" s="484">
        <f>IF(MID(A688, FIND("/", A688, FIND("/", A688) + 1) + 1, 2)="A","C",MID(A688, FIND("/", A688, FIND("/", A688) + 1) + 1, 2))</f>
        <v/>
      </c>
      <c r="I688" s="486">
        <f>TRIM(H688)</f>
        <v/>
      </c>
    </row>
    <row r="689" ht="15" customHeight="1">
      <c r="A689" s="487" t="inlineStr">
        <is>
          <t>PMMA COLATO COLORATO MET..COL. OROGLAS GRIGIO 8750 3050x2030x6</t>
        </is>
      </c>
      <c r="B689" s="484">
        <f>+_xlfn.CONCAT(Tabella118[[#This Row],[Composizione]], " - ", Tabella118[[#This Row],[Fornitore]])</f>
        <v/>
      </c>
      <c r="C689" s="951" t="n">
        <v>40.43</v>
      </c>
      <c r="D689" s="484" t="inlineStr">
        <is>
          <t>Apa Group</t>
        </is>
      </c>
      <c r="E689" s="484">
        <f>IFERROR(IF(H689="BC",Tabella118[[#This Row],[composizione concatenata]],IF(H689="C",Tabella118[[#This Row],[composizione concatenata]],VLOOKUP(I689,$K$2:$O$7,5,FALSE))),+Tabella118[[#This Row],[composizione concatenata]])</f>
        <v/>
      </c>
      <c r="F689" s="943">
        <f>+_xlfn.IFNA(VLOOKUP(Tabella118[[#This Row],[Composizione alternativa per digitale]],Tabella118[[composizione concatenata]:[Euro/Mq]],2,FALSE),VLOOKUP(H689,digitale[[ONDA]:[Fornitore]],3,FALSE))</f>
        <v/>
      </c>
      <c r="G689" s="484" t="n"/>
      <c r="H689" s="484">
        <f>IF(MID(A689, FIND("/", A689, FIND("/", A689) + 1) + 1, 2)="A","C",MID(A689, FIND("/", A689, FIND("/", A689) + 1) + 1, 2))</f>
        <v/>
      </c>
      <c r="I689" s="486">
        <f>TRIM(H689)</f>
        <v/>
      </c>
    </row>
    <row r="690" ht="15" customHeight="1">
      <c r="A690" s="487" t="inlineStr">
        <is>
          <t>PMMA COLATO COLORATO MET..COL. OROGLAS GRIGIO 8750 3050x2030x8</t>
        </is>
      </c>
      <c r="B690" s="484">
        <f>+_xlfn.CONCAT(Tabella118[[#This Row],[Composizione]], " - ", Tabella118[[#This Row],[Fornitore]])</f>
        <v/>
      </c>
      <c r="C690" s="951" t="n">
        <v>53.89</v>
      </c>
      <c r="D690" s="484" t="inlineStr">
        <is>
          <t>Apa Group</t>
        </is>
      </c>
      <c r="E690" s="484">
        <f>IFERROR(IF(H690="BC",Tabella118[[#This Row],[composizione concatenata]],IF(H690="C",Tabella118[[#This Row],[composizione concatenata]],VLOOKUP(I690,$K$2:$O$7,5,FALSE))),+Tabella118[[#This Row],[composizione concatenata]])</f>
        <v/>
      </c>
      <c r="F690" s="943">
        <f>+_xlfn.IFNA(VLOOKUP(Tabella118[[#This Row],[Composizione alternativa per digitale]],Tabella118[[composizione concatenata]:[Euro/Mq]],2,FALSE),VLOOKUP(H690,digitale[[ONDA]:[Fornitore]],3,FALSE))</f>
        <v/>
      </c>
      <c r="G690" s="484" t="n"/>
      <c r="H690" s="484">
        <f>IF(MID(A690, FIND("/", A690, FIND("/", A690) + 1) + 1, 2)="A","C",MID(A690, FIND("/", A690, FIND("/", A690) + 1) + 1, 2))</f>
        <v/>
      </c>
      <c r="I690" s="486">
        <f>TRIM(H690)</f>
        <v/>
      </c>
    </row>
    <row r="691" ht="15" customHeight="1">
      <c r="A691" s="487" t="inlineStr">
        <is>
          <t>PMMA COLATO COLORATO MET..COL. OROGLAS ORO 6371 3080x2050x3</t>
        </is>
      </c>
      <c r="B691" s="484">
        <f>+_xlfn.CONCAT(Tabella118[[#This Row],[Composizione]], " - ", Tabella118[[#This Row],[Fornitore]])</f>
        <v/>
      </c>
      <c r="C691" s="951" t="n">
        <v>49.13</v>
      </c>
      <c r="D691" s="484" t="inlineStr">
        <is>
          <t>Apa Group</t>
        </is>
      </c>
      <c r="E691" s="484">
        <f>IFERROR(IF(H691="BC",Tabella118[[#This Row],[composizione concatenata]],IF(H691="C",Tabella118[[#This Row],[composizione concatenata]],VLOOKUP(I691,$K$2:$O$7,5,FALSE))),+Tabella118[[#This Row],[composizione concatenata]])</f>
        <v/>
      </c>
      <c r="F691" s="943">
        <f>+_xlfn.IFNA(VLOOKUP(Tabella118[[#This Row],[Composizione alternativa per digitale]],Tabella118[[composizione concatenata]:[Euro/Mq]],2,FALSE),VLOOKUP(H691,digitale[[ONDA]:[Fornitore]],3,FALSE))</f>
        <v/>
      </c>
      <c r="G691" s="484" t="n"/>
      <c r="H691" s="484">
        <f>IF(MID(A691, FIND("/", A691, FIND("/", A691) + 1) + 1, 2)="A","C",MID(A691, FIND("/", A691, FIND("/", A691) + 1) + 1, 2))</f>
        <v/>
      </c>
      <c r="I691" s="486">
        <f>TRIM(H691)</f>
        <v/>
      </c>
    </row>
    <row r="692" ht="15" customHeight="1">
      <c r="A692" s="487" t="inlineStr">
        <is>
          <t>PMMA COLATO COLORATO MET..COL. OROGLAS ROSSO 1170 3050x2030x3</t>
        </is>
      </c>
      <c r="B692" s="484">
        <f>+_xlfn.CONCAT(Tabella118[[#This Row],[Composizione]], " - ", Tabella118[[#This Row],[Fornitore]])</f>
        <v/>
      </c>
      <c r="C692" s="951" t="n">
        <v>21.24</v>
      </c>
      <c r="D692" s="484" t="inlineStr">
        <is>
          <t>Apa Group</t>
        </is>
      </c>
      <c r="E692" s="484">
        <f>IFERROR(IF(H692="BC",Tabella118[[#This Row],[composizione concatenata]],IF(H692="C",Tabella118[[#This Row],[composizione concatenata]],VLOOKUP(I692,$K$2:$O$7,5,FALSE))),+Tabella118[[#This Row],[composizione concatenata]])</f>
        <v/>
      </c>
      <c r="F692" s="943">
        <f>+_xlfn.IFNA(VLOOKUP(Tabella118[[#This Row],[Composizione alternativa per digitale]],Tabella118[[composizione concatenata]:[Euro/Mq]],2,FALSE),VLOOKUP(H692,digitale[[ONDA]:[Fornitore]],3,FALSE))</f>
        <v/>
      </c>
      <c r="G692" s="484" t="n"/>
      <c r="H692" s="484">
        <f>IF(MID(A692, FIND("/", A692, FIND("/", A692) + 1) + 1, 2)="A","C",MID(A692, FIND("/", A692, FIND("/", A692) + 1) + 1, 2))</f>
        <v/>
      </c>
      <c r="I692" s="486">
        <f>TRIM(H692)</f>
        <v/>
      </c>
    </row>
    <row r="693" ht="15" customHeight="1">
      <c r="A693" s="487" t="inlineStr">
        <is>
          <t>PMMA COLATO COLORATO MET..COL. OROGLAS ROSSO 1510 3050x2030x3</t>
        </is>
      </c>
      <c r="B693" s="484">
        <f>+_xlfn.CONCAT(Tabella118[[#This Row],[Composizione]], " - ", Tabella118[[#This Row],[Fornitore]])</f>
        <v/>
      </c>
      <c r="C693" s="951" t="n">
        <v>21.24</v>
      </c>
      <c r="D693" s="484" t="inlineStr">
        <is>
          <t>Apa Group</t>
        </is>
      </c>
      <c r="E693" s="484">
        <f>IFERROR(IF(H693="BC",Tabella118[[#This Row],[composizione concatenata]],IF(H693="C",Tabella118[[#This Row],[composizione concatenata]],VLOOKUP(I693,$K$2:$O$7,5,FALSE))),+Tabella118[[#This Row],[composizione concatenata]])</f>
        <v/>
      </c>
      <c r="F693" s="943">
        <f>+_xlfn.IFNA(VLOOKUP(Tabella118[[#This Row],[Composizione alternativa per digitale]],Tabella118[[composizione concatenata]:[Euro/Mq]],2,FALSE),VLOOKUP(H693,digitale[[ONDA]:[Fornitore]],3,FALSE))</f>
        <v/>
      </c>
      <c r="G693" s="484" t="n"/>
      <c r="H693" s="484">
        <f>IF(MID(A693, FIND("/", A693, FIND("/", A693) + 1) + 1, 2)="A","C",MID(A693, FIND("/", A693, FIND("/", A693) + 1) + 1, 2))</f>
        <v/>
      </c>
      <c r="I693" s="486">
        <f>TRIM(H693)</f>
        <v/>
      </c>
    </row>
    <row r="694" ht="15" customHeight="1">
      <c r="A694" s="487" t="inlineStr">
        <is>
          <t>PMMA COLATO COLORATO MET..COL.OROGLAS B&amp;W LED 7321 3050x2030x3</t>
        </is>
      </c>
      <c r="B694" s="484">
        <f>+_xlfn.CONCAT(Tabella118[[#This Row],[Composizione]], " - ", Tabella118[[#This Row],[Fornitore]])</f>
        <v/>
      </c>
      <c r="C694" s="951" t="n">
        <v>38.69</v>
      </c>
      <c r="D694" s="484" t="inlineStr">
        <is>
          <t>Apa Group</t>
        </is>
      </c>
      <c r="E694" s="484">
        <f>IFERROR(IF(H694="BC",Tabella118[[#This Row],[composizione concatenata]],IF(H694="C",Tabella118[[#This Row],[composizione concatenata]],VLOOKUP(I694,$K$2:$O$7,5,FALSE))),+Tabella118[[#This Row],[composizione concatenata]])</f>
        <v/>
      </c>
      <c r="F694" s="943">
        <f>+_xlfn.IFNA(VLOOKUP(Tabella118[[#This Row],[Composizione alternativa per digitale]],Tabella118[[composizione concatenata]:[Euro/Mq]],2,FALSE),VLOOKUP(H694,digitale[[ONDA]:[Fornitore]],3,FALSE))</f>
        <v/>
      </c>
      <c r="G694" s="484" t="n"/>
      <c r="H694" s="484">
        <f>IF(MID(A694, FIND("/", A694, FIND("/", A694) + 1) + 1, 2)="A","C",MID(A694, FIND("/", A694, FIND("/", A694) + 1) + 1, 2))</f>
        <v/>
      </c>
      <c r="I694" s="486">
        <f>TRIM(H694)</f>
        <v/>
      </c>
    </row>
    <row r="695" ht="15" customHeight="1">
      <c r="A695" s="487" t="inlineStr">
        <is>
          <t>PMMA COLATO COLORATO MET..COL.OROGLAS BLUE FL 2251 3050x2030x3</t>
        </is>
      </c>
      <c r="B695" s="484">
        <f>+_xlfn.CONCAT(Tabella118[[#This Row],[Composizione]], " - ", Tabella118[[#This Row],[Fornitore]])</f>
        <v/>
      </c>
      <c r="C695" s="951" t="n">
        <v>31.57</v>
      </c>
      <c r="D695" s="484" t="inlineStr">
        <is>
          <t>Apa Group</t>
        </is>
      </c>
      <c r="E695" s="484">
        <f>IFERROR(IF(H695="BC",Tabella118[[#This Row],[composizione concatenata]],IF(H695="C",Tabella118[[#This Row],[composizione concatenata]],VLOOKUP(I695,$K$2:$O$7,5,FALSE))),+Tabella118[[#This Row],[composizione concatenata]])</f>
        <v/>
      </c>
      <c r="F695" s="943">
        <f>+_xlfn.IFNA(VLOOKUP(Tabella118[[#This Row],[Composizione alternativa per digitale]],Tabella118[[composizione concatenata]:[Euro/Mq]],2,FALSE),VLOOKUP(H695,digitale[[ONDA]:[Fornitore]],3,FALSE))</f>
        <v/>
      </c>
      <c r="G695" s="484" t="n"/>
      <c r="H695" s="484">
        <f>IF(MID(A695, FIND("/", A695, FIND("/", A695) + 1) + 1, 2)="A","C",MID(A695, FIND("/", A695, FIND("/", A695) + 1) + 1, 2))</f>
        <v/>
      </c>
      <c r="I695" s="486">
        <f>TRIM(H695)</f>
        <v/>
      </c>
    </row>
    <row r="696" ht="15" customHeight="1">
      <c r="A696" s="487" t="inlineStr">
        <is>
          <t>PMMA COLATO COLORATO MET..COL.OROGLAS GRIGIO 8750 3050x2030x10</t>
        </is>
      </c>
      <c r="B696" s="484">
        <f>+_xlfn.CONCAT(Tabella118[[#This Row],[Composizione]], " - ", Tabella118[[#This Row],[Fornitore]])</f>
        <v/>
      </c>
      <c r="C696" s="951" t="n">
        <v>67.31</v>
      </c>
      <c r="D696" s="484" t="inlineStr">
        <is>
          <t>Apa Group</t>
        </is>
      </c>
      <c r="E696" s="484">
        <f>IFERROR(IF(H696="BC",Tabella118[[#This Row],[composizione concatenata]],IF(H696="C",Tabella118[[#This Row],[composizione concatenata]],VLOOKUP(I696,$K$2:$O$7,5,FALSE))),+Tabella118[[#This Row],[composizione concatenata]])</f>
        <v/>
      </c>
      <c r="F696" s="943">
        <f>+_xlfn.IFNA(VLOOKUP(Tabella118[[#This Row],[Composizione alternativa per digitale]],Tabella118[[composizione concatenata]:[Euro/Mq]],2,FALSE),VLOOKUP(H696,digitale[[ONDA]:[Fornitore]],3,FALSE))</f>
        <v/>
      </c>
      <c r="G696" s="484" t="n"/>
      <c r="H696" s="484">
        <f>IF(MID(A696, FIND("/", A696, FIND("/", A696) + 1) + 1, 2)="A","C",MID(A696, FIND("/", A696, FIND("/", A696) + 1) + 1, 2))</f>
        <v/>
      </c>
      <c r="I696" s="486">
        <f>TRIM(H696)</f>
        <v/>
      </c>
    </row>
    <row r="697" ht="15" customHeight="1">
      <c r="A697" s="487" t="inlineStr">
        <is>
          <t>PMMA COLATO O MET.. COL. OROGLAS TR 1001 3050x2030x10</t>
        </is>
      </c>
      <c r="B697" s="484">
        <f>+_xlfn.CONCAT(Tabella118[[#This Row],[Composizione]], " - ", Tabella118[[#This Row],[Fornitore]])</f>
        <v/>
      </c>
      <c r="C697" s="951" t="n">
        <v>53.7</v>
      </c>
      <c r="D697" s="484" t="inlineStr">
        <is>
          <t>Apa Group</t>
        </is>
      </c>
      <c r="E697" s="484">
        <f>IFERROR(IF(H697="BC",Tabella118[[#This Row],[composizione concatenata]],IF(H697="C",Tabella118[[#This Row],[composizione concatenata]],VLOOKUP(I697,$K$2:$O$7,5,FALSE))),+Tabella118[[#This Row],[composizione concatenata]])</f>
        <v/>
      </c>
      <c r="F697" s="943">
        <f>+_xlfn.IFNA(VLOOKUP(Tabella118[[#This Row],[Composizione alternativa per digitale]],Tabella118[[composizione concatenata]:[Euro/Mq]],2,FALSE),VLOOKUP(H697,digitale[[ONDA]:[Fornitore]],3,FALSE))</f>
        <v/>
      </c>
      <c r="G697" s="484" t="n"/>
      <c r="H697" s="484">
        <f>IF(MID(A697, FIND("/", A697, FIND("/", A697) + 1) + 1, 2)="A","C",MID(A697, FIND("/", A697, FIND("/", A697) + 1) + 1, 2))</f>
        <v/>
      </c>
      <c r="I697" s="486">
        <f>TRIM(H697)</f>
        <v/>
      </c>
    </row>
    <row r="698" ht="15" customHeight="1">
      <c r="A698" s="487" t="inlineStr">
        <is>
          <t>PMMA COLATO O MET.. COL. OROGLAS TR 1001 3050x2030x12</t>
        </is>
      </c>
      <c r="B698" s="484">
        <f>+_xlfn.CONCAT(Tabella118[[#This Row],[Composizione]], " - ", Tabella118[[#This Row],[Fornitore]])</f>
        <v/>
      </c>
      <c r="C698" s="951" t="n">
        <v>64.45999999999999</v>
      </c>
      <c r="D698" s="484" t="inlineStr">
        <is>
          <t>Apa Group</t>
        </is>
      </c>
      <c r="E698" s="484">
        <f>IFERROR(IF(H698="BC",Tabella118[[#This Row],[composizione concatenata]],IF(H698="C",Tabella118[[#This Row],[composizione concatenata]],VLOOKUP(I698,$K$2:$O$7,5,FALSE))),+Tabella118[[#This Row],[composizione concatenata]])</f>
        <v/>
      </c>
      <c r="F698" s="943">
        <f>+_xlfn.IFNA(VLOOKUP(Tabella118[[#This Row],[Composizione alternativa per digitale]],Tabella118[[composizione concatenata]:[Euro/Mq]],2,FALSE),VLOOKUP(H698,digitale[[ONDA]:[Fornitore]],3,FALSE))</f>
        <v/>
      </c>
      <c r="G698" s="484" t="n"/>
      <c r="H698" s="484">
        <f>IF(MID(A698, FIND("/", A698, FIND("/", A698) + 1) + 1, 2)="A","C",MID(A698, FIND("/", A698, FIND("/", A698) + 1) + 1, 2))</f>
        <v/>
      </c>
      <c r="I698" s="486">
        <f>TRIM(H698)</f>
        <v/>
      </c>
    </row>
    <row r="699" ht="15" customHeight="1">
      <c r="A699" s="487" t="inlineStr">
        <is>
          <t>PMMA COLATO O MET.. COL. OROGLAS TR 1001 3050x2030x15</t>
        </is>
      </c>
      <c r="B699" s="484">
        <f>+_xlfn.CONCAT(Tabella118[[#This Row],[Composizione]], " - ", Tabella118[[#This Row],[Fornitore]])</f>
        <v/>
      </c>
      <c r="C699" s="951" t="n">
        <v>84.55</v>
      </c>
      <c r="D699" s="484" t="inlineStr">
        <is>
          <t>Apa Group</t>
        </is>
      </c>
      <c r="E699" s="484">
        <f>IFERROR(IF(H699="BC",Tabella118[[#This Row],[composizione concatenata]],IF(H699="C",Tabella118[[#This Row],[composizione concatenata]],VLOOKUP(I699,$K$2:$O$7,5,FALSE))),+Tabella118[[#This Row],[composizione concatenata]])</f>
        <v/>
      </c>
      <c r="F699" s="943">
        <f>+_xlfn.IFNA(VLOOKUP(Tabella118[[#This Row],[Composizione alternativa per digitale]],Tabella118[[composizione concatenata]:[Euro/Mq]],2,FALSE),VLOOKUP(H699,digitale[[ONDA]:[Fornitore]],3,FALSE))</f>
        <v/>
      </c>
      <c r="G699" s="484" t="n"/>
      <c r="H699" s="484">
        <f>IF(MID(A699, FIND("/", A699, FIND("/", A699) + 1) + 1, 2)="A","C",MID(A699, FIND("/", A699, FIND("/", A699) + 1) + 1, 2))</f>
        <v/>
      </c>
      <c r="I699" s="486">
        <f>TRIM(H699)</f>
        <v/>
      </c>
    </row>
    <row r="700" ht="15" customHeight="1">
      <c r="A700" s="487" t="inlineStr">
        <is>
          <t>PMMA COLATO O MET.. COL. OROGLAS TR 1001 3050x2030x2</t>
        </is>
      </c>
      <c r="B700" s="484">
        <f>+_xlfn.CONCAT(Tabella118[[#This Row],[Composizione]], " - ", Tabella118[[#This Row],[Fornitore]])</f>
        <v/>
      </c>
      <c r="C700" s="951" t="n">
        <v>18.68</v>
      </c>
      <c r="D700" s="484" t="inlineStr">
        <is>
          <t>Apa Group</t>
        </is>
      </c>
      <c r="E700" s="484">
        <f>IFERROR(IF(H700="BC",Tabella118[[#This Row],[composizione concatenata]],IF(H700="C",Tabella118[[#This Row],[composizione concatenata]],VLOOKUP(I700,$K$2:$O$7,5,FALSE))),+Tabella118[[#This Row],[composizione concatenata]])</f>
        <v/>
      </c>
      <c r="F700" s="943">
        <f>+_xlfn.IFNA(VLOOKUP(Tabella118[[#This Row],[Composizione alternativa per digitale]],Tabella118[[composizione concatenata]:[Euro/Mq]],2,FALSE),VLOOKUP(H700,digitale[[ONDA]:[Fornitore]],3,FALSE))</f>
        <v/>
      </c>
      <c r="G700" s="484" t="n"/>
      <c r="H700" s="484">
        <f>IF(MID(A700, FIND("/", A700, FIND("/", A700) + 1) + 1, 2)="A","C",MID(A700, FIND("/", A700, FIND("/", A700) + 1) + 1, 2))</f>
        <v/>
      </c>
      <c r="I700" s="486">
        <f>TRIM(H700)</f>
        <v/>
      </c>
    </row>
    <row r="701" ht="15" customHeight="1">
      <c r="A701" s="487" t="inlineStr">
        <is>
          <t>PMMA COLATO O MET.. COL. OROGLAS TR 1001 3050x2030x20</t>
        </is>
      </c>
      <c r="B701" s="484">
        <f>+_xlfn.CONCAT(Tabella118[[#This Row],[Composizione]], " - ", Tabella118[[#This Row],[Fornitore]])</f>
        <v/>
      </c>
      <c r="C701" s="951" t="n">
        <v>118.16</v>
      </c>
      <c r="D701" s="484" t="inlineStr">
        <is>
          <t>Apa Group</t>
        </is>
      </c>
      <c r="E701" s="484">
        <f>IFERROR(IF(H701="BC",Tabella118[[#This Row],[composizione concatenata]],IF(H701="C",Tabella118[[#This Row],[composizione concatenata]],VLOOKUP(I701,$K$2:$O$7,5,FALSE))),+Tabella118[[#This Row],[composizione concatenata]])</f>
        <v/>
      </c>
      <c r="F701" s="943">
        <f>+_xlfn.IFNA(VLOOKUP(Tabella118[[#This Row],[Composizione alternativa per digitale]],Tabella118[[composizione concatenata]:[Euro/Mq]],2,FALSE),VLOOKUP(H701,digitale[[ONDA]:[Fornitore]],3,FALSE))</f>
        <v/>
      </c>
      <c r="G701" s="484" t="n"/>
      <c r="H701" s="484">
        <f>IF(MID(A701, FIND("/", A701, FIND("/", A701) + 1) + 1, 2)="A","C",MID(A701, FIND("/", A701, FIND("/", A701) + 1) + 1, 2))</f>
        <v/>
      </c>
      <c r="I701" s="486">
        <f>TRIM(H701)</f>
        <v/>
      </c>
    </row>
    <row r="702" ht="15" customHeight="1">
      <c r="A702" s="487" t="inlineStr">
        <is>
          <t>PMMA COLATO O MET.. COL. OROGLAS TR 1001 3050x2030x25</t>
        </is>
      </c>
      <c r="B702" s="484">
        <f>+_xlfn.CONCAT(Tabella118[[#This Row],[Composizione]], " - ", Tabella118[[#This Row],[Fornitore]])</f>
        <v/>
      </c>
      <c r="C702" s="951" t="n">
        <v>147.64</v>
      </c>
      <c r="D702" s="484" t="inlineStr">
        <is>
          <t>Apa Group</t>
        </is>
      </c>
      <c r="E702" s="484">
        <f>IFERROR(IF(H702="BC",Tabella118[[#This Row],[composizione concatenata]],IF(H702="C",Tabella118[[#This Row],[composizione concatenata]],VLOOKUP(I702,$K$2:$O$7,5,FALSE))),+Tabella118[[#This Row],[composizione concatenata]])</f>
        <v/>
      </c>
      <c r="F702" s="943">
        <f>+_xlfn.IFNA(VLOOKUP(Tabella118[[#This Row],[Composizione alternativa per digitale]],Tabella118[[composizione concatenata]:[Euro/Mq]],2,FALSE),VLOOKUP(H702,digitale[[ONDA]:[Fornitore]],3,FALSE))</f>
        <v/>
      </c>
      <c r="G702" s="484" t="n"/>
      <c r="H702" s="484">
        <f>IF(MID(A702, FIND("/", A702, FIND("/", A702) + 1) + 1, 2)="A","C",MID(A702, FIND("/", A702, FIND("/", A702) + 1) + 1, 2))</f>
        <v/>
      </c>
      <c r="I702" s="486">
        <f>TRIM(H702)</f>
        <v/>
      </c>
    </row>
    <row r="703" ht="15" customHeight="1">
      <c r="A703" s="487" t="inlineStr">
        <is>
          <t>PMMA COLATO O MET.. COL. OROGLAS TR 1001 3050x2030x3</t>
        </is>
      </c>
      <c r="B703" s="484">
        <f>+_xlfn.CONCAT(Tabella118[[#This Row],[Composizione]], " - ", Tabella118[[#This Row],[Fornitore]])</f>
        <v/>
      </c>
      <c r="C703" s="951" t="n">
        <v>16.94</v>
      </c>
      <c r="D703" s="484" t="inlineStr">
        <is>
          <t>Apa Group</t>
        </is>
      </c>
      <c r="E703" s="484">
        <f>IFERROR(IF(H703="BC",Tabella118[[#This Row],[composizione concatenata]],IF(H703="C",Tabella118[[#This Row],[composizione concatenata]],VLOOKUP(I703,$K$2:$O$7,5,FALSE))),+Tabella118[[#This Row],[composizione concatenata]])</f>
        <v/>
      </c>
      <c r="F703" s="943">
        <f>+_xlfn.IFNA(VLOOKUP(Tabella118[[#This Row],[Composizione alternativa per digitale]],Tabella118[[composizione concatenata]:[Euro/Mq]],2,FALSE),VLOOKUP(H703,digitale[[ONDA]:[Fornitore]],3,FALSE))</f>
        <v/>
      </c>
      <c r="G703" s="484" t="n"/>
      <c r="H703" s="484">
        <f>IF(MID(A703, FIND("/", A703, FIND("/", A703) + 1) + 1, 2)="A","C",MID(A703, FIND("/", A703, FIND("/", A703) + 1) + 1, 2))</f>
        <v/>
      </c>
      <c r="I703" s="486">
        <f>TRIM(H703)</f>
        <v/>
      </c>
    </row>
    <row r="704" ht="15" customHeight="1">
      <c r="A704" s="487" t="inlineStr">
        <is>
          <t>PMMA COLATO O MET.. COL. OROGLAS TR 1001 3050x2030x4</t>
        </is>
      </c>
      <c r="B704" s="484">
        <f>+_xlfn.CONCAT(Tabella118[[#This Row],[Composizione]], " - ", Tabella118[[#This Row],[Fornitore]])</f>
        <v/>
      </c>
      <c r="C704" s="951" t="n">
        <v>21.47</v>
      </c>
      <c r="D704" s="484" t="inlineStr">
        <is>
          <t>Apa Group</t>
        </is>
      </c>
      <c r="E704" s="484">
        <f>IFERROR(IF(H704="BC",Tabella118[[#This Row],[composizione concatenata]],IF(H704="C",Tabella118[[#This Row],[composizione concatenata]],VLOOKUP(I704,$K$2:$O$7,5,FALSE))),+Tabella118[[#This Row],[composizione concatenata]])</f>
        <v/>
      </c>
      <c r="F704" s="943">
        <f>+_xlfn.IFNA(VLOOKUP(Tabella118[[#This Row],[Composizione alternativa per digitale]],Tabella118[[composizione concatenata]:[Euro/Mq]],2,FALSE),VLOOKUP(H704,digitale[[ONDA]:[Fornitore]],3,FALSE))</f>
        <v/>
      </c>
      <c r="G704" s="484" t="n"/>
      <c r="H704" s="484">
        <f>IF(MID(A704, FIND("/", A704, FIND("/", A704) + 1) + 1, 2)="A","C",MID(A704, FIND("/", A704, FIND("/", A704) + 1) + 1, 2))</f>
        <v/>
      </c>
      <c r="I704" s="486">
        <f>TRIM(H704)</f>
        <v/>
      </c>
    </row>
    <row r="705" ht="15" customHeight="1">
      <c r="A705" s="487" t="inlineStr">
        <is>
          <t>PMMA COLATO O MET.. COL. OROGLAS TR 1001 3050x2030x5</t>
        </is>
      </c>
      <c r="B705" s="484">
        <f>+_xlfn.CONCAT(Tabella118[[#This Row],[Composizione]], " - ", Tabella118[[#This Row],[Fornitore]])</f>
        <v/>
      </c>
      <c r="C705" s="951" t="n">
        <v>26.83</v>
      </c>
      <c r="D705" s="484" t="inlineStr">
        <is>
          <t>Apa Group</t>
        </is>
      </c>
      <c r="E705" s="484">
        <f>IFERROR(IF(H705="BC",Tabella118[[#This Row],[composizione concatenata]],IF(H705="C",Tabella118[[#This Row],[composizione concatenata]],VLOOKUP(I705,$K$2:$O$7,5,FALSE))),+Tabella118[[#This Row],[composizione concatenata]])</f>
        <v/>
      </c>
      <c r="F705" s="943">
        <f>+_xlfn.IFNA(VLOOKUP(Tabella118[[#This Row],[Composizione alternativa per digitale]],Tabella118[[composizione concatenata]:[Euro/Mq]],2,FALSE),VLOOKUP(H705,digitale[[ONDA]:[Fornitore]],3,FALSE))</f>
        <v/>
      </c>
      <c r="G705" s="484" t="n"/>
      <c r="H705" s="484">
        <f>IF(MID(A705, FIND("/", A705, FIND("/", A705) + 1) + 1, 2)="A","C",MID(A705, FIND("/", A705, FIND("/", A705) + 1) + 1, 2))</f>
        <v/>
      </c>
      <c r="I705" s="486">
        <f>TRIM(H705)</f>
        <v/>
      </c>
    </row>
    <row r="706" ht="15" customHeight="1">
      <c r="A706" s="487" t="inlineStr">
        <is>
          <t>PMMA COLATO O MET.. COL. OROGLAS TR 1001 3050x2030x6</t>
        </is>
      </c>
      <c r="B706" s="484">
        <f>+_xlfn.CONCAT(Tabella118[[#This Row],[Composizione]], " - ", Tabella118[[#This Row],[Fornitore]])</f>
        <v/>
      </c>
      <c r="C706" s="951" t="n">
        <v>32.23</v>
      </c>
      <c r="D706" s="484" t="inlineStr">
        <is>
          <t>Apa Group</t>
        </is>
      </c>
      <c r="E706" s="484">
        <f>IFERROR(IF(H706="BC",Tabella118[[#This Row],[composizione concatenata]],IF(H706="C",Tabella118[[#This Row],[composizione concatenata]],VLOOKUP(I706,$K$2:$O$7,5,FALSE))),+Tabella118[[#This Row],[composizione concatenata]])</f>
        <v/>
      </c>
      <c r="F706" s="943">
        <f>+_xlfn.IFNA(VLOOKUP(Tabella118[[#This Row],[Composizione alternativa per digitale]],Tabella118[[composizione concatenata]:[Euro/Mq]],2,FALSE),VLOOKUP(H706,digitale[[ONDA]:[Fornitore]],3,FALSE))</f>
        <v/>
      </c>
      <c r="G706" s="484" t="n"/>
      <c r="H706" s="484">
        <f>IF(MID(A706, FIND("/", A706, FIND("/", A706) + 1) + 1, 2)="A","C",MID(A706, FIND("/", A706, FIND("/", A706) + 1) + 1, 2))</f>
        <v/>
      </c>
      <c r="I706" s="486">
        <f>TRIM(H706)</f>
        <v/>
      </c>
    </row>
    <row r="707" ht="15" customHeight="1">
      <c r="A707" s="487" t="inlineStr">
        <is>
          <t>PMMA COLATO O MET.. COL. OROGLAS TR 1001 3050x2030x8</t>
        </is>
      </c>
      <c r="B707" s="484">
        <f>+_xlfn.CONCAT(Tabella118[[#This Row],[Composizione]], " - ", Tabella118[[#This Row],[Fornitore]])</f>
        <v/>
      </c>
      <c r="C707" s="951" t="n">
        <v>42.91</v>
      </c>
      <c r="D707" s="484" t="inlineStr">
        <is>
          <t>Apa Group</t>
        </is>
      </c>
      <c r="E707" s="484">
        <f>IFERROR(IF(H707="BC",Tabella118[[#This Row],[composizione concatenata]],IF(H707="C",Tabella118[[#This Row],[composizione concatenata]],VLOOKUP(I707,$K$2:$O$7,5,FALSE))),+Tabella118[[#This Row],[composizione concatenata]])</f>
        <v/>
      </c>
      <c r="F707" s="943">
        <f>+_xlfn.IFNA(VLOOKUP(Tabella118[[#This Row],[Composizione alternativa per digitale]],Tabella118[[composizione concatenata]:[Euro/Mq]],2,FALSE),VLOOKUP(H707,digitale[[ONDA]:[Fornitore]],3,FALSE))</f>
        <v/>
      </c>
      <c r="G707" s="484" t="n"/>
      <c r="H707" s="484">
        <f>IF(MID(A707, FIND("/", A707, FIND("/", A707) + 1) + 1, 2)="A","C",MID(A707, FIND("/", A707, FIND("/", A707) + 1) + 1, 2))</f>
        <v/>
      </c>
      <c r="I707" s="486">
        <f>TRIM(H707)</f>
        <v/>
      </c>
    </row>
    <row r="708" ht="15" customHeight="1">
      <c r="A708" s="487" t="inlineStr">
        <is>
          <t>PMMA COLATO O MET..COL. OROGLAS BIANCO 0900 3050x2030x3</t>
        </is>
      </c>
      <c r="B708" s="484">
        <f>+_xlfn.CONCAT(Tabella118[[#This Row],[Composizione]], " - ", Tabella118[[#This Row],[Fornitore]])</f>
        <v/>
      </c>
      <c r="C708" s="951" t="n">
        <v>17.79</v>
      </c>
      <c r="D708" s="484" t="inlineStr">
        <is>
          <t>Apa Group</t>
        </is>
      </c>
      <c r="E708" s="484">
        <f>IFERROR(IF(H708="BC",Tabella118[[#This Row],[composizione concatenata]],IF(H708="C",Tabella118[[#This Row],[composizione concatenata]],VLOOKUP(I708,$K$2:$O$7,5,FALSE))),+Tabella118[[#This Row],[composizione concatenata]])</f>
        <v/>
      </c>
      <c r="F708" s="943">
        <f>+_xlfn.IFNA(VLOOKUP(Tabella118[[#This Row],[Composizione alternativa per digitale]],Tabella118[[composizione concatenata]:[Euro/Mq]],2,FALSE),VLOOKUP(H708,digitale[[ONDA]:[Fornitore]],3,FALSE))</f>
        <v/>
      </c>
      <c r="G708" s="484" t="n"/>
      <c r="H708" s="484">
        <f>IF(MID(A708, FIND("/", A708, FIND("/", A708) + 1) + 1, 2)="A","C",MID(A708, FIND("/", A708, FIND("/", A708) + 1) + 1, 2))</f>
        <v/>
      </c>
      <c r="I708" s="486">
        <f>TRIM(H708)</f>
        <v/>
      </c>
    </row>
    <row r="709" ht="15" customHeight="1">
      <c r="A709" s="487" t="inlineStr">
        <is>
          <t>PMMA COLATO O MET..COL. OROGLAS BIANCO 0900 3050x2030x4</t>
        </is>
      </c>
      <c r="B709" s="484">
        <f>+_xlfn.CONCAT(Tabella118[[#This Row],[Composizione]], " - ", Tabella118[[#This Row],[Fornitore]])</f>
        <v/>
      </c>
      <c r="C709" s="951" t="n">
        <v>22.55</v>
      </c>
      <c r="D709" s="484" t="inlineStr">
        <is>
          <t>Apa Group</t>
        </is>
      </c>
      <c r="E709" s="484">
        <f>IFERROR(IF(H709="BC",Tabella118[[#This Row],[composizione concatenata]],IF(H709="C",Tabella118[[#This Row],[composizione concatenata]],VLOOKUP(I709,$K$2:$O$7,5,FALSE))),+Tabella118[[#This Row],[composizione concatenata]])</f>
        <v/>
      </c>
      <c r="F709" s="943">
        <f>+_xlfn.IFNA(VLOOKUP(Tabella118[[#This Row],[Composizione alternativa per digitale]],Tabella118[[composizione concatenata]:[Euro/Mq]],2,FALSE),VLOOKUP(H709,digitale[[ONDA]:[Fornitore]],3,FALSE))</f>
        <v/>
      </c>
      <c r="G709" s="484" t="n"/>
      <c r="H709" s="484">
        <f>IF(MID(A709, FIND("/", A709, FIND("/", A709) + 1) + 1, 2)="A","C",MID(A709, FIND("/", A709, FIND("/", A709) + 1) + 1, 2))</f>
        <v/>
      </c>
      <c r="I709" s="486">
        <f>TRIM(H709)</f>
        <v/>
      </c>
    </row>
    <row r="710" ht="15" customHeight="1">
      <c r="A710" s="487" t="inlineStr">
        <is>
          <t>PMMA COLATO O MET..COL. OROGLAS BIANCO 0900 3050x2030x5</t>
        </is>
      </c>
      <c r="B710" s="484">
        <f>+_xlfn.CONCAT(Tabella118[[#This Row],[Composizione]], " - ", Tabella118[[#This Row],[Fornitore]])</f>
        <v/>
      </c>
      <c r="C710" s="951" t="n">
        <v>28.17</v>
      </c>
      <c r="D710" s="484" t="inlineStr">
        <is>
          <t>Apa Group</t>
        </is>
      </c>
      <c r="E710" s="484">
        <f>IFERROR(IF(H710="BC",Tabella118[[#This Row],[composizione concatenata]],IF(H710="C",Tabella118[[#This Row],[composizione concatenata]],VLOOKUP(I710,$K$2:$O$7,5,FALSE))),+Tabella118[[#This Row],[composizione concatenata]])</f>
        <v/>
      </c>
      <c r="F710" s="943">
        <f>+_xlfn.IFNA(VLOOKUP(Tabella118[[#This Row],[Composizione alternativa per digitale]],Tabella118[[composizione concatenata]:[Euro/Mq]],2,FALSE),VLOOKUP(H710,digitale[[ONDA]:[Fornitore]],3,FALSE))</f>
        <v/>
      </c>
      <c r="G710" s="484" t="n"/>
      <c r="H710" s="484">
        <f>IF(MID(A710, FIND("/", A710, FIND("/", A710) + 1) + 1, 2)="A","C",MID(A710, FIND("/", A710, FIND("/", A710) + 1) + 1, 2))</f>
        <v/>
      </c>
      <c r="I710" s="486">
        <f>TRIM(H710)</f>
        <v/>
      </c>
    </row>
    <row r="711" ht="15" customHeight="1">
      <c r="A711" s="487" t="inlineStr">
        <is>
          <t>PMMA COLATO O MET..COL. OROGLAS BIANCO 0900 3050x2030x6</t>
        </is>
      </c>
      <c r="B711" s="484">
        <f>+_xlfn.CONCAT(Tabella118[[#This Row],[Composizione]], " - ", Tabella118[[#This Row],[Fornitore]])</f>
        <v/>
      </c>
      <c r="C711" s="951" t="n">
        <v>33.84</v>
      </c>
      <c r="D711" s="484" t="inlineStr">
        <is>
          <t>Apa Group</t>
        </is>
      </c>
      <c r="E711" s="484">
        <f>IFERROR(IF(H711="BC",Tabella118[[#This Row],[composizione concatenata]],IF(H711="C",Tabella118[[#This Row],[composizione concatenata]],VLOOKUP(I711,$K$2:$O$7,5,FALSE))),+Tabella118[[#This Row],[composizione concatenata]])</f>
        <v/>
      </c>
      <c r="F711" s="943">
        <f>+_xlfn.IFNA(VLOOKUP(Tabella118[[#This Row],[Composizione alternativa per digitale]],Tabella118[[composizione concatenata]:[Euro/Mq]],2,FALSE),VLOOKUP(H711,digitale[[ONDA]:[Fornitore]],3,FALSE))</f>
        <v/>
      </c>
      <c r="G711" s="484" t="n"/>
      <c r="H711" s="484">
        <f>IF(MID(A711, FIND("/", A711, FIND("/", A711) + 1) + 1, 2)="A","C",MID(A711, FIND("/", A711, FIND("/", A711) + 1) + 1, 2))</f>
        <v/>
      </c>
      <c r="I711" s="486">
        <f>TRIM(H711)</f>
        <v/>
      </c>
    </row>
    <row r="712" ht="15" customHeight="1">
      <c r="A712" s="487" t="inlineStr">
        <is>
          <t>PMMA COLATO O MET..COL. OROGLAS BIANCO 0900 3050x2030x8</t>
        </is>
      </c>
      <c r="B712" s="484">
        <f>+_xlfn.CONCAT(Tabella118[[#This Row],[Composizione]], " - ", Tabella118[[#This Row],[Fornitore]])</f>
        <v/>
      </c>
      <c r="C712" s="951" t="n">
        <v>45.05</v>
      </c>
      <c r="D712" s="484" t="inlineStr">
        <is>
          <t>Apa Group</t>
        </is>
      </c>
      <c r="E712" s="484">
        <f>IFERROR(IF(H712="BC",Tabella118[[#This Row],[composizione concatenata]],IF(H712="C",Tabella118[[#This Row],[composizione concatenata]],VLOOKUP(I712,$K$2:$O$7,5,FALSE))),+Tabella118[[#This Row],[composizione concatenata]])</f>
        <v/>
      </c>
      <c r="F712" s="943">
        <f>+_xlfn.IFNA(VLOOKUP(Tabella118[[#This Row],[Composizione alternativa per digitale]],Tabella118[[composizione concatenata]:[Euro/Mq]],2,FALSE),VLOOKUP(H712,digitale[[ONDA]:[Fornitore]],3,FALSE))</f>
        <v/>
      </c>
      <c r="G712" s="484" t="n"/>
      <c r="H712" s="484">
        <f>IF(MID(A712, FIND("/", A712, FIND("/", A712) + 1) + 1, 2)="A","C",MID(A712, FIND("/", A712, FIND("/", A712) + 1) + 1, 2))</f>
        <v/>
      </c>
      <c r="I712" s="486">
        <f>TRIM(H712)</f>
        <v/>
      </c>
    </row>
    <row r="713" ht="15" customHeight="1">
      <c r="A713" s="487" t="inlineStr">
        <is>
          <t>PMMA COLATO O MET..COL. OROGLAS NERO 7990 3050x2030x10</t>
        </is>
      </c>
      <c r="B713" s="484">
        <f>+_xlfn.CONCAT(Tabella118[[#This Row],[Composizione]], " - ", Tabella118[[#This Row],[Fornitore]])</f>
        <v/>
      </c>
      <c r="C713" s="951" t="n">
        <v>61.76</v>
      </c>
      <c r="D713" s="484" t="inlineStr">
        <is>
          <t>Apa Group</t>
        </is>
      </c>
      <c r="E713" s="484">
        <f>IFERROR(IF(H713="BC",Tabella118[[#This Row],[composizione concatenata]],IF(H713="C",Tabella118[[#This Row],[composizione concatenata]],VLOOKUP(I713,$K$2:$O$7,5,FALSE))),+Tabella118[[#This Row],[composizione concatenata]])</f>
        <v/>
      </c>
      <c r="F713" s="943">
        <f>+_xlfn.IFNA(VLOOKUP(Tabella118[[#This Row],[Composizione alternativa per digitale]],Tabella118[[composizione concatenata]:[Euro/Mq]],2,FALSE),VLOOKUP(H713,digitale[[ONDA]:[Fornitore]],3,FALSE))</f>
        <v/>
      </c>
      <c r="G713" s="484" t="n"/>
      <c r="H713" s="484">
        <f>IF(MID(A713, FIND("/", A713, FIND("/", A713) + 1) + 1, 2)="A","C",MID(A713, FIND("/", A713, FIND("/", A713) + 1) + 1, 2))</f>
        <v/>
      </c>
      <c r="I713" s="486">
        <f>TRIM(H713)</f>
        <v/>
      </c>
    </row>
    <row r="714" ht="15" customHeight="1">
      <c r="A714" s="487" t="inlineStr">
        <is>
          <t>PMMA COLATO O MET..COL. OROGLAS NERO 7990 3050x2030x15</t>
        </is>
      </c>
      <c r="B714" s="484">
        <f>+_xlfn.CONCAT(Tabella118[[#This Row],[Composizione]], " - ", Tabella118[[#This Row],[Fornitore]])</f>
        <v/>
      </c>
      <c r="C714" s="951" t="n">
        <v>97.23999999999999</v>
      </c>
      <c r="D714" s="484" t="inlineStr">
        <is>
          <t>Apa Group</t>
        </is>
      </c>
      <c r="E714" s="484">
        <f>IFERROR(IF(H714="BC",Tabella118[[#This Row],[composizione concatenata]],IF(H714="C",Tabella118[[#This Row],[composizione concatenata]],VLOOKUP(I714,$K$2:$O$7,5,FALSE))),+Tabella118[[#This Row],[composizione concatenata]])</f>
        <v/>
      </c>
      <c r="F714" s="943">
        <f>+_xlfn.IFNA(VLOOKUP(Tabella118[[#This Row],[Composizione alternativa per digitale]],Tabella118[[composizione concatenata]:[Euro/Mq]],2,FALSE),VLOOKUP(H714,digitale[[ONDA]:[Fornitore]],3,FALSE))</f>
        <v/>
      </c>
      <c r="G714" s="484" t="n"/>
      <c r="H714" s="484">
        <f>IF(MID(A714, FIND("/", A714, FIND("/", A714) + 1) + 1, 2)="A","C",MID(A714, FIND("/", A714, FIND("/", A714) + 1) + 1, 2))</f>
        <v/>
      </c>
      <c r="I714" s="486">
        <f>TRIM(H714)</f>
        <v/>
      </c>
    </row>
    <row r="715" ht="15" customHeight="1">
      <c r="A715" s="487" t="inlineStr">
        <is>
          <t>PMMA COLATO O MET..COL. OROGLAS NERO 7990 3050x2030x3</t>
        </is>
      </c>
      <c r="B715" s="484">
        <f>+_xlfn.CONCAT(Tabella118[[#This Row],[Composizione]], " - ", Tabella118[[#This Row],[Fornitore]])</f>
        <v/>
      </c>
      <c r="C715" s="951" t="n">
        <v>19.48</v>
      </c>
      <c r="D715" s="484" t="inlineStr">
        <is>
          <t>Apa Group</t>
        </is>
      </c>
      <c r="E715" s="484">
        <f>IFERROR(IF(H715="BC",Tabella118[[#This Row],[composizione concatenata]],IF(H715="C",Tabella118[[#This Row],[composizione concatenata]],VLOOKUP(I715,$K$2:$O$7,5,FALSE))),+Tabella118[[#This Row],[composizione concatenata]])</f>
        <v/>
      </c>
      <c r="F715" s="943">
        <f>+_xlfn.IFNA(VLOOKUP(Tabella118[[#This Row],[Composizione alternativa per digitale]],Tabella118[[composizione concatenata]:[Euro/Mq]],2,FALSE),VLOOKUP(H715,digitale[[ONDA]:[Fornitore]],3,FALSE))</f>
        <v/>
      </c>
      <c r="G715" s="484" t="n"/>
      <c r="H715" s="484">
        <f>IF(MID(A715, FIND("/", A715, FIND("/", A715) + 1) + 1, 2)="A","C",MID(A715, FIND("/", A715, FIND("/", A715) + 1) + 1, 2))</f>
        <v/>
      </c>
      <c r="I715" s="486">
        <f>TRIM(H715)</f>
        <v/>
      </c>
    </row>
    <row r="716" ht="15" customHeight="1">
      <c r="A716" s="487" t="inlineStr">
        <is>
          <t>PMMA COLATO O MET..COL. OROGLAS NERO 7990 3050x2030x4</t>
        </is>
      </c>
      <c r="B716" s="484">
        <f>+_xlfn.CONCAT(Tabella118[[#This Row],[Composizione]], " - ", Tabella118[[#This Row],[Fornitore]])</f>
        <v/>
      </c>
      <c r="C716" s="951" t="n">
        <v>24.69</v>
      </c>
      <c r="D716" s="484" t="inlineStr">
        <is>
          <t>Apa Group</t>
        </is>
      </c>
      <c r="E716" s="484">
        <f>IFERROR(IF(H716="BC",Tabella118[[#This Row],[composizione concatenata]],IF(H716="C",Tabella118[[#This Row],[composizione concatenata]],VLOOKUP(I716,$K$2:$O$7,5,FALSE))),+Tabella118[[#This Row],[composizione concatenata]])</f>
        <v/>
      </c>
      <c r="F716" s="943">
        <f>+_xlfn.IFNA(VLOOKUP(Tabella118[[#This Row],[Composizione alternativa per digitale]],Tabella118[[composizione concatenata]:[Euro/Mq]],2,FALSE),VLOOKUP(H716,digitale[[ONDA]:[Fornitore]],3,FALSE))</f>
        <v/>
      </c>
      <c r="G716" s="484" t="n"/>
      <c r="H716" s="484">
        <f>IF(MID(A716, FIND("/", A716, FIND("/", A716) + 1) + 1, 2)="A","C",MID(A716, FIND("/", A716, FIND("/", A716) + 1) + 1, 2))</f>
        <v/>
      </c>
      <c r="I716" s="486">
        <f>TRIM(H716)</f>
        <v/>
      </c>
    </row>
    <row r="717" ht="15" customHeight="1">
      <c r="A717" s="487" t="inlineStr">
        <is>
          <t>PMMA COLATO O MET..COL. OROGLAS NERO 7990 3050x2030x5</t>
        </is>
      </c>
      <c r="B717" s="484">
        <f>+_xlfn.CONCAT(Tabella118[[#This Row],[Composizione]], " - ", Tabella118[[#This Row],[Fornitore]])</f>
        <v/>
      </c>
      <c r="C717" s="951" t="n">
        <v>30.86</v>
      </c>
      <c r="D717" s="484" t="inlineStr">
        <is>
          <t>Apa Group</t>
        </is>
      </c>
      <c r="E717" s="484">
        <f>IFERROR(IF(H717="BC",Tabella118[[#This Row],[composizione concatenata]],IF(H717="C",Tabella118[[#This Row],[composizione concatenata]],VLOOKUP(I717,$K$2:$O$7,5,FALSE))),+Tabella118[[#This Row],[composizione concatenata]])</f>
        <v/>
      </c>
      <c r="F717" s="943">
        <f>+_xlfn.IFNA(VLOOKUP(Tabella118[[#This Row],[Composizione alternativa per digitale]],Tabella118[[composizione concatenata]:[Euro/Mq]],2,FALSE),VLOOKUP(H717,digitale[[ONDA]:[Fornitore]],3,FALSE))</f>
        <v/>
      </c>
      <c r="G717" s="484" t="n"/>
      <c r="H717" s="484">
        <f>IF(MID(A717, FIND("/", A717, FIND("/", A717) + 1) + 1, 2)="A","C",MID(A717, FIND("/", A717, FIND("/", A717) + 1) + 1, 2))</f>
        <v/>
      </c>
      <c r="I717" s="486">
        <f>TRIM(H717)</f>
        <v/>
      </c>
    </row>
    <row r="718" ht="15" customHeight="1">
      <c r="A718" s="487" t="inlineStr">
        <is>
          <t>PMMA COLATO O MET..COL. OROGLAS NERO 7990 3050x2030x6</t>
        </is>
      </c>
      <c r="B718" s="484">
        <f>+_xlfn.CONCAT(Tabella118[[#This Row],[Composizione]], " - ", Tabella118[[#This Row],[Fornitore]])</f>
        <v/>
      </c>
      <c r="C718" s="951" t="n">
        <v>37.07</v>
      </c>
      <c r="D718" s="484" t="inlineStr">
        <is>
          <t>Apa Group</t>
        </is>
      </c>
      <c r="E718" s="484">
        <f>IFERROR(IF(H718="BC",Tabella118[[#This Row],[composizione concatenata]],IF(H718="C",Tabella118[[#This Row],[composizione concatenata]],VLOOKUP(I718,$K$2:$O$7,5,FALSE))),+Tabella118[[#This Row],[composizione concatenata]])</f>
        <v/>
      </c>
      <c r="F718" s="943">
        <f>+_xlfn.IFNA(VLOOKUP(Tabella118[[#This Row],[Composizione alternativa per digitale]],Tabella118[[composizione concatenata]:[Euro/Mq]],2,FALSE),VLOOKUP(H718,digitale[[ONDA]:[Fornitore]],3,FALSE))</f>
        <v/>
      </c>
      <c r="G718" s="484" t="n"/>
      <c r="H718" s="484">
        <f>IF(MID(A718, FIND("/", A718, FIND("/", A718) + 1) + 1, 2)="A","C",MID(A718, FIND("/", A718, FIND("/", A718) + 1) + 1, 2))</f>
        <v/>
      </c>
      <c r="I718" s="486">
        <f>TRIM(H718)</f>
        <v/>
      </c>
    </row>
    <row r="719" ht="15" customHeight="1">
      <c r="A719" s="487" t="inlineStr">
        <is>
          <t>PMMA COLATO O MET..COL. OROGLAS NERO 7990 3050x2030x8</t>
        </is>
      </c>
      <c r="B719" s="484">
        <f>+_xlfn.CONCAT(Tabella118[[#This Row],[Composizione]], " - ", Tabella118[[#This Row],[Fornitore]])</f>
        <v/>
      </c>
      <c r="C719" s="951" t="n">
        <v>49.34</v>
      </c>
      <c r="D719" s="484" t="inlineStr">
        <is>
          <t>Apa Group</t>
        </is>
      </c>
      <c r="E719" s="484">
        <f>IFERROR(IF(H719="BC",Tabella118[[#This Row],[composizione concatenata]],IF(H719="C",Tabella118[[#This Row],[composizione concatenata]],VLOOKUP(I719,$K$2:$O$7,5,FALSE))),+Tabella118[[#This Row],[composizione concatenata]])</f>
        <v/>
      </c>
      <c r="F719" s="943">
        <f>+_xlfn.IFNA(VLOOKUP(Tabella118[[#This Row],[Composizione alternativa per digitale]],Tabella118[[composizione concatenata]:[Euro/Mq]],2,FALSE),VLOOKUP(H719,digitale[[ONDA]:[Fornitore]],3,FALSE))</f>
        <v/>
      </c>
      <c r="G719" s="484" t="n"/>
      <c r="H719" s="484">
        <f>IF(MID(A719, FIND("/", A719, FIND("/", A719) + 1) + 1, 2)="A","C",MID(A719, FIND("/", A719, FIND("/", A719) + 1) + 1, 2))</f>
        <v/>
      </c>
      <c r="I719" s="486">
        <f>TRIM(H719)</f>
        <v/>
      </c>
    </row>
    <row r="720" ht="15" customHeight="1">
      <c r="A720" s="487" t="inlineStr">
        <is>
          <t>PMMA COLATO O MET..COL. OROGLAS OPAL 0360 3050x2030x10</t>
        </is>
      </c>
      <c r="B720" s="484">
        <f>+_xlfn.CONCAT(Tabella118[[#This Row],[Composizione]], " - ", Tabella118[[#This Row],[Fornitore]])</f>
        <v/>
      </c>
      <c r="C720" s="951" t="n">
        <v>56.39</v>
      </c>
      <c r="D720" s="484" t="inlineStr">
        <is>
          <t>Apa Group</t>
        </is>
      </c>
      <c r="E720" s="484">
        <f>IFERROR(IF(H720="BC",Tabella118[[#This Row],[composizione concatenata]],IF(H720="C",Tabella118[[#This Row],[composizione concatenata]],VLOOKUP(I720,$K$2:$O$7,5,FALSE))),+Tabella118[[#This Row],[composizione concatenata]])</f>
        <v/>
      </c>
      <c r="F720" s="943">
        <f>+_xlfn.IFNA(VLOOKUP(Tabella118[[#This Row],[Composizione alternativa per digitale]],Tabella118[[composizione concatenata]:[Euro/Mq]],2,FALSE),VLOOKUP(H720,digitale[[ONDA]:[Fornitore]],3,FALSE))</f>
        <v/>
      </c>
      <c r="G720" s="484" t="n"/>
      <c r="H720" s="484">
        <f>IF(MID(A720, FIND("/", A720, FIND("/", A720) + 1) + 1, 2)="A","C",MID(A720, FIND("/", A720, FIND("/", A720) + 1) + 1, 2))</f>
        <v/>
      </c>
      <c r="I720" s="486">
        <f>TRIM(H720)</f>
        <v/>
      </c>
    </row>
    <row r="721" ht="15" customHeight="1">
      <c r="A721" s="487" t="inlineStr">
        <is>
          <t>PMMA COLATO O MET..COL. OROGLAS OPAL 0360 3050x2030x3</t>
        </is>
      </c>
      <c r="B721" s="484">
        <f>+_xlfn.CONCAT(Tabella118[[#This Row],[Composizione]], " - ", Tabella118[[#This Row],[Fornitore]])</f>
        <v/>
      </c>
      <c r="C721" s="951" t="n">
        <v>17.79</v>
      </c>
      <c r="D721" s="484" t="inlineStr">
        <is>
          <t>Apa Group</t>
        </is>
      </c>
      <c r="E721" s="484">
        <f>IFERROR(IF(H721="BC",Tabella118[[#This Row],[composizione concatenata]],IF(H721="C",Tabella118[[#This Row],[composizione concatenata]],VLOOKUP(I721,$K$2:$O$7,5,FALSE))),+Tabella118[[#This Row],[composizione concatenata]])</f>
        <v/>
      </c>
      <c r="F721" s="943">
        <f>+_xlfn.IFNA(VLOOKUP(Tabella118[[#This Row],[Composizione alternativa per digitale]],Tabella118[[composizione concatenata]:[Euro/Mq]],2,FALSE),VLOOKUP(H721,digitale[[ONDA]:[Fornitore]],3,FALSE))</f>
        <v/>
      </c>
      <c r="G721" s="484" t="n"/>
      <c r="H721" s="484">
        <f>IF(MID(A721, FIND("/", A721, FIND("/", A721) + 1) + 1, 2)="A","C",MID(A721, FIND("/", A721, FIND("/", A721) + 1) + 1, 2))</f>
        <v/>
      </c>
      <c r="I721" s="486">
        <f>TRIM(H721)</f>
        <v/>
      </c>
    </row>
    <row r="722" ht="15" customHeight="1">
      <c r="A722" s="487" t="inlineStr">
        <is>
          <t>PMMA COLATO O MET..COL. OROGLAS OPAL 0360 3050x2030x4</t>
        </is>
      </c>
      <c r="B722" s="484">
        <f>+_xlfn.CONCAT(Tabella118[[#This Row],[Composizione]], " - ", Tabella118[[#This Row],[Fornitore]])</f>
        <v/>
      </c>
      <c r="C722" s="951" t="n">
        <v>22.55</v>
      </c>
      <c r="D722" s="484" t="inlineStr">
        <is>
          <t>Apa Group</t>
        </is>
      </c>
      <c r="E722" s="484">
        <f>IFERROR(IF(H722="BC",Tabella118[[#This Row],[composizione concatenata]],IF(H722="C",Tabella118[[#This Row],[composizione concatenata]],VLOOKUP(I722,$K$2:$O$7,5,FALSE))),+Tabella118[[#This Row],[composizione concatenata]])</f>
        <v/>
      </c>
      <c r="F722" s="943">
        <f>+_xlfn.IFNA(VLOOKUP(Tabella118[[#This Row],[Composizione alternativa per digitale]],Tabella118[[composizione concatenata]:[Euro/Mq]],2,FALSE),VLOOKUP(H722,digitale[[ONDA]:[Fornitore]],3,FALSE))</f>
        <v/>
      </c>
      <c r="G722" s="484" t="n"/>
      <c r="H722" s="484">
        <f>IF(MID(A722, FIND("/", A722, FIND("/", A722) + 1) + 1, 2)="A","C",MID(A722, FIND("/", A722, FIND("/", A722) + 1) + 1, 2))</f>
        <v/>
      </c>
      <c r="I722" s="486">
        <f>TRIM(H722)</f>
        <v/>
      </c>
    </row>
    <row r="723" ht="15" customHeight="1">
      <c r="A723" s="487" t="inlineStr">
        <is>
          <t>PMMA COLATO O MET..COL. OROGLAS OPAL 0360 3050x2030x5</t>
        </is>
      </c>
      <c r="B723" s="484">
        <f>+_xlfn.CONCAT(Tabella118[[#This Row],[Composizione]], " - ", Tabella118[[#This Row],[Fornitore]])</f>
        <v/>
      </c>
      <c r="C723" s="951" t="n">
        <v>28.17</v>
      </c>
      <c r="D723" s="484" t="inlineStr">
        <is>
          <t>Apa Group</t>
        </is>
      </c>
      <c r="E723" s="484">
        <f>IFERROR(IF(H723="BC",Tabella118[[#This Row],[composizione concatenata]],IF(H723="C",Tabella118[[#This Row],[composizione concatenata]],VLOOKUP(I723,$K$2:$O$7,5,FALSE))),+Tabella118[[#This Row],[composizione concatenata]])</f>
        <v/>
      </c>
      <c r="F723" s="943">
        <f>+_xlfn.IFNA(VLOOKUP(Tabella118[[#This Row],[Composizione alternativa per digitale]],Tabella118[[composizione concatenata]:[Euro/Mq]],2,FALSE),VLOOKUP(H723,digitale[[ONDA]:[Fornitore]],3,FALSE))</f>
        <v/>
      </c>
      <c r="G723" s="484" t="n"/>
      <c r="H723" s="484">
        <f>IF(MID(A723, FIND("/", A723, FIND("/", A723) + 1) + 1, 2)="A","C",MID(A723, FIND("/", A723, FIND("/", A723) + 1) + 1, 2))</f>
        <v/>
      </c>
      <c r="I723" s="486">
        <f>TRIM(H723)</f>
        <v/>
      </c>
    </row>
    <row r="724" ht="15" customHeight="1">
      <c r="A724" s="487" t="inlineStr">
        <is>
          <t>PMMA COLATO O MET..COL. OROGLAS OPAL 0360 3050x2030x6</t>
        </is>
      </c>
      <c r="B724" s="484">
        <f>+_xlfn.CONCAT(Tabella118[[#This Row],[Composizione]], " - ", Tabella118[[#This Row],[Fornitore]])</f>
        <v/>
      </c>
      <c r="C724" s="951" t="n">
        <v>33.84</v>
      </c>
      <c r="D724" s="484" t="inlineStr">
        <is>
          <t>Apa Group</t>
        </is>
      </c>
      <c r="E724" s="484">
        <f>IFERROR(IF(H724="BC",Tabella118[[#This Row],[composizione concatenata]],IF(H724="C",Tabella118[[#This Row],[composizione concatenata]],VLOOKUP(I724,$K$2:$O$7,5,FALSE))),+Tabella118[[#This Row],[composizione concatenata]])</f>
        <v/>
      </c>
      <c r="F724" s="943">
        <f>+_xlfn.IFNA(VLOOKUP(Tabella118[[#This Row],[Composizione alternativa per digitale]],Tabella118[[composizione concatenata]:[Euro/Mq]],2,FALSE),VLOOKUP(H724,digitale[[ONDA]:[Fornitore]],3,FALSE))</f>
        <v/>
      </c>
      <c r="G724" s="484" t="n"/>
      <c r="H724" s="484">
        <f>IF(MID(A724, FIND("/", A724, FIND("/", A724) + 1) + 1, 2)="A","C",MID(A724, FIND("/", A724, FIND("/", A724) + 1) + 1, 2))</f>
        <v/>
      </c>
      <c r="I724" s="486">
        <f>TRIM(H724)</f>
        <v/>
      </c>
    </row>
    <row r="725" ht="15" customHeight="1">
      <c r="A725" s="487" t="inlineStr">
        <is>
          <t>PMMA COLATO O MET..COL. OROGLAS OPAL 0360 3050x2030x8</t>
        </is>
      </c>
      <c r="B725" s="484">
        <f>+_xlfn.CONCAT(Tabella118[[#This Row],[Composizione]], " - ", Tabella118[[#This Row],[Fornitore]])</f>
        <v/>
      </c>
      <c r="C725" s="951" t="n">
        <v>45.05</v>
      </c>
      <c r="D725" s="484" t="inlineStr">
        <is>
          <t>Apa Group</t>
        </is>
      </c>
      <c r="E725" s="484">
        <f>IFERROR(IF(H725="BC",Tabella118[[#This Row],[composizione concatenata]],IF(H725="C",Tabella118[[#This Row],[composizione concatenata]],VLOOKUP(I725,$K$2:$O$7,5,FALSE))),+Tabella118[[#This Row],[composizione concatenata]])</f>
        <v/>
      </c>
      <c r="F725" s="943">
        <f>+_xlfn.IFNA(VLOOKUP(Tabella118[[#This Row],[Composizione alternativa per digitale]],Tabella118[[composizione concatenata]:[Euro/Mq]],2,FALSE),VLOOKUP(H725,digitale[[ONDA]:[Fornitore]],3,FALSE))</f>
        <v/>
      </c>
      <c r="G725" s="484" t="n"/>
      <c r="H725" s="484">
        <f>IF(MID(A725, FIND("/", A725, FIND("/", A725) + 1) + 1, 2)="A","C",MID(A725, FIND("/", A725, FIND("/", A725) + 1) + 1, 2))</f>
        <v/>
      </c>
      <c r="I725" s="486">
        <f>TRIM(H725)</f>
        <v/>
      </c>
    </row>
    <row r="726" ht="15" customHeight="1">
      <c r="A726" s="487" t="inlineStr">
        <is>
          <t>PMMA COLATO O MET..COL.OROGLAS BIANCO 0900 3050x2030x10</t>
        </is>
      </c>
      <c r="B726" s="484">
        <f>+_xlfn.CONCAT(Tabella118[[#This Row],[Composizione]], " - ", Tabella118[[#This Row],[Fornitore]])</f>
        <v/>
      </c>
      <c r="C726" s="951" t="n">
        <v>56.39</v>
      </c>
      <c r="D726" s="484" t="inlineStr">
        <is>
          <t>Apa Group</t>
        </is>
      </c>
      <c r="E726" s="484">
        <f>IFERROR(IF(H726="BC",Tabella118[[#This Row],[composizione concatenata]],IF(H726="C",Tabella118[[#This Row],[composizione concatenata]],VLOOKUP(I726,$K$2:$O$7,5,FALSE))),+Tabella118[[#This Row],[composizione concatenata]])</f>
        <v/>
      </c>
      <c r="F726" s="943">
        <f>+_xlfn.IFNA(VLOOKUP(Tabella118[[#This Row],[Composizione alternativa per digitale]],Tabella118[[composizione concatenata]:[Euro/Mq]],2,FALSE),VLOOKUP(H726,digitale[[ONDA]:[Fornitore]],3,FALSE))</f>
        <v/>
      </c>
      <c r="G726" s="484" t="n"/>
      <c r="H726" s="484">
        <f>IF(MID(A726, FIND("/", A726, FIND("/", A726) + 1) + 1, 2)="A","C",MID(A726, FIND("/", A726, FIND("/", A726) + 1) + 1, 2))</f>
        <v/>
      </c>
      <c r="I726" s="486">
        <f>TRIM(H726)</f>
        <v/>
      </c>
    </row>
    <row r="727" ht="15" customHeight="1">
      <c r="A727" s="487" t="inlineStr">
        <is>
          <t>PMMA COLATO P OPTIX CAST BIANCO 1125 3050x2030x8</t>
        </is>
      </c>
      <c r="B727" s="484">
        <f>+_xlfn.CONCAT(Tabella118[[#This Row],[Composizione]], " - ", Tabella118[[#This Row],[Fornitore]])</f>
        <v/>
      </c>
      <c r="C727" s="951" t="n">
        <v>44.58</v>
      </c>
      <c r="D727" s="484" t="inlineStr">
        <is>
          <t>Apa Group</t>
        </is>
      </c>
      <c r="E727" s="484">
        <f>IFERROR(IF(H727="BC",Tabella118[[#This Row],[composizione concatenata]],IF(H727="C",Tabella118[[#This Row],[composizione concatenata]],VLOOKUP(I727,$K$2:$O$7,5,FALSE))),+Tabella118[[#This Row],[composizione concatenata]])</f>
        <v/>
      </c>
      <c r="F727" s="943">
        <f>+_xlfn.IFNA(VLOOKUP(Tabella118[[#This Row],[Composizione alternativa per digitale]],Tabella118[[composizione concatenata]:[Euro/Mq]],2,FALSE),VLOOKUP(H727,digitale[[ONDA]:[Fornitore]],3,FALSE))</f>
        <v/>
      </c>
      <c r="G727" s="484" t="n"/>
      <c r="H727" s="484">
        <f>IF(MID(A727, FIND("/", A727, FIND("/", A727) + 1) + 1, 2)="A","C",MID(A727, FIND("/", A727, FIND("/", A727) + 1) + 1, 2))</f>
        <v/>
      </c>
      <c r="I727" s="486">
        <f>TRIM(H727)</f>
        <v/>
      </c>
    </row>
    <row r="728" ht="15" customHeight="1">
      <c r="A728" s="487" t="inlineStr">
        <is>
          <t>PMMA COLATO P OPTIX CAST BIANCO 1125 3050x2050x3</t>
        </is>
      </c>
      <c r="B728" s="484">
        <f>+_xlfn.CONCAT(Tabella118[[#This Row],[Composizione]], " - ", Tabella118[[#This Row],[Fornitore]])</f>
        <v/>
      </c>
      <c r="C728" s="951" t="n">
        <v>17.68</v>
      </c>
      <c r="D728" s="484" t="inlineStr">
        <is>
          <t>Apa Group</t>
        </is>
      </c>
      <c r="E728" s="484">
        <f>IFERROR(IF(H728="BC",Tabella118[[#This Row],[composizione concatenata]],IF(H728="C",Tabella118[[#This Row],[composizione concatenata]],VLOOKUP(I728,$K$2:$O$7,5,FALSE))),+Tabella118[[#This Row],[composizione concatenata]])</f>
        <v/>
      </c>
      <c r="F728" s="943">
        <f>+_xlfn.IFNA(VLOOKUP(Tabella118[[#This Row],[Composizione alternativa per digitale]],Tabella118[[composizione concatenata]:[Euro/Mq]],2,FALSE),VLOOKUP(H728,digitale[[ONDA]:[Fornitore]],3,FALSE))</f>
        <v/>
      </c>
      <c r="G728" s="484" t="n"/>
      <c r="H728" s="484">
        <f>IF(MID(A728, FIND("/", A728, FIND("/", A728) + 1) + 1, 2)="A","C",MID(A728, FIND("/", A728, FIND("/", A728) + 1) + 1, 2))</f>
        <v/>
      </c>
      <c r="I728" s="486">
        <f>TRIM(H728)</f>
        <v/>
      </c>
    </row>
    <row r="729" ht="15" customHeight="1">
      <c r="A729" s="487" t="inlineStr">
        <is>
          <t>PMMA COLATO P OPTIX CAST BIANCO 1125 3050x2050x4</t>
        </is>
      </c>
      <c r="B729" s="484">
        <f>+_xlfn.CONCAT(Tabella118[[#This Row],[Composizione]], " - ", Tabella118[[#This Row],[Fornitore]])</f>
        <v/>
      </c>
      <c r="C729" s="951" t="n">
        <v>23.57</v>
      </c>
      <c r="D729" s="484" t="inlineStr">
        <is>
          <t>Apa Group</t>
        </is>
      </c>
      <c r="E729" s="484">
        <f>IFERROR(IF(H729="BC",Tabella118[[#This Row],[composizione concatenata]],IF(H729="C",Tabella118[[#This Row],[composizione concatenata]],VLOOKUP(I729,$K$2:$O$7,5,FALSE))),+Tabella118[[#This Row],[composizione concatenata]])</f>
        <v/>
      </c>
      <c r="F729" s="943">
        <f>+_xlfn.IFNA(VLOOKUP(Tabella118[[#This Row],[Composizione alternativa per digitale]],Tabella118[[composizione concatenata]:[Euro/Mq]],2,FALSE),VLOOKUP(H729,digitale[[ONDA]:[Fornitore]],3,FALSE))</f>
        <v/>
      </c>
      <c r="G729" s="484" t="n"/>
      <c r="H729" s="484">
        <f>IF(MID(A729, FIND("/", A729, FIND("/", A729) + 1) + 1, 2)="A","C",MID(A729, FIND("/", A729, FIND("/", A729) + 1) + 1, 2))</f>
        <v/>
      </c>
      <c r="I729" s="486">
        <f>TRIM(H729)</f>
        <v/>
      </c>
    </row>
    <row r="730" ht="15" customHeight="1">
      <c r="A730" s="487" t="inlineStr">
        <is>
          <t>PMMA COLATO P OPTIX CAST BIANCO 1125 3050x2050x5</t>
        </is>
      </c>
      <c r="B730" s="484">
        <f>+_xlfn.CONCAT(Tabella118[[#This Row],[Composizione]], " - ", Tabella118[[#This Row],[Fornitore]])</f>
        <v/>
      </c>
      <c r="C730" s="951" t="n">
        <v>27.85</v>
      </c>
      <c r="D730" s="484" t="inlineStr">
        <is>
          <t>Apa Group</t>
        </is>
      </c>
      <c r="E730" s="484">
        <f>IFERROR(IF(H730="BC",Tabella118[[#This Row],[composizione concatenata]],IF(H730="C",Tabella118[[#This Row],[composizione concatenata]],VLOOKUP(I730,$K$2:$O$7,5,FALSE))),+Tabella118[[#This Row],[composizione concatenata]])</f>
        <v/>
      </c>
      <c r="F730" s="943">
        <f>+_xlfn.IFNA(VLOOKUP(Tabella118[[#This Row],[Composizione alternativa per digitale]],Tabella118[[composizione concatenata]:[Euro/Mq]],2,FALSE),VLOOKUP(H730,digitale[[ONDA]:[Fornitore]],3,FALSE))</f>
        <v/>
      </c>
      <c r="G730" s="484" t="n"/>
      <c r="H730" s="484">
        <f>IF(MID(A730, FIND("/", A730, FIND("/", A730) + 1) + 1, 2)="A","C",MID(A730, FIND("/", A730, FIND("/", A730) + 1) + 1, 2))</f>
        <v/>
      </c>
      <c r="I730" s="486">
        <f>TRIM(H730)</f>
        <v/>
      </c>
    </row>
    <row r="731" ht="15" customHeight="1">
      <c r="A731" s="487" t="inlineStr">
        <is>
          <t>PMMA COLATO P OPTIX CAST BIANCO 1125 3050x2050x6</t>
        </is>
      </c>
      <c r="B731" s="484">
        <f>+_xlfn.CONCAT(Tabella118[[#This Row],[Composizione]], " - ", Tabella118[[#This Row],[Fornitore]])</f>
        <v/>
      </c>
      <c r="C731" s="951" t="n">
        <v>33.42</v>
      </c>
      <c r="D731" s="484" t="inlineStr">
        <is>
          <t>Apa Group</t>
        </is>
      </c>
      <c r="E731" s="484">
        <f>IFERROR(IF(H731="BC",Tabella118[[#This Row],[composizione concatenata]],IF(H731="C",Tabella118[[#This Row],[composizione concatenata]],VLOOKUP(I731,$K$2:$O$7,5,FALSE))),+Tabella118[[#This Row],[composizione concatenata]])</f>
        <v/>
      </c>
      <c r="F731" s="943">
        <f>+_xlfn.IFNA(VLOOKUP(Tabella118[[#This Row],[Composizione alternativa per digitale]],Tabella118[[composizione concatenata]:[Euro/Mq]],2,FALSE),VLOOKUP(H731,digitale[[ONDA]:[Fornitore]],3,FALSE))</f>
        <v/>
      </c>
      <c r="G731" s="484" t="n"/>
      <c r="H731" s="484">
        <f>IF(MID(A731, FIND("/", A731, FIND("/", A731) + 1) + 1, 2)="A","C",MID(A731, FIND("/", A731, FIND("/", A731) + 1) + 1, 2))</f>
        <v/>
      </c>
      <c r="I731" s="486">
        <f>TRIM(H731)</f>
        <v/>
      </c>
    </row>
    <row r="732" ht="15" customHeight="1">
      <c r="A732" s="487" t="inlineStr">
        <is>
          <t>PMMA COLATO P OPTIX CAST BIANCO1125 3050x2030x10</t>
        </is>
      </c>
      <c r="B732" s="484">
        <f>+_xlfn.CONCAT(Tabella118[[#This Row],[Composizione]], " - ", Tabella118[[#This Row],[Fornitore]])</f>
        <v/>
      </c>
      <c r="C732" s="951" t="n">
        <v>55.71</v>
      </c>
      <c r="D732" s="484" t="inlineStr">
        <is>
          <t>Apa Group</t>
        </is>
      </c>
      <c r="E732" s="484">
        <f>IFERROR(IF(H732="BC",Tabella118[[#This Row],[composizione concatenata]],IF(H732="C",Tabella118[[#This Row],[composizione concatenata]],VLOOKUP(I732,$K$2:$O$7,5,FALSE))),+Tabella118[[#This Row],[composizione concatenata]])</f>
        <v/>
      </c>
      <c r="F732" s="943">
        <f>+_xlfn.IFNA(VLOOKUP(Tabella118[[#This Row],[Composizione alternativa per digitale]],Tabella118[[composizione concatenata]:[Euro/Mq]],2,FALSE),VLOOKUP(H732,digitale[[ONDA]:[Fornitore]],3,FALSE))</f>
        <v/>
      </c>
      <c r="G732" s="484" t="n"/>
      <c r="H732" s="484">
        <f>IF(MID(A732, FIND("/", A732, FIND("/", A732) + 1) + 1, 2)="A","C",MID(A732, FIND("/", A732, FIND("/", A732) + 1) + 1, 2))</f>
        <v/>
      </c>
      <c r="I732" s="486">
        <f>TRIM(H732)</f>
        <v/>
      </c>
    </row>
    <row r="733" ht="15" customHeight="1">
      <c r="A733" s="487" t="inlineStr">
        <is>
          <t>PMMA COLATO P OPTIX CAST BIANCO1125 3050x2030x12</t>
        </is>
      </c>
      <c r="B733" s="484">
        <f>+_xlfn.CONCAT(Tabella118[[#This Row],[Composizione]], " - ", Tabella118[[#This Row],[Fornitore]])</f>
        <v/>
      </c>
      <c r="C733" s="951" t="n">
        <v>66.84</v>
      </c>
      <c r="D733" s="484" t="inlineStr">
        <is>
          <t>Apa Group</t>
        </is>
      </c>
      <c r="E733" s="484">
        <f>IFERROR(IF(H733="BC",Tabella118[[#This Row],[composizione concatenata]],IF(H733="C",Tabella118[[#This Row],[composizione concatenata]],VLOOKUP(I733,$K$2:$O$7,5,FALSE))),+Tabella118[[#This Row],[composizione concatenata]])</f>
        <v/>
      </c>
      <c r="F733" s="943">
        <f>+_xlfn.IFNA(VLOOKUP(Tabella118[[#This Row],[Composizione alternativa per digitale]],Tabella118[[composizione concatenata]:[Euro/Mq]],2,FALSE),VLOOKUP(H733,digitale[[ONDA]:[Fornitore]],3,FALSE))</f>
        <v/>
      </c>
      <c r="G733" s="484" t="n"/>
      <c r="H733" s="484">
        <f>IF(MID(A733, FIND("/", A733, FIND("/", A733) + 1) + 1, 2)="A","C",MID(A733, FIND("/", A733, FIND("/", A733) + 1) + 1, 2))</f>
        <v/>
      </c>
      <c r="I733" s="486">
        <f>TRIM(H733)</f>
        <v/>
      </c>
    </row>
    <row r="734" ht="15" customHeight="1">
      <c r="A734" s="487" t="inlineStr">
        <is>
          <t>PMMA COLATO P OPTIX CAST BIANCO1125 3050x2030x15</t>
        </is>
      </c>
      <c r="B734" s="484">
        <f>+_xlfn.CONCAT(Tabella118[[#This Row],[Composizione]], " - ", Tabella118[[#This Row],[Fornitore]])</f>
        <v/>
      </c>
      <c r="C734" s="951" t="n">
        <v>83.65000000000001</v>
      </c>
      <c r="D734" s="484" t="inlineStr">
        <is>
          <t>Apa Group</t>
        </is>
      </c>
      <c r="E734" s="484">
        <f>IFERROR(IF(H734="BC",Tabella118[[#This Row],[composizione concatenata]],IF(H734="C",Tabella118[[#This Row],[composizione concatenata]],VLOOKUP(I734,$K$2:$O$7,5,FALSE))),+Tabella118[[#This Row],[composizione concatenata]])</f>
        <v/>
      </c>
      <c r="F734" s="943">
        <f>+_xlfn.IFNA(VLOOKUP(Tabella118[[#This Row],[Composizione alternativa per digitale]],Tabella118[[composizione concatenata]:[Euro/Mq]],2,FALSE),VLOOKUP(H734,digitale[[ONDA]:[Fornitore]],3,FALSE))</f>
        <v/>
      </c>
      <c r="G734" s="484" t="n"/>
      <c r="H734" s="484">
        <f>IF(MID(A734, FIND("/", A734, FIND("/", A734) + 1) + 1, 2)="A","C",MID(A734, FIND("/", A734, FIND("/", A734) + 1) + 1, 2))</f>
        <v/>
      </c>
      <c r="I734" s="486">
        <f>TRIM(H734)</f>
        <v/>
      </c>
    </row>
    <row r="735" ht="15" customHeight="1">
      <c r="A735" s="487" t="inlineStr">
        <is>
          <t>PMMA COLATO P OPTIX CAST BIANCO1125 3050x2030x20</t>
        </is>
      </c>
      <c r="B735" s="484">
        <f>+_xlfn.CONCAT(Tabella118[[#This Row],[Composizione]], " - ", Tabella118[[#This Row],[Fornitore]])</f>
        <v/>
      </c>
      <c r="C735" s="951" t="n">
        <v>111.42</v>
      </c>
      <c r="D735" s="484" t="inlineStr">
        <is>
          <t>Apa Group</t>
        </is>
      </c>
      <c r="E735" s="484">
        <f>IFERROR(IF(H735="BC",Tabella118[[#This Row],[composizione concatenata]],IF(H735="C",Tabella118[[#This Row],[composizione concatenata]],VLOOKUP(I735,$K$2:$O$7,5,FALSE))),+Tabella118[[#This Row],[composizione concatenata]])</f>
        <v/>
      </c>
      <c r="F735" s="943">
        <f>+_xlfn.IFNA(VLOOKUP(Tabella118[[#This Row],[Composizione alternativa per digitale]],Tabella118[[composizione concatenata]:[Euro/Mq]],2,FALSE),VLOOKUP(H735,digitale[[ONDA]:[Fornitore]],3,FALSE))</f>
        <v/>
      </c>
      <c r="G735" s="484" t="n"/>
      <c r="H735" s="484">
        <f>IF(MID(A735, FIND("/", A735, FIND("/", A735) + 1) + 1, 2)="A","C",MID(A735, FIND("/", A735, FIND("/", A735) + 1) + 1, 2))</f>
        <v/>
      </c>
      <c r="I735" s="486">
        <f>TRIM(H735)</f>
        <v/>
      </c>
    </row>
    <row r="736" ht="15" customHeight="1">
      <c r="A736" s="487" t="inlineStr">
        <is>
          <t>PMMA COLATO P OPTIX CAST NERO 8135 1520x2030x20</t>
        </is>
      </c>
      <c r="B736" s="484">
        <f>+_xlfn.CONCAT(Tabella118[[#This Row],[Composizione]], " - ", Tabella118[[#This Row],[Fornitore]])</f>
        <v/>
      </c>
      <c r="C736" s="951" t="n">
        <v>122.04</v>
      </c>
      <c r="D736" s="484" t="inlineStr">
        <is>
          <t>Apa Group</t>
        </is>
      </c>
      <c r="E736" s="484">
        <f>IFERROR(IF(H736="BC",Tabella118[[#This Row],[composizione concatenata]],IF(H736="C",Tabella118[[#This Row],[composizione concatenata]],VLOOKUP(I736,$K$2:$O$7,5,FALSE))),+Tabella118[[#This Row],[composizione concatenata]])</f>
        <v/>
      </c>
      <c r="F736" s="943">
        <f>+_xlfn.IFNA(VLOOKUP(Tabella118[[#This Row],[Composizione alternativa per digitale]],Tabella118[[composizione concatenata]:[Euro/Mq]],2,FALSE),VLOOKUP(H736,digitale[[ONDA]:[Fornitore]],3,FALSE))</f>
        <v/>
      </c>
      <c r="G736" s="484" t="n"/>
      <c r="H736" s="484">
        <f>IF(MID(A736, FIND("/", A736, FIND("/", A736) + 1) + 1, 2)="A","C",MID(A736, FIND("/", A736, FIND("/", A736) + 1) + 1, 2))</f>
        <v/>
      </c>
      <c r="I736" s="486">
        <f>TRIM(H736)</f>
        <v/>
      </c>
    </row>
    <row r="737" ht="15" customHeight="1">
      <c r="A737" s="487" t="inlineStr">
        <is>
          <t>PMMA COLATO P OPTIX CAST NERO 8135 3050x2030x10</t>
        </is>
      </c>
      <c r="B737" s="484">
        <f>+_xlfn.CONCAT(Tabella118[[#This Row],[Composizione]], " - ", Tabella118[[#This Row],[Fornitore]])</f>
        <v/>
      </c>
      <c r="C737" s="951" t="n">
        <v>61.01</v>
      </c>
      <c r="D737" s="484" t="inlineStr">
        <is>
          <t>Apa Group</t>
        </is>
      </c>
      <c r="E737" s="484">
        <f>IFERROR(IF(H737="BC",Tabella118[[#This Row],[composizione concatenata]],IF(H737="C",Tabella118[[#This Row],[composizione concatenata]],VLOOKUP(I737,$K$2:$O$7,5,FALSE))),+Tabella118[[#This Row],[composizione concatenata]])</f>
        <v/>
      </c>
      <c r="F737" s="943">
        <f>+_xlfn.IFNA(VLOOKUP(Tabella118[[#This Row],[Composizione alternativa per digitale]],Tabella118[[composizione concatenata]:[Euro/Mq]],2,FALSE),VLOOKUP(H737,digitale[[ONDA]:[Fornitore]],3,FALSE))</f>
        <v/>
      </c>
      <c r="G737" s="484" t="n"/>
      <c r="H737" s="484">
        <f>IF(MID(A737, FIND("/", A737, FIND("/", A737) + 1) + 1, 2)="A","C",MID(A737, FIND("/", A737, FIND("/", A737) + 1) + 1, 2))</f>
        <v/>
      </c>
      <c r="I737" s="486">
        <f>TRIM(H737)</f>
        <v/>
      </c>
    </row>
    <row r="738" ht="15" customHeight="1">
      <c r="A738" s="487" t="inlineStr">
        <is>
          <t>PMMA COLATO P OPTIX CAST NERO 8135 3050x2030x12</t>
        </is>
      </c>
      <c r="B738" s="484">
        <f>+_xlfn.CONCAT(Tabella118[[#This Row],[Composizione]], " - ", Tabella118[[#This Row],[Fornitore]])</f>
        <v/>
      </c>
      <c r="C738" s="951" t="n">
        <v>73.20999999999999</v>
      </c>
      <c r="D738" s="484" t="inlineStr">
        <is>
          <t>Apa Group</t>
        </is>
      </c>
      <c r="E738" s="484">
        <f>IFERROR(IF(H738="BC",Tabella118[[#This Row],[composizione concatenata]],IF(H738="C",Tabella118[[#This Row],[composizione concatenata]],VLOOKUP(I738,$K$2:$O$7,5,FALSE))),+Tabella118[[#This Row],[composizione concatenata]])</f>
        <v/>
      </c>
      <c r="F738" s="943">
        <f>+_xlfn.IFNA(VLOOKUP(Tabella118[[#This Row],[Composizione alternativa per digitale]],Tabella118[[composizione concatenata]:[Euro/Mq]],2,FALSE),VLOOKUP(H738,digitale[[ONDA]:[Fornitore]],3,FALSE))</f>
        <v/>
      </c>
      <c r="G738" s="484" t="n"/>
      <c r="H738" s="484">
        <f>IF(MID(A738, FIND("/", A738, FIND("/", A738) + 1) + 1, 2)="A","C",MID(A738, FIND("/", A738, FIND("/", A738) + 1) + 1, 2))</f>
        <v/>
      </c>
      <c r="I738" s="486">
        <f>TRIM(H738)</f>
        <v/>
      </c>
    </row>
    <row r="739" ht="15" customHeight="1">
      <c r="A739" s="487" t="inlineStr">
        <is>
          <t>PMMA COLATO P OPTIX CAST NERO 8135 3050x2030x15</t>
        </is>
      </c>
      <c r="B739" s="484">
        <f>+_xlfn.CONCAT(Tabella118[[#This Row],[Composizione]], " - ", Tabella118[[#This Row],[Fornitore]])</f>
        <v/>
      </c>
      <c r="C739" s="951" t="n">
        <v>91.62</v>
      </c>
      <c r="D739" s="484" t="inlineStr">
        <is>
          <t>Apa Group</t>
        </is>
      </c>
      <c r="E739" s="484">
        <f>IFERROR(IF(H739="BC",Tabella118[[#This Row],[composizione concatenata]],IF(H739="C",Tabella118[[#This Row],[composizione concatenata]],VLOOKUP(I739,$K$2:$O$7,5,FALSE))),+Tabella118[[#This Row],[composizione concatenata]])</f>
        <v/>
      </c>
      <c r="F739" s="943">
        <f>+_xlfn.IFNA(VLOOKUP(Tabella118[[#This Row],[Composizione alternativa per digitale]],Tabella118[[composizione concatenata]:[Euro/Mq]],2,FALSE),VLOOKUP(H739,digitale[[ONDA]:[Fornitore]],3,FALSE))</f>
        <v/>
      </c>
      <c r="G739" s="484" t="n"/>
      <c r="H739" s="484">
        <f>IF(MID(A739, FIND("/", A739, FIND("/", A739) + 1) + 1, 2)="A","C",MID(A739, FIND("/", A739, FIND("/", A739) + 1) + 1, 2))</f>
        <v/>
      </c>
      <c r="I739" s="486">
        <f>TRIM(H739)</f>
        <v/>
      </c>
    </row>
    <row r="740" ht="15" customHeight="1">
      <c r="A740" s="487" t="inlineStr">
        <is>
          <t>PMMA COLATO P OPTIX CAST NERO 8135 3050x2030x8</t>
        </is>
      </c>
      <c r="B740" s="484">
        <f>+_xlfn.CONCAT(Tabella118[[#This Row],[Composizione]], " - ", Tabella118[[#This Row],[Fornitore]])</f>
        <v/>
      </c>
      <c r="C740" s="951" t="n">
        <v>48.83</v>
      </c>
      <c r="D740" s="484" t="inlineStr">
        <is>
          <t>Apa Group</t>
        </is>
      </c>
      <c r="E740" s="484">
        <f>IFERROR(IF(H740="BC",Tabella118[[#This Row],[composizione concatenata]],IF(H740="C",Tabella118[[#This Row],[composizione concatenata]],VLOOKUP(I740,$K$2:$O$7,5,FALSE))),+Tabella118[[#This Row],[composizione concatenata]])</f>
        <v/>
      </c>
      <c r="F740" s="943">
        <f>+_xlfn.IFNA(VLOOKUP(Tabella118[[#This Row],[Composizione alternativa per digitale]],Tabella118[[composizione concatenata]:[Euro/Mq]],2,FALSE),VLOOKUP(H740,digitale[[ONDA]:[Fornitore]],3,FALSE))</f>
        <v/>
      </c>
      <c r="G740" s="484" t="n"/>
      <c r="H740" s="484">
        <f>IF(MID(A740, FIND("/", A740, FIND("/", A740) + 1) + 1, 2)="A","C",MID(A740, FIND("/", A740, FIND("/", A740) + 1) + 1, 2))</f>
        <v/>
      </c>
      <c r="I740" s="486">
        <f>TRIM(H740)</f>
        <v/>
      </c>
    </row>
    <row r="741" ht="15" customHeight="1">
      <c r="A741" s="487" t="inlineStr">
        <is>
          <t>PMMA COLATO P OPTIX CAST NERO 8135 3050x2050x3</t>
        </is>
      </c>
      <c r="B741" s="484">
        <f>+_xlfn.CONCAT(Tabella118[[#This Row],[Composizione]], " - ", Tabella118[[#This Row],[Fornitore]])</f>
        <v/>
      </c>
      <c r="C741" s="951" t="n">
        <v>19.36</v>
      </c>
      <c r="D741" s="484" t="inlineStr">
        <is>
          <t>Apa Group</t>
        </is>
      </c>
      <c r="E741" s="484">
        <f>IFERROR(IF(H741="BC",Tabella118[[#This Row],[composizione concatenata]],IF(H741="C",Tabella118[[#This Row],[composizione concatenata]],VLOOKUP(I741,$K$2:$O$7,5,FALSE))),+Tabella118[[#This Row],[composizione concatenata]])</f>
        <v/>
      </c>
      <c r="F741" s="943">
        <f>+_xlfn.IFNA(VLOOKUP(Tabella118[[#This Row],[Composizione alternativa per digitale]],Tabella118[[composizione concatenata]:[Euro/Mq]],2,FALSE),VLOOKUP(H741,digitale[[ONDA]:[Fornitore]],3,FALSE))</f>
        <v/>
      </c>
      <c r="G741" s="484" t="n"/>
      <c r="H741" s="484">
        <f>IF(MID(A741, FIND("/", A741, FIND("/", A741) + 1) + 1, 2)="A","C",MID(A741, FIND("/", A741, FIND("/", A741) + 1) + 1, 2))</f>
        <v/>
      </c>
      <c r="I741" s="486">
        <f>TRIM(H741)</f>
        <v/>
      </c>
    </row>
    <row r="742" ht="15" customHeight="1">
      <c r="A742" s="487" t="inlineStr">
        <is>
          <t>PMMA COLATO P OPTIX CAST NERO 8135 3050x2050x4</t>
        </is>
      </c>
      <c r="B742" s="484">
        <f>+_xlfn.CONCAT(Tabella118[[#This Row],[Composizione]], " - ", Tabella118[[#This Row],[Fornitore]])</f>
        <v/>
      </c>
      <c r="C742" s="951" t="n">
        <v>25.81</v>
      </c>
      <c r="D742" s="484" t="inlineStr">
        <is>
          <t>Apa Group</t>
        </is>
      </c>
      <c r="E742" s="484">
        <f>IFERROR(IF(H742="BC",Tabella118[[#This Row],[composizione concatenata]],IF(H742="C",Tabella118[[#This Row],[composizione concatenata]],VLOOKUP(I742,$K$2:$O$7,5,FALSE))),+Tabella118[[#This Row],[composizione concatenata]])</f>
        <v/>
      </c>
      <c r="F742" s="943">
        <f>+_xlfn.IFNA(VLOOKUP(Tabella118[[#This Row],[Composizione alternativa per digitale]],Tabella118[[composizione concatenata]:[Euro/Mq]],2,FALSE),VLOOKUP(H742,digitale[[ONDA]:[Fornitore]],3,FALSE))</f>
        <v/>
      </c>
      <c r="G742" s="484" t="n"/>
      <c r="H742" s="484">
        <f>IF(MID(A742, FIND("/", A742, FIND("/", A742) + 1) + 1, 2)="A","C",MID(A742, FIND("/", A742, FIND("/", A742) + 1) + 1, 2))</f>
        <v/>
      </c>
      <c r="I742" s="486">
        <f>TRIM(H742)</f>
        <v/>
      </c>
    </row>
    <row r="743" ht="15" customHeight="1">
      <c r="A743" s="487" t="inlineStr">
        <is>
          <t>PMMA COLATO P OPTIX CAST NERO 8135 3050x2050x5</t>
        </is>
      </c>
      <c r="B743" s="484">
        <f>+_xlfn.CONCAT(Tabella118[[#This Row],[Composizione]], " - ", Tabella118[[#This Row],[Fornitore]])</f>
        <v/>
      </c>
      <c r="C743" s="951" t="n">
        <v>30.51</v>
      </c>
      <c r="D743" s="484" t="inlineStr">
        <is>
          <t>Apa Group</t>
        </is>
      </c>
      <c r="E743" s="484">
        <f>IFERROR(IF(H743="BC",Tabella118[[#This Row],[composizione concatenata]],IF(H743="C",Tabella118[[#This Row],[composizione concatenata]],VLOOKUP(I743,$K$2:$O$7,5,FALSE))),+Tabella118[[#This Row],[composizione concatenata]])</f>
        <v/>
      </c>
      <c r="F743" s="943">
        <f>+_xlfn.IFNA(VLOOKUP(Tabella118[[#This Row],[Composizione alternativa per digitale]],Tabella118[[composizione concatenata]:[Euro/Mq]],2,FALSE),VLOOKUP(H743,digitale[[ONDA]:[Fornitore]],3,FALSE))</f>
        <v/>
      </c>
      <c r="G743" s="484" t="n"/>
      <c r="H743" s="484">
        <f>IF(MID(A743, FIND("/", A743, FIND("/", A743) + 1) + 1, 2)="A","C",MID(A743, FIND("/", A743, FIND("/", A743) + 1) + 1, 2))</f>
        <v/>
      </c>
      <c r="I743" s="486">
        <f>TRIM(H743)</f>
        <v/>
      </c>
    </row>
    <row r="744" ht="15" customHeight="1">
      <c r="A744" s="487" t="inlineStr">
        <is>
          <t>PMMA COLATO P OPTIX CAST NERO 8135 3050x2050x6</t>
        </is>
      </c>
      <c r="B744" s="484">
        <f>+_xlfn.CONCAT(Tabella118[[#This Row],[Composizione]], " - ", Tabella118[[#This Row],[Fornitore]])</f>
        <v/>
      </c>
      <c r="C744" s="951" t="n">
        <v>36.6</v>
      </c>
      <c r="D744" s="484" t="inlineStr">
        <is>
          <t>Apa Group</t>
        </is>
      </c>
      <c r="E744" s="484">
        <f>IFERROR(IF(H744="BC",Tabella118[[#This Row],[composizione concatenata]],IF(H744="C",Tabella118[[#This Row],[composizione concatenata]],VLOOKUP(I744,$K$2:$O$7,5,FALSE))),+Tabella118[[#This Row],[composizione concatenata]])</f>
        <v/>
      </c>
      <c r="F744" s="943">
        <f>+_xlfn.IFNA(VLOOKUP(Tabella118[[#This Row],[Composizione alternativa per digitale]],Tabella118[[composizione concatenata]:[Euro/Mq]],2,FALSE),VLOOKUP(H744,digitale[[ONDA]:[Fornitore]],3,FALSE))</f>
        <v/>
      </c>
      <c r="G744" s="484" t="n"/>
      <c r="H744" s="484">
        <f>IF(MID(A744, FIND("/", A744, FIND("/", A744) + 1) + 1, 2)="A","C",MID(A744, FIND("/", A744, FIND("/", A744) + 1) + 1, 2))</f>
        <v/>
      </c>
      <c r="I744" s="486">
        <f>TRIM(H744)</f>
        <v/>
      </c>
    </row>
    <row r="745" ht="15" customHeight="1">
      <c r="A745" s="487" t="inlineStr">
        <is>
          <t>PMMA COLATO P OPTIX CAST OPAL 1491 3050x2030x10</t>
        </is>
      </c>
      <c r="B745" s="484">
        <f>+_xlfn.CONCAT(Tabella118[[#This Row],[Composizione]], " - ", Tabella118[[#This Row],[Fornitore]])</f>
        <v/>
      </c>
      <c r="C745" s="951" t="n">
        <v>55.71</v>
      </c>
      <c r="D745" s="484" t="inlineStr">
        <is>
          <t>Apa Group</t>
        </is>
      </c>
      <c r="E745" s="484">
        <f>IFERROR(IF(H745="BC",Tabella118[[#This Row],[composizione concatenata]],IF(H745="C",Tabella118[[#This Row],[composizione concatenata]],VLOOKUP(I745,$K$2:$O$7,5,FALSE))),+Tabella118[[#This Row],[composizione concatenata]])</f>
        <v/>
      </c>
      <c r="F745" s="943">
        <f>+_xlfn.IFNA(VLOOKUP(Tabella118[[#This Row],[Composizione alternativa per digitale]],Tabella118[[composizione concatenata]:[Euro/Mq]],2,FALSE),VLOOKUP(H745,digitale[[ONDA]:[Fornitore]],3,FALSE))</f>
        <v/>
      </c>
      <c r="G745" s="484" t="n"/>
      <c r="H745" s="484">
        <f>IF(MID(A745, FIND("/", A745, FIND("/", A745) + 1) + 1, 2)="A","C",MID(A745, FIND("/", A745, FIND("/", A745) + 1) + 1, 2))</f>
        <v/>
      </c>
      <c r="I745" s="486">
        <f>TRIM(H745)</f>
        <v/>
      </c>
    </row>
    <row r="746" ht="15" customHeight="1">
      <c r="A746" s="487" t="inlineStr">
        <is>
          <t>PMMA COLATO P OPTIX CAST OPAL 1491 3050x2030x12</t>
        </is>
      </c>
      <c r="B746" s="484">
        <f>+_xlfn.CONCAT(Tabella118[[#This Row],[Composizione]], " - ", Tabella118[[#This Row],[Fornitore]])</f>
        <v/>
      </c>
      <c r="C746" s="951" t="n">
        <v>66.84</v>
      </c>
      <c r="D746" s="484" t="inlineStr">
        <is>
          <t>Apa Group</t>
        </is>
      </c>
      <c r="E746" s="484">
        <f>IFERROR(IF(H746="BC",Tabella118[[#This Row],[composizione concatenata]],IF(H746="C",Tabella118[[#This Row],[composizione concatenata]],VLOOKUP(I746,$K$2:$O$7,5,FALSE))),+Tabella118[[#This Row],[composizione concatenata]])</f>
        <v/>
      </c>
      <c r="F746" s="943">
        <f>+_xlfn.IFNA(VLOOKUP(Tabella118[[#This Row],[Composizione alternativa per digitale]],Tabella118[[composizione concatenata]:[Euro/Mq]],2,FALSE),VLOOKUP(H746,digitale[[ONDA]:[Fornitore]],3,FALSE))</f>
        <v/>
      </c>
      <c r="G746" s="484" t="n"/>
      <c r="H746" s="484">
        <f>IF(MID(A746, FIND("/", A746, FIND("/", A746) + 1) + 1, 2)="A","C",MID(A746, FIND("/", A746, FIND("/", A746) + 1) + 1, 2))</f>
        <v/>
      </c>
      <c r="I746" s="486">
        <f>TRIM(H746)</f>
        <v/>
      </c>
    </row>
    <row r="747" ht="15" customHeight="1">
      <c r="A747" s="487" t="inlineStr">
        <is>
          <t>PMMA COLATO P OPTIX CAST OPAL 1491 3050x2030x15</t>
        </is>
      </c>
      <c r="B747" s="484">
        <f>+_xlfn.CONCAT(Tabella118[[#This Row],[Composizione]], " - ", Tabella118[[#This Row],[Fornitore]])</f>
        <v/>
      </c>
      <c r="C747" s="951" t="n">
        <v>83.65000000000001</v>
      </c>
      <c r="D747" s="484" t="inlineStr">
        <is>
          <t>Apa Group</t>
        </is>
      </c>
      <c r="E747" s="484">
        <f>IFERROR(IF(H747="BC",Tabella118[[#This Row],[composizione concatenata]],IF(H747="C",Tabella118[[#This Row],[composizione concatenata]],VLOOKUP(I747,$K$2:$O$7,5,FALSE))),+Tabella118[[#This Row],[composizione concatenata]])</f>
        <v/>
      </c>
      <c r="F747" s="943">
        <f>+_xlfn.IFNA(VLOOKUP(Tabella118[[#This Row],[Composizione alternativa per digitale]],Tabella118[[composizione concatenata]:[Euro/Mq]],2,FALSE),VLOOKUP(H747,digitale[[ONDA]:[Fornitore]],3,FALSE))</f>
        <v/>
      </c>
      <c r="G747" s="484" t="n"/>
      <c r="H747" s="484">
        <f>IF(MID(A747, FIND("/", A747, FIND("/", A747) + 1) + 1, 2)="A","C",MID(A747, FIND("/", A747, FIND("/", A747) + 1) + 1, 2))</f>
        <v/>
      </c>
      <c r="I747" s="486">
        <f>TRIM(H747)</f>
        <v/>
      </c>
    </row>
    <row r="748" ht="15" customHeight="1">
      <c r="A748" s="487" t="inlineStr">
        <is>
          <t>PMMA COLATO P OPTIX CAST OPAL 1491 3050x2030x20</t>
        </is>
      </c>
      <c r="B748" s="484">
        <f>+_xlfn.CONCAT(Tabella118[[#This Row],[Composizione]], " - ", Tabella118[[#This Row],[Fornitore]])</f>
        <v/>
      </c>
      <c r="C748" s="951" t="n">
        <v>111.42</v>
      </c>
      <c r="D748" s="484" t="inlineStr">
        <is>
          <t>Apa Group</t>
        </is>
      </c>
      <c r="E748" s="484">
        <f>IFERROR(IF(H748="BC",Tabella118[[#This Row],[composizione concatenata]],IF(H748="C",Tabella118[[#This Row],[composizione concatenata]],VLOOKUP(I748,$K$2:$O$7,5,FALSE))),+Tabella118[[#This Row],[composizione concatenata]])</f>
        <v/>
      </c>
      <c r="F748" s="943">
        <f>+_xlfn.IFNA(VLOOKUP(Tabella118[[#This Row],[Composizione alternativa per digitale]],Tabella118[[composizione concatenata]:[Euro/Mq]],2,FALSE),VLOOKUP(H748,digitale[[ONDA]:[Fornitore]],3,FALSE))</f>
        <v/>
      </c>
      <c r="G748" s="484" t="n"/>
      <c r="H748" s="484">
        <f>IF(MID(A748, FIND("/", A748, FIND("/", A748) + 1) + 1, 2)="A","C",MID(A748, FIND("/", A748, FIND("/", A748) + 1) + 1, 2))</f>
        <v/>
      </c>
      <c r="I748" s="486">
        <f>TRIM(H748)</f>
        <v/>
      </c>
    </row>
    <row r="749" ht="15" customHeight="1">
      <c r="A749" s="487" t="inlineStr">
        <is>
          <t>PMMA COLATO P OPTIX CAST OPAL 1491 3050x2030x25</t>
        </is>
      </c>
      <c r="B749" s="484">
        <f>+_xlfn.CONCAT(Tabella118[[#This Row],[Composizione]], " - ", Tabella118[[#This Row],[Fornitore]])</f>
        <v/>
      </c>
      <c r="C749" s="951" t="n">
        <v>139.4</v>
      </c>
      <c r="D749" s="484" t="inlineStr">
        <is>
          <t>Apa Group</t>
        </is>
      </c>
      <c r="E749" s="484">
        <f>IFERROR(IF(H749="BC",Tabella118[[#This Row],[composizione concatenata]],IF(H749="C",Tabella118[[#This Row],[composizione concatenata]],VLOOKUP(I749,$K$2:$O$7,5,FALSE))),+Tabella118[[#This Row],[composizione concatenata]])</f>
        <v/>
      </c>
      <c r="F749" s="943">
        <f>+_xlfn.IFNA(VLOOKUP(Tabella118[[#This Row],[Composizione alternativa per digitale]],Tabella118[[composizione concatenata]:[Euro/Mq]],2,FALSE),VLOOKUP(H749,digitale[[ONDA]:[Fornitore]],3,FALSE))</f>
        <v/>
      </c>
      <c r="G749" s="484" t="n"/>
      <c r="H749" s="484">
        <f>IF(MID(A749, FIND("/", A749, FIND("/", A749) + 1) + 1, 2)="A","C",MID(A749, FIND("/", A749, FIND("/", A749) + 1) + 1, 2))</f>
        <v/>
      </c>
      <c r="I749" s="486">
        <f>TRIM(H749)</f>
        <v/>
      </c>
    </row>
    <row r="750" ht="15" customHeight="1">
      <c r="A750" s="487" t="inlineStr">
        <is>
          <t>PMMA COLATO P OPTIX CAST OPAL 1491 3050x2030x8</t>
        </is>
      </c>
      <c r="B750" s="484">
        <f>+_xlfn.CONCAT(Tabella118[[#This Row],[Composizione]], " - ", Tabella118[[#This Row],[Fornitore]])</f>
        <v/>
      </c>
      <c r="C750" s="951" t="n">
        <v>44.59</v>
      </c>
      <c r="D750" s="484" t="inlineStr">
        <is>
          <t>Apa Group</t>
        </is>
      </c>
      <c r="E750" s="484">
        <f>IFERROR(IF(H750="BC",Tabella118[[#This Row],[composizione concatenata]],IF(H750="C",Tabella118[[#This Row],[composizione concatenata]],VLOOKUP(I750,$K$2:$O$7,5,FALSE))),+Tabella118[[#This Row],[composizione concatenata]])</f>
        <v/>
      </c>
      <c r="F750" s="943">
        <f>+_xlfn.IFNA(VLOOKUP(Tabella118[[#This Row],[Composizione alternativa per digitale]],Tabella118[[composizione concatenata]:[Euro/Mq]],2,FALSE),VLOOKUP(H750,digitale[[ONDA]:[Fornitore]],3,FALSE))</f>
        <v/>
      </c>
      <c r="G750" s="484" t="n"/>
      <c r="H750" s="484">
        <f>IF(MID(A750, FIND("/", A750, FIND("/", A750) + 1) + 1, 2)="A","C",MID(A750, FIND("/", A750, FIND("/", A750) + 1) + 1, 2))</f>
        <v/>
      </c>
      <c r="I750" s="486">
        <f>TRIM(H750)</f>
        <v/>
      </c>
    </row>
    <row r="751" ht="15" customHeight="1">
      <c r="A751" s="487" t="inlineStr">
        <is>
          <t>PMMA COLATO P OPTIX CAST OPAL 1491 3050x2050x3</t>
        </is>
      </c>
      <c r="B751" s="484">
        <f>+_xlfn.CONCAT(Tabella118[[#This Row],[Composizione]], " - ", Tabella118[[#This Row],[Fornitore]])</f>
        <v/>
      </c>
      <c r="C751" s="951" t="n">
        <v>17.68</v>
      </c>
      <c r="D751" s="484" t="inlineStr">
        <is>
          <t>Apa Group</t>
        </is>
      </c>
      <c r="E751" s="484">
        <f>IFERROR(IF(H751="BC",Tabella118[[#This Row],[composizione concatenata]],IF(H751="C",Tabella118[[#This Row],[composizione concatenata]],VLOOKUP(I751,$K$2:$O$7,5,FALSE))),+Tabella118[[#This Row],[composizione concatenata]])</f>
        <v/>
      </c>
      <c r="F751" s="943">
        <f>+_xlfn.IFNA(VLOOKUP(Tabella118[[#This Row],[Composizione alternativa per digitale]],Tabella118[[composizione concatenata]:[Euro/Mq]],2,FALSE),VLOOKUP(H751,digitale[[ONDA]:[Fornitore]],3,FALSE))</f>
        <v/>
      </c>
      <c r="G751" s="484" t="n"/>
      <c r="H751" s="484">
        <f>IF(MID(A751, FIND("/", A751, FIND("/", A751) + 1) + 1, 2)="A","C",MID(A751, FIND("/", A751, FIND("/", A751) + 1) + 1, 2))</f>
        <v/>
      </c>
      <c r="I751" s="486">
        <f>TRIM(H751)</f>
        <v/>
      </c>
    </row>
    <row r="752" ht="15" customHeight="1">
      <c r="A752" s="487" t="inlineStr">
        <is>
          <t>PMMA COLATO P OPTIX CAST OPAL 1491 3050x2050x4</t>
        </is>
      </c>
      <c r="B752" s="484">
        <f>+_xlfn.CONCAT(Tabella118[[#This Row],[Composizione]], " - ", Tabella118[[#This Row],[Fornitore]])</f>
        <v/>
      </c>
      <c r="C752" s="951" t="n">
        <v>23.57</v>
      </c>
      <c r="D752" s="484" t="inlineStr">
        <is>
          <t>Apa Group</t>
        </is>
      </c>
      <c r="E752" s="484">
        <f>IFERROR(IF(H752="BC",Tabella118[[#This Row],[composizione concatenata]],IF(H752="C",Tabella118[[#This Row],[composizione concatenata]],VLOOKUP(I752,$K$2:$O$7,5,FALSE))),+Tabella118[[#This Row],[composizione concatenata]])</f>
        <v/>
      </c>
      <c r="F752" s="943">
        <f>+_xlfn.IFNA(VLOOKUP(Tabella118[[#This Row],[Composizione alternativa per digitale]],Tabella118[[composizione concatenata]:[Euro/Mq]],2,FALSE),VLOOKUP(H752,digitale[[ONDA]:[Fornitore]],3,FALSE))</f>
        <v/>
      </c>
      <c r="G752" s="484" t="n"/>
      <c r="H752" s="484">
        <f>IF(MID(A752, FIND("/", A752, FIND("/", A752) + 1) + 1, 2)="A","C",MID(A752, FIND("/", A752, FIND("/", A752) + 1) + 1, 2))</f>
        <v/>
      </c>
      <c r="I752" s="486">
        <f>TRIM(H752)</f>
        <v/>
      </c>
    </row>
    <row r="753" ht="15" customHeight="1">
      <c r="A753" s="487" t="inlineStr">
        <is>
          <t>PMMA COLATO P OPTIX CAST OPAL 1491 3050x2050x5</t>
        </is>
      </c>
      <c r="B753" s="484">
        <f>+_xlfn.CONCAT(Tabella118[[#This Row],[Composizione]], " - ", Tabella118[[#This Row],[Fornitore]])</f>
        <v/>
      </c>
      <c r="C753" s="951" t="n">
        <v>27.85</v>
      </c>
      <c r="D753" s="484" t="inlineStr">
        <is>
          <t>Apa Group</t>
        </is>
      </c>
      <c r="E753" s="484">
        <f>IFERROR(IF(H753="BC",Tabella118[[#This Row],[composizione concatenata]],IF(H753="C",Tabella118[[#This Row],[composizione concatenata]],VLOOKUP(I753,$K$2:$O$7,5,FALSE))),+Tabella118[[#This Row],[composizione concatenata]])</f>
        <v/>
      </c>
      <c r="F753" s="943">
        <f>+_xlfn.IFNA(VLOOKUP(Tabella118[[#This Row],[Composizione alternativa per digitale]],Tabella118[[composizione concatenata]:[Euro/Mq]],2,FALSE),VLOOKUP(H753,digitale[[ONDA]:[Fornitore]],3,FALSE))</f>
        <v/>
      </c>
      <c r="G753" s="484" t="n"/>
      <c r="H753" s="484">
        <f>IF(MID(A753, FIND("/", A753, FIND("/", A753) + 1) + 1, 2)="A","C",MID(A753, FIND("/", A753, FIND("/", A753) + 1) + 1, 2))</f>
        <v/>
      </c>
      <c r="I753" s="486">
        <f>TRIM(H753)</f>
        <v/>
      </c>
    </row>
    <row r="754" ht="15" customHeight="1">
      <c r="A754" s="487" t="inlineStr">
        <is>
          <t>PMMA COLATO P OPTIX CAST OPAL 1491 3050x2050x6</t>
        </is>
      </c>
      <c r="B754" s="484">
        <f>+_xlfn.CONCAT(Tabella118[[#This Row],[Composizione]], " - ", Tabella118[[#This Row],[Fornitore]])</f>
        <v/>
      </c>
      <c r="C754" s="951" t="n">
        <v>33.42</v>
      </c>
      <c r="D754" s="484" t="inlineStr">
        <is>
          <t>Apa Group</t>
        </is>
      </c>
      <c r="E754" s="484">
        <f>IFERROR(IF(H754="BC",Tabella118[[#This Row],[composizione concatenata]],IF(H754="C",Tabella118[[#This Row],[composizione concatenata]],VLOOKUP(I754,$K$2:$O$7,5,FALSE))),+Tabella118[[#This Row],[composizione concatenata]])</f>
        <v/>
      </c>
      <c r="F754" s="943">
        <f>+_xlfn.IFNA(VLOOKUP(Tabella118[[#This Row],[Composizione alternativa per digitale]],Tabella118[[composizione concatenata]:[Euro/Mq]],2,FALSE),VLOOKUP(H754,digitale[[ONDA]:[Fornitore]],3,FALSE))</f>
        <v/>
      </c>
      <c r="G754" s="484" t="n"/>
      <c r="H754" s="484">
        <f>IF(MID(A754, FIND("/", A754, FIND("/", A754) + 1) + 1, 2)="A","C",MID(A754, FIND("/", A754, FIND("/", A754) + 1) + 1, 2))</f>
        <v/>
      </c>
      <c r="I754" s="486">
        <f>TRIM(H754)</f>
        <v/>
      </c>
    </row>
    <row r="755" ht="15" customHeight="1">
      <c r="A755" s="487" t="inlineStr">
        <is>
          <t>PMMA COLATO P OPTIX CAST TRASP. 3050x2030x10</t>
        </is>
      </c>
      <c r="B755" s="484">
        <f>+_xlfn.CONCAT(Tabella118[[#This Row],[Composizione]], " - ", Tabella118[[#This Row],[Fornitore]])</f>
        <v/>
      </c>
      <c r="C755" s="951" t="n">
        <v>53.06</v>
      </c>
      <c r="D755" s="484" t="inlineStr">
        <is>
          <t>Apa Group</t>
        </is>
      </c>
      <c r="E755" s="484">
        <f>IFERROR(IF(H755="BC",Tabella118[[#This Row],[composizione concatenata]],IF(H755="C",Tabella118[[#This Row],[composizione concatenata]],VLOOKUP(I755,$K$2:$O$7,5,FALSE))),+Tabella118[[#This Row],[composizione concatenata]])</f>
        <v/>
      </c>
      <c r="F755" s="943">
        <f>+_xlfn.IFNA(VLOOKUP(Tabella118[[#This Row],[Composizione alternativa per digitale]],Tabella118[[composizione concatenata]:[Euro/Mq]],2,FALSE),VLOOKUP(H755,digitale[[ONDA]:[Fornitore]],3,FALSE))</f>
        <v/>
      </c>
      <c r="G755" s="484" t="n"/>
      <c r="H755" s="484">
        <f>IF(MID(A755, FIND("/", A755, FIND("/", A755) + 1) + 1, 2)="A","C",MID(A755, FIND("/", A755, FIND("/", A755) + 1) + 1, 2))</f>
        <v/>
      </c>
      <c r="I755" s="486">
        <f>TRIM(H755)</f>
        <v/>
      </c>
    </row>
    <row r="756" ht="15" customHeight="1">
      <c r="A756" s="487" t="inlineStr">
        <is>
          <t>PMMA COLATO P OPTIX CAST TRASP. 3050x2030x12</t>
        </is>
      </c>
      <c r="B756" s="484">
        <f>+_xlfn.CONCAT(Tabella118[[#This Row],[Composizione]], " - ", Tabella118[[#This Row],[Fornitore]])</f>
        <v/>
      </c>
      <c r="C756" s="951" t="n">
        <v>63.66</v>
      </c>
      <c r="D756" s="484" t="inlineStr">
        <is>
          <t>Apa Group</t>
        </is>
      </c>
      <c r="E756" s="484">
        <f>IFERROR(IF(H756="BC",Tabella118[[#This Row],[composizione concatenata]],IF(H756="C",Tabella118[[#This Row],[composizione concatenata]],VLOOKUP(I756,$K$2:$O$7,5,FALSE))),+Tabella118[[#This Row],[composizione concatenata]])</f>
        <v/>
      </c>
      <c r="F756" s="943">
        <f>+_xlfn.IFNA(VLOOKUP(Tabella118[[#This Row],[Composizione alternativa per digitale]],Tabella118[[composizione concatenata]:[Euro/Mq]],2,FALSE),VLOOKUP(H756,digitale[[ONDA]:[Fornitore]],3,FALSE))</f>
        <v/>
      </c>
      <c r="G756" s="484" t="n"/>
      <c r="H756" s="484">
        <f>IF(MID(A756, FIND("/", A756, FIND("/", A756) + 1) + 1, 2)="A","C",MID(A756, FIND("/", A756, FIND("/", A756) + 1) + 1, 2))</f>
        <v/>
      </c>
      <c r="I756" s="486">
        <f>TRIM(H756)</f>
        <v/>
      </c>
    </row>
    <row r="757" ht="15" customHeight="1">
      <c r="A757" s="487" t="inlineStr">
        <is>
          <t>PMMA COLATO P OPTIX CAST TRASP. 3050x2030x15</t>
        </is>
      </c>
      <c r="B757" s="484">
        <f>+_xlfn.CONCAT(Tabella118[[#This Row],[Composizione]], " - ", Tabella118[[#This Row],[Fornitore]])</f>
        <v/>
      </c>
      <c r="C757" s="951" t="n">
        <v>79.67</v>
      </c>
      <c r="D757" s="484" t="inlineStr">
        <is>
          <t>Apa Group</t>
        </is>
      </c>
      <c r="E757" s="484">
        <f>IFERROR(IF(H757="BC",Tabella118[[#This Row],[composizione concatenata]],IF(H757="C",Tabella118[[#This Row],[composizione concatenata]],VLOOKUP(I757,$K$2:$O$7,5,FALSE))),+Tabella118[[#This Row],[composizione concatenata]])</f>
        <v/>
      </c>
      <c r="F757" s="943">
        <f>+_xlfn.IFNA(VLOOKUP(Tabella118[[#This Row],[Composizione alternativa per digitale]],Tabella118[[composizione concatenata]:[Euro/Mq]],2,FALSE),VLOOKUP(H757,digitale[[ONDA]:[Fornitore]],3,FALSE))</f>
        <v/>
      </c>
      <c r="G757" s="484" t="n"/>
      <c r="H757" s="484">
        <f>IF(MID(A757, FIND("/", A757, FIND("/", A757) + 1) + 1, 2)="A","C",MID(A757, FIND("/", A757, FIND("/", A757) + 1) + 1, 2))</f>
        <v/>
      </c>
      <c r="I757" s="486">
        <f>TRIM(H757)</f>
        <v/>
      </c>
    </row>
    <row r="758" ht="15" customHeight="1">
      <c r="A758" s="487" t="inlineStr">
        <is>
          <t>PMMA COLATO P OPTIX CAST TRASP. 3050x2030x20</t>
        </is>
      </c>
      <c r="B758" s="484">
        <f>+_xlfn.CONCAT(Tabella118[[#This Row],[Composizione]], " - ", Tabella118[[#This Row],[Fornitore]])</f>
        <v/>
      </c>
      <c r="C758" s="951" t="n">
        <v>106.12</v>
      </c>
      <c r="D758" s="484" t="inlineStr">
        <is>
          <t>Apa Group</t>
        </is>
      </c>
      <c r="E758" s="484">
        <f>IFERROR(IF(H758="BC",Tabella118[[#This Row],[composizione concatenata]],IF(H758="C",Tabella118[[#This Row],[composizione concatenata]],VLOOKUP(I758,$K$2:$O$7,5,FALSE))),+Tabella118[[#This Row],[composizione concatenata]])</f>
        <v/>
      </c>
      <c r="F758" s="943">
        <f>+_xlfn.IFNA(VLOOKUP(Tabella118[[#This Row],[Composizione alternativa per digitale]],Tabella118[[composizione concatenata]:[Euro/Mq]],2,FALSE),VLOOKUP(H758,digitale[[ONDA]:[Fornitore]],3,FALSE))</f>
        <v/>
      </c>
      <c r="G758" s="484" t="n"/>
      <c r="H758" s="484">
        <f>IF(MID(A758, FIND("/", A758, FIND("/", A758) + 1) + 1, 2)="A","C",MID(A758, FIND("/", A758, FIND("/", A758) + 1) + 1, 2))</f>
        <v/>
      </c>
      <c r="I758" s="486">
        <f>TRIM(H758)</f>
        <v/>
      </c>
    </row>
    <row r="759" ht="15" customHeight="1">
      <c r="A759" s="487" t="inlineStr">
        <is>
          <t>PMMA COLATO P OPTIX CAST TRASP. 3050x2030x25</t>
        </is>
      </c>
      <c r="B759" s="484">
        <f>+_xlfn.CONCAT(Tabella118[[#This Row],[Composizione]], " - ", Tabella118[[#This Row],[Fornitore]])</f>
        <v/>
      </c>
      <c r="C759" s="951" t="n">
        <v>132.76</v>
      </c>
      <c r="D759" s="484" t="inlineStr">
        <is>
          <t>Apa Group</t>
        </is>
      </c>
      <c r="E759" s="484">
        <f>IFERROR(IF(H759="BC",Tabella118[[#This Row],[composizione concatenata]],IF(H759="C",Tabella118[[#This Row],[composizione concatenata]],VLOOKUP(I759,$K$2:$O$7,5,FALSE))),+Tabella118[[#This Row],[composizione concatenata]])</f>
        <v/>
      </c>
      <c r="F759" s="943">
        <f>+_xlfn.IFNA(VLOOKUP(Tabella118[[#This Row],[Composizione alternativa per digitale]],Tabella118[[composizione concatenata]:[Euro/Mq]],2,FALSE),VLOOKUP(H759,digitale[[ONDA]:[Fornitore]],3,FALSE))</f>
        <v/>
      </c>
      <c r="G759" s="484" t="n"/>
      <c r="H759" s="484">
        <f>IF(MID(A759, FIND("/", A759, FIND("/", A759) + 1) + 1, 2)="A","C",MID(A759, FIND("/", A759, FIND("/", A759) + 1) + 1, 2))</f>
        <v/>
      </c>
      <c r="I759" s="486">
        <f>TRIM(H759)</f>
        <v/>
      </c>
    </row>
    <row r="760" ht="15" customHeight="1">
      <c r="A760" s="487" t="inlineStr">
        <is>
          <t>PMMA COLATO P OPTIX CAST TRASP. 3050x2030x8</t>
        </is>
      </c>
      <c r="B760" s="484">
        <f>+_xlfn.CONCAT(Tabella118[[#This Row],[Composizione]], " - ", Tabella118[[#This Row],[Fornitore]])</f>
        <v/>
      </c>
      <c r="C760" s="951" t="n">
        <v>42.46</v>
      </c>
      <c r="D760" s="484" t="inlineStr">
        <is>
          <t>Apa Group</t>
        </is>
      </c>
      <c r="E760" s="484">
        <f>IFERROR(IF(H760="BC",Tabella118[[#This Row],[composizione concatenata]],IF(H760="C",Tabella118[[#This Row],[composizione concatenata]],VLOOKUP(I760,$K$2:$O$7,5,FALSE))),+Tabella118[[#This Row],[composizione concatenata]])</f>
        <v/>
      </c>
      <c r="F760" s="943">
        <f>+_xlfn.IFNA(VLOOKUP(Tabella118[[#This Row],[Composizione alternativa per digitale]],Tabella118[[composizione concatenata]:[Euro/Mq]],2,FALSE),VLOOKUP(H760,digitale[[ONDA]:[Fornitore]],3,FALSE))</f>
        <v/>
      </c>
      <c r="G760" s="484" t="n"/>
      <c r="H760" s="484">
        <f>IF(MID(A760, FIND("/", A760, FIND("/", A760) + 1) + 1, 2)="A","C",MID(A760, FIND("/", A760, FIND("/", A760) + 1) + 1, 2))</f>
        <v/>
      </c>
      <c r="I760" s="486">
        <f>TRIM(H760)</f>
        <v/>
      </c>
    </row>
    <row r="761" ht="15" customHeight="1">
      <c r="A761" s="487" t="inlineStr">
        <is>
          <t>PMMA COLATO P OPTIX CAST TRASP. 3050x2050x3</t>
        </is>
      </c>
      <c r="B761" s="484">
        <f>+_xlfn.CONCAT(Tabella118[[#This Row],[Composizione]], " - ", Tabella118[[#This Row],[Fornitore]])</f>
        <v/>
      </c>
      <c r="C761" s="951" t="n">
        <v>16.83</v>
      </c>
      <c r="D761" s="484" t="inlineStr">
        <is>
          <t>Apa Group</t>
        </is>
      </c>
      <c r="E761" s="484">
        <f>IFERROR(IF(H761="BC",Tabella118[[#This Row],[composizione concatenata]],IF(H761="C",Tabella118[[#This Row],[composizione concatenata]],VLOOKUP(I761,$K$2:$O$7,5,FALSE))),+Tabella118[[#This Row],[composizione concatenata]])</f>
        <v/>
      </c>
      <c r="F761" s="943">
        <f>+_xlfn.IFNA(VLOOKUP(Tabella118[[#This Row],[Composizione alternativa per digitale]],Tabella118[[composizione concatenata]:[Euro/Mq]],2,FALSE),VLOOKUP(H761,digitale[[ONDA]:[Fornitore]],3,FALSE))</f>
        <v/>
      </c>
      <c r="G761" s="484" t="n"/>
      <c r="H761" s="484">
        <f>IF(MID(A761, FIND("/", A761, FIND("/", A761) + 1) + 1, 2)="A","C",MID(A761, FIND("/", A761, FIND("/", A761) + 1) + 1, 2))</f>
        <v/>
      </c>
      <c r="I761" s="486">
        <f>TRIM(H761)</f>
        <v/>
      </c>
    </row>
    <row r="762" ht="15" customHeight="1">
      <c r="A762" s="487" t="inlineStr">
        <is>
          <t>PMMA COLATO P OPTIX CAST TRASP. 3050x2050x4</t>
        </is>
      </c>
      <c r="B762" s="484">
        <f>+_xlfn.CONCAT(Tabella118[[#This Row],[Composizione]], " - ", Tabella118[[#This Row],[Fornitore]])</f>
        <v/>
      </c>
      <c r="C762" s="951" t="n">
        <v>22.45</v>
      </c>
      <c r="D762" s="484" t="inlineStr">
        <is>
          <t>Apa Group</t>
        </is>
      </c>
      <c r="E762" s="484">
        <f>IFERROR(IF(H762="BC",Tabella118[[#This Row],[composizione concatenata]],IF(H762="C",Tabella118[[#This Row],[composizione concatenata]],VLOOKUP(I762,$K$2:$O$7,5,FALSE))),+Tabella118[[#This Row],[composizione concatenata]])</f>
        <v/>
      </c>
      <c r="F762" s="943">
        <f>+_xlfn.IFNA(VLOOKUP(Tabella118[[#This Row],[Composizione alternativa per digitale]],Tabella118[[composizione concatenata]:[Euro/Mq]],2,FALSE),VLOOKUP(H762,digitale[[ONDA]:[Fornitore]],3,FALSE))</f>
        <v/>
      </c>
      <c r="G762" s="484" t="n"/>
      <c r="H762" s="484">
        <f>IF(MID(A762, FIND("/", A762, FIND("/", A762) + 1) + 1, 2)="A","C",MID(A762, FIND("/", A762, FIND("/", A762) + 1) + 1, 2))</f>
        <v/>
      </c>
      <c r="I762" s="486">
        <f>TRIM(H762)</f>
        <v/>
      </c>
    </row>
    <row r="763" ht="15" customHeight="1">
      <c r="A763" s="487" t="inlineStr">
        <is>
          <t>PMMA COLATO P OPTIX CAST TRASP. 3050x2050x5</t>
        </is>
      </c>
      <c r="B763" s="484">
        <f>+_xlfn.CONCAT(Tabella118[[#This Row],[Composizione]], " - ", Tabella118[[#This Row],[Fornitore]])</f>
        <v/>
      </c>
      <c r="C763" s="951" t="n">
        <v>26.53</v>
      </c>
      <c r="D763" s="484" t="inlineStr">
        <is>
          <t>Apa Group</t>
        </is>
      </c>
      <c r="E763" s="484">
        <f>IFERROR(IF(H763="BC",Tabella118[[#This Row],[composizione concatenata]],IF(H763="C",Tabella118[[#This Row],[composizione concatenata]],VLOOKUP(I763,$K$2:$O$7,5,FALSE))),+Tabella118[[#This Row],[composizione concatenata]])</f>
        <v/>
      </c>
      <c r="F763" s="943">
        <f>+_xlfn.IFNA(VLOOKUP(Tabella118[[#This Row],[Composizione alternativa per digitale]],Tabella118[[composizione concatenata]:[Euro/Mq]],2,FALSE),VLOOKUP(H763,digitale[[ONDA]:[Fornitore]],3,FALSE))</f>
        <v/>
      </c>
      <c r="G763" s="484" t="n"/>
      <c r="H763" s="484">
        <f>IF(MID(A763, FIND("/", A763, FIND("/", A763) + 1) + 1, 2)="A","C",MID(A763, FIND("/", A763, FIND("/", A763) + 1) + 1, 2))</f>
        <v/>
      </c>
      <c r="I763" s="486">
        <f>TRIM(H763)</f>
        <v/>
      </c>
    </row>
    <row r="764" ht="15" customHeight="1">
      <c r="A764" s="487" t="inlineStr">
        <is>
          <t>PMMA COLATO P OPTIX CAST TRASP. 3050x2050x6</t>
        </is>
      </c>
      <c r="B764" s="484">
        <f>+_xlfn.CONCAT(Tabella118[[#This Row],[Composizione]], " - ", Tabella118[[#This Row],[Fornitore]])</f>
        <v/>
      </c>
      <c r="C764" s="951" t="n">
        <v>31.83</v>
      </c>
      <c r="D764" s="484" t="inlineStr">
        <is>
          <t>Apa Group</t>
        </is>
      </c>
      <c r="E764" s="484">
        <f>IFERROR(IF(H764="BC",Tabella118[[#This Row],[composizione concatenata]],IF(H764="C",Tabella118[[#This Row],[composizione concatenata]],VLOOKUP(I764,$K$2:$O$7,5,FALSE))),+Tabella118[[#This Row],[composizione concatenata]])</f>
        <v/>
      </c>
      <c r="F764" s="943">
        <f>+_xlfn.IFNA(VLOOKUP(Tabella118[[#This Row],[Composizione alternativa per digitale]],Tabella118[[composizione concatenata]:[Euro/Mq]],2,FALSE),VLOOKUP(H764,digitale[[ONDA]:[Fornitore]],3,FALSE))</f>
        <v/>
      </c>
      <c r="G764" s="484" t="n"/>
      <c r="H764" s="484">
        <f>IF(MID(A764, FIND("/", A764, FIND("/", A764) + 1) + 1, 2)="A","C",MID(A764, FIND("/", A764, FIND("/", A764) + 1) + 1, 2))</f>
        <v/>
      </c>
      <c r="I764" s="486">
        <f>TRIM(H764)</f>
        <v/>
      </c>
    </row>
    <row r="765" ht="15" customHeight="1">
      <c r="A765" s="487" t="inlineStr">
        <is>
          <t>PMMA COLATO P SATIN OPTIX CAST A/R 2L TR 3050x2000x10</t>
        </is>
      </c>
      <c r="B765" s="484">
        <f>+_xlfn.CONCAT(Tabella118[[#This Row],[Composizione]], " - ", Tabella118[[#This Row],[Fornitore]])</f>
        <v/>
      </c>
      <c r="C765" s="951" t="n">
        <v>63.67</v>
      </c>
      <c r="D765" s="484" t="inlineStr">
        <is>
          <t>Apa Group</t>
        </is>
      </c>
      <c r="E765" s="484">
        <f>IFERROR(IF(H765="BC",Tabella118[[#This Row],[composizione concatenata]],IF(H765="C",Tabella118[[#This Row],[composizione concatenata]],VLOOKUP(I765,$K$2:$O$7,5,FALSE))),+Tabella118[[#This Row],[composizione concatenata]])</f>
        <v/>
      </c>
      <c r="F765" s="943">
        <f>+_xlfn.IFNA(VLOOKUP(Tabella118[[#This Row],[Composizione alternativa per digitale]],Tabella118[[composizione concatenata]:[Euro/Mq]],2,FALSE),VLOOKUP(H765,digitale[[ONDA]:[Fornitore]],3,FALSE))</f>
        <v/>
      </c>
      <c r="G765" s="484" t="n"/>
      <c r="H765" s="484">
        <f>IF(MID(A765, FIND("/", A765, FIND("/", A765) + 1) + 1, 2)="A","C",MID(A765, FIND("/", A765, FIND("/", A765) + 1) + 1, 2))</f>
        <v/>
      </c>
      <c r="I765" s="486">
        <f>TRIM(H765)</f>
        <v/>
      </c>
    </row>
    <row r="766" ht="15" customHeight="1">
      <c r="A766" s="487" t="inlineStr">
        <is>
          <t>PMMA COLATO P SATIN OPTIX CAST A/R 2L TR 3050x2000x20</t>
        </is>
      </c>
      <c r="B766" s="484">
        <f>+_xlfn.CONCAT(Tabella118[[#This Row],[Composizione]], " - ", Tabella118[[#This Row],[Fornitore]])</f>
        <v/>
      </c>
      <c r="C766" s="951" t="n">
        <v>127.34</v>
      </c>
      <c r="D766" s="484" t="inlineStr">
        <is>
          <t>Apa Group</t>
        </is>
      </c>
      <c r="E766" s="484">
        <f>IFERROR(IF(H766="BC",Tabella118[[#This Row],[composizione concatenata]],IF(H766="C",Tabella118[[#This Row],[composizione concatenata]],VLOOKUP(I766,$K$2:$O$7,5,FALSE))),+Tabella118[[#This Row],[composizione concatenata]])</f>
        <v/>
      </c>
      <c r="F766" s="943">
        <f>+_xlfn.IFNA(VLOOKUP(Tabella118[[#This Row],[Composizione alternativa per digitale]],Tabella118[[composizione concatenata]:[Euro/Mq]],2,FALSE),VLOOKUP(H766,digitale[[ONDA]:[Fornitore]],3,FALSE))</f>
        <v/>
      </c>
      <c r="G766" s="484" t="n"/>
      <c r="H766" s="484">
        <f>IF(MID(A766, FIND("/", A766, FIND("/", A766) + 1) + 1, 2)="A","C",MID(A766, FIND("/", A766, FIND("/", A766) + 1) + 1, 2))</f>
        <v/>
      </c>
      <c r="I766" s="486">
        <f>TRIM(H766)</f>
        <v/>
      </c>
    </row>
    <row r="767" ht="15" customHeight="1">
      <c r="A767" s="487" t="inlineStr">
        <is>
          <t>PMMA COLATO P SATIN OPTIX CAST A/R 2L TR 3050x2000x3</t>
        </is>
      </c>
      <c r="B767" s="484">
        <f>+_xlfn.CONCAT(Tabella118[[#This Row],[Composizione]], " - ", Tabella118[[#This Row],[Fornitore]])</f>
        <v/>
      </c>
      <c r="C767" s="951" t="n">
        <v>20.2</v>
      </c>
      <c r="D767" s="484" t="inlineStr">
        <is>
          <t>Apa Group</t>
        </is>
      </c>
      <c r="E767" s="484">
        <f>IFERROR(IF(H767="BC",Tabella118[[#This Row],[composizione concatenata]],IF(H767="C",Tabella118[[#This Row],[composizione concatenata]],VLOOKUP(I767,$K$2:$O$7,5,FALSE))),+Tabella118[[#This Row],[composizione concatenata]])</f>
        <v/>
      </c>
      <c r="F767" s="943">
        <f>+_xlfn.IFNA(VLOOKUP(Tabella118[[#This Row],[Composizione alternativa per digitale]],Tabella118[[composizione concatenata]:[Euro/Mq]],2,FALSE),VLOOKUP(H767,digitale[[ONDA]:[Fornitore]],3,FALSE))</f>
        <v/>
      </c>
      <c r="G767" s="484" t="n"/>
      <c r="H767" s="484">
        <f>IF(MID(A767, FIND("/", A767, FIND("/", A767) + 1) + 1, 2)="A","C",MID(A767, FIND("/", A767, FIND("/", A767) + 1) + 1, 2))</f>
        <v/>
      </c>
      <c r="I767" s="486">
        <f>TRIM(H767)</f>
        <v/>
      </c>
    </row>
    <row r="768" ht="15" customHeight="1">
      <c r="A768" s="487" t="inlineStr">
        <is>
          <t>PMMA COLATO P SATIN OPTIX CAST A/R 2L TR 3050x2000x4</t>
        </is>
      </c>
      <c r="B768" s="484">
        <f>+_xlfn.CONCAT(Tabella118[[#This Row],[Composizione]], " - ", Tabella118[[#This Row],[Fornitore]])</f>
        <v/>
      </c>
      <c r="C768" s="951" t="n">
        <v>26.94</v>
      </c>
      <c r="D768" s="484" t="inlineStr">
        <is>
          <t>Apa Group</t>
        </is>
      </c>
      <c r="E768" s="484">
        <f>IFERROR(IF(H768="BC",Tabella118[[#This Row],[composizione concatenata]],IF(H768="C",Tabella118[[#This Row],[composizione concatenata]],VLOOKUP(I768,$K$2:$O$7,5,FALSE))),+Tabella118[[#This Row],[composizione concatenata]])</f>
        <v/>
      </c>
      <c r="F768" s="943">
        <f>+_xlfn.IFNA(VLOOKUP(Tabella118[[#This Row],[Composizione alternativa per digitale]],Tabella118[[composizione concatenata]:[Euro/Mq]],2,FALSE),VLOOKUP(H768,digitale[[ONDA]:[Fornitore]],3,FALSE))</f>
        <v/>
      </c>
      <c r="G768" s="484" t="n"/>
      <c r="H768" s="484">
        <f>IF(MID(A768, FIND("/", A768, FIND("/", A768) + 1) + 1, 2)="A","C",MID(A768, FIND("/", A768, FIND("/", A768) + 1) + 1, 2))</f>
        <v/>
      </c>
      <c r="I768" s="486">
        <f>TRIM(H768)</f>
        <v/>
      </c>
    </row>
    <row r="769" ht="15" customHeight="1">
      <c r="A769" s="487" t="inlineStr">
        <is>
          <t>PMMA COLATO P SATIN OPTIX CAST A/R 2L TR 3050x2000x5</t>
        </is>
      </c>
      <c r="B769" s="484">
        <f>+_xlfn.CONCAT(Tabella118[[#This Row],[Composizione]], " - ", Tabella118[[#This Row],[Fornitore]])</f>
        <v/>
      </c>
      <c r="C769" s="951" t="n">
        <v>31.84</v>
      </c>
      <c r="D769" s="484" t="inlineStr">
        <is>
          <t>Apa Group</t>
        </is>
      </c>
      <c r="E769" s="484">
        <f>IFERROR(IF(H769="BC",Tabella118[[#This Row],[composizione concatenata]],IF(H769="C",Tabella118[[#This Row],[composizione concatenata]],VLOOKUP(I769,$K$2:$O$7,5,FALSE))),+Tabella118[[#This Row],[composizione concatenata]])</f>
        <v/>
      </c>
      <c r="F769" s="943">
        <f>+_xlfn.IFNA(VLOOKUP(Tabella118[[#This Row],[Composizione alternativa per digitale]],Tabella118[[composizione concatenata]:[Euro/Mq]],2,FALSE),VLOOKUP(H769,digitale[[ONDA]:[Fornitore]],3,FALSE))</f>
        <v/>
      </c>
      <c r="G769" s="484" t="n"/>
      <c r="H769" s="484">
        <f>IF(MID(A769, FIND("/", A769, FIND("/", A769) + 1) + 1, 2)="A","C",MID(A769, FIND("/", A769, FIND("/", A769) + 1) + 1, 2))</f>
        <v/>
      </c>
      <c r="I769" s="486">
        <f>TRIM(H769)</f>
        <v/>
      </c>
    </row>
    <row r="770" ht="15" customHeight="1">
      <c r="A770" s="487" t="inlineStr">
        <is>
          <t>PMMA COLATO P SATIN OPTIX CAST A/R 2L TR 3050x2000x8</t>
        </is>
      </c>
      <c r="B770" s="484">
        <f>+_xlfn.CONCAT(Tabella118[[#This Row],[Composizione]], " - ", Tabella118[[#This Row],[Fornitore]])</f>
        <v/>
      </c>
      <c r="C770" s="951" t="n">
        <v>50.95</v>
      </c>
      <c r="D770" s="484" t="inlineStr">
        <is>
          <t>Apa Group</t>
        </is>
      </c>
      <c r="E770" s="484">
        <f>IFERROR(IF(H770="BC",Tabella118[[#This Row],[composizione concatenata]],IF(H770="C",Tabella118[[#This Row],[composizione concatenata]],VLOOKUP(I770,$K$2:$O$7,5,FALSE))),+Tabella118[[#This Row],[composizione concatenata]])</f>
        <v/>
      </c>
      <c r="F770" s="943">
        <f>+_xlfn.IFNA(VLOOKUP(Tabella118[[#This Row],[Composizione alternativa per digitale]],Tabella118[[composizione concatenata]:[Euro/Mq]],2,FALSE),VLOOKUP(H770,digitale[[ONDA]:[Fornitore]],3,FALSE))</f>
        <v/>
      </c>
      <c r="G770" s="484" t="n"/>
      <c r="H770" s="484">
        <f>IF(MID(A770, FIND("/", A770, FIND("/", A770) + 1) + 1, 2)="A","C",MID(A770, FIND("/", A770, FIND("/", A770) + 1) + 1, 2))</f>
        <v/>
      </c>
      <c r="I770" s="486">
        <f>TRIM(H770)</f>
        <v/>
      </c>
    </row>
    <row r="771" ht="15" customHeight="1">
      <c r="A771" s="487" t="inlineStr">
        <is>
          <t>PMMA COLATO P SATIN OPTIX CAST A/R 2L TR 3050x2030x10</t>
        </is>
      </c>
      <c r="B771" s="484">
        <f>+_xlfn.CONCAT(Tabella118[[#This Row],[Composizione]], " - ", Tabella118[[#This Row],[Fornitore]])</f>
        <v/>
      </c>
      <c r="C771" s="951" t="n">
        <v>63.67</v>
      </c>
      <c r="D771" s="484" t="inlineStr">
        <is>
          <t>Apa Group</t>
        </is>
      </c>
      <c r="E771" s="484">
        <f>IFERROR(IF(H771="BC",Tabella118[[#This Row],[composizione concatenata]],IF(H771="C",Tabella118[[#This Row],[composizione concatenata]],VLOOKUP(I771,$K$2:$O$7,5,FALSE))),+Tabella118[[#This Row],[composizione concatenata]])</f>
        <v/>
      </c>
      <c r="F771" s="943">
        <f>+_xlfn.IFNA(VLOOKUP(Tabella118[[#This Row],[Composizione alternativa per digitale]],Tabella118[[composizione concatenata]:[Euro/Mq]],2,FALSE),VLOOKUP(H771,digitale[[ONDA]:[Fornitore]],3,FALSE))</f>
        <v/>
      </c>
      <c r="G771" s="484" t="n"/>
      <c r="H771" s="484">
        <f>IF(MID(A771, FIND("/", A771, FIND("/", A771) + 1) + 1, 2)="A","C",MID(A771, FIND("/", A771, FIND("/", A771) + 1) + 1, 2))</f>
        <v/>
      </c>
      <c r="I771" s="486">
        <f>TRIM(H771)</f>
        <v/>
      </c>
    </row>
    <row r="772" ht="15" customHeight="1">
      <c r="A772" s="487" t="inlineStr">
        <is>
          <t>PMMA COLATO P SATIN OPTIX CAST A/R 2L TR 3050x2030x20</t>
        </is>
      </c>
      <c r="B772" s="484">
        <f>+_xlfn.CONCAT(Tabella118[[#This Row],[Composizione]], " - ", Tabella118[[#This Row],[Fornitore]])</f>
        <v/>
      </c>
      <c r="C772" s="951" t="n">
        <v>127.34</v>
      </c>
      <c r="D772" s="484" t="inlineStr">
        <is>
          <t>Apa Group</t>
        </is>
      </c>
      <c r="E772" s="484">
        <f>IFERROR(IF(H772="BC",Tabella118[[#This Row],[composizione concatenata]],IF(H772="C",Tabella118[[#This Row],[composizione concatenata]],VLOOKUP(I772,$K$2:$O$7,5,FALSE))),+Tabella118[[#This Row],[composizione concatenata]])</f>
        <v/>
      </c>
      <c r="F772" s="943">
        <f>+_xlfn.IFNA(VLOOKUP(Tabella118[[#This Row],[Composizione alternativa per digitale]],Tabella118[[composizione concatenata]:[Euro/Mq]],2,FALSE),VLOOKUP(H772,digitale[[ONDA]:[Fornitore]],3,FALSE))</f>
        <v/>
      </c>
      <c r="G772" s="484" t="n"/>
      <c r="H772" s="484">
        <f>IF(MID(A772, FIND("/", A772, FIND("/", A772) + 1) + 1, 2)="A","C",MID(A772, FIND("/", A772, FIND("/", A772) + 1) + 1, 2))</f>
        <v/>
      </c>
      <c r="I772" s="486">
        <f>TRIM(H772)</f>
        <v/>
      </c>
    </row>
    <row r="773" ht="15" customHeight="1">
      <c r="A773" s="487" t="inlineStr">
        <is>
          <t>PMMA COLATO P SATIN OPTIX CAST A/R 2L TR 3050x2030x8</t>
        </is>
      </c>
      <c r="B773" s="484">
        <f>+_xlfn.CONCAT(Tabella118[[#This Row],[Composizione]], " - ", Tabella118[[#This Row],[Fornitore]])</f>
        <v/>
      </c>
      <c r="C773" s="951" t="n">
        <v>50.95</v>
      </c>
      <c r="D773" s="484" t="inlineStr">
        <is>
          <t>Apa Group</t>
        </is>
      </c>
      <c r="E773" s="484">
        <f>IFERROR(IF(H773="BC",Tabella118[[#This Row],[composizione concatenata]],IF(H773="C",Tabella118[[#This Row],[composizione concatenata]],VLOOKUP(I773,$K$2:$O$7,5,FALSE))),+Tabella118[[#This Row],[composizione concatenata]])</f>
        <v/>
      </c>
      <c r="F773" s="943">
        <f>+_xlfn.IFNA(VLOOKUP(Tabella118[[#This Row],[Composizione alternativa per digitale]],Tabella118[[composizione concatenata]:[Euro/Mq]],2,FALSE),VLOOKUP(H773,digitale[[ONDA]:[Fornitore]],3,FALSE))</f>
        <v/>
      </c>
      <c r="G773" s="484" t="n"/>
      <c r="H773" s="484">
        <f>IF(MID(A773, FIND("/", A773, FIND("/", A773) + 1) + 1, 2)="A","C",MID(A773, FIND("/", A773, FIND("/", A773) + 1) + 1, 2))</f>
        <v/>
      </c>
      <c r="I773" s="486">
        <f>TRIM(H773)</f>
        <v/>
      </c>
    </row>
    <row r="774" ht="15" customHeight="1">
      <c r="A774" s="487" t="inlineStr">
        <is>
          <t>PMMA COLATO P SATIN OPTIX CAST A/R 2L TR 3050x2050x3</t>
        </is>
      </c>
      <c r="B774" s="484">
        <f>+_xlfn.CONCAT(Tabella118[[#This Row],[Composizione]], " - ", Tabella118[[#This Row],[Fornitore]])</f>
        <v/>
      </c>
      <c r="C774" s="951" t="n">
        <v>20.2</v>
      </c>
      <c r="D774" s="484" t="inlineStr">
        <is>
          <t>Apa Group</t>
        </is>
      </c>
      <c r="E774" s="484">
        <f>IFERROR(IF(H774="BC",Tabella118[[#This Row],[composizione concatenata]],IF(H774="C",Tabella118[[#This Row],[composizione concatenata]],VLOOKUP(I774,$K$2:$O$7,5,FALSE))),+Tabella118[[#This Row],[composizione concatenata]])</f>
        <v/>
      </c>
      <c r="F774" s="943">
        <f>+_xlfn.IFNA(VLOOKUP(Tabella118[[#This Row],[Composizione alternativa per digitale]],Tabella118[[composizione concatenata]:[Euro/Mq]],2,FALSE),VLOOKUP(H774,digitale[[ONDA]:[Fornitore]],3,FALSE))</f>
        <v/>
      </c>
      <c r="G774" s="484" t="n"/>
      <c r="H774" s="484">
        <f>IF(MID(A774, FIND("/", A774, FIND("/", A774) + 1) + 1, 2)="A","C",MID(A774, FIND("/", A774, FIND("/", A774) + 1) + 1, 2))</f>
        <v/>
      </c>
      <c r="I774" s="486">
        <f>TRIM(H774)</f>
        <v/>
      </c>
    </row>
    <row r="775" ht="15" customHeight="1">
      <c r="A775" s="487" t="inlineStr">
        <is>
          <t>PMMA COLATO P SATIN OPTIX CAST A/R 2L TR 3050x2050x4</t>
        </is>
      </c>
      <c r="B775" s="484">
        <f>+_xlfn.CONCAT(Tabella118[[#This Row],[Composizione]], " - ", Tabella118[[#This Row],[Fornitore]])</f>
        <v/>
      </c>
      <c r="C775" s="951" t="n">
        <v>26.94</v>
      </c>
      <c r="D775" s="484" t="inlineStr">
        <is>
          <t>Apa Group</t>
        </is>
      </c>
      <c r="E775" s="484">
        <f>IFERROR(IF(H775="BC",Tabella118[[#This Row],[composizione concatenata]],IF(H775="C",Tabella118[[#This Row],[composizione concatenata]],VLOOKUP(I775,$K$2:$O$7,5,FALSE))),+Tabella118[[#This Row],[composizione concatenata]])</f>
        <v/>
      </c>
      <c r="F775" s="943">
        <f>+_xlfn.IFNA(VLOOKUP(Tabella118[[#This Row],[Composizione alternativa per digitale]],Tabella118[[composizione concatenata]:[Euro/Mq]],2,FALSE),VLOOKUP(H775,digitale[[ONDA]:[Fornitore]],3,FALSE))</f>
        <v/>
      </c>
      <c r="G775" s="484" t="n"/>
      <c r="H775" s="484">
        <f>IF(MID(A775, FIND("/", A775, FIND("/", A775) + 1) + 1, 2)="A","C",MID(A775, FIND("/", A775, FIND("/", A775) + 1) + 1, 2))</f>
        <v/>
      </c>
      <c r="I775" s="486">
        <f>TRIM(H775)</f>
        <v/>
      </c>
    </row>
    <row r="776" ht="15" customHeight="1">
      <c r="A776" s="487" t="inlineStr">
        <is>
          <t>PMMA COLATO P SATIN OPTIX CAST A/R 2L TR 3050x2050x5</t>
        </is>
      </c>
      <c r="B776" s="484">
        <f>+_xlfn.CONCAT(Tabella118[[#This Row],[Composizione]], " - ", Tabella118[[#This Row],[Fornitore]])</f>
        <v/>
      </c>
      <c r="C776" s="951" t="n">
        <v>31.84</v>
      </c>
      <c r="D776" s="484" t="inlineStr">
        <is>
          <t>Apa Group</t>
        </is>
      </c>
      <c r="E776" s="484">
        <f>IFERROR(IF(H776="BC",Tabella118[[#This Row],[composizione concatenata]],IF(H776="C",Tabella118[[#This Row],[composizione concatenata]],VLOOKUP(I776,$K$2:$O$7,5,FALSE))),+Tabella118[[#This Row],[composizione concatenata]])</f>
        <v/>
      </c>
      <c r="F776" s="943">
        <f>+_xlfn.IFNA(VLOOKUP(Tabella118[[#This Row],[Composizione alternativa per digitale]],Tabella118[[composizione concatenata]:[Euro/Mq]],2,FALSE),VLOOKUP(H776,digitale[[ONDA]:[Fornitore]],3,FALSE))</f>
        <v/>
      </c>
      <c r="G776" s="484" t="n"/>
      <c r="H776" s="484">
        <f>IF(MID(A776, FIND("/", A776, FIND("/", A776) + 1) + 1, 2)="A","C",MID(A776, FIND("/", A776, FIND("/", A776) + 1) + 1, 2))</f>
        <v/>
      </c>
      <c r="I776" s="486">
        <f>TRIM(H776)</f>
        <v/>
      </c>
    </row>
    <row r="777" ht="15" customHeight="1">
      <c r="A777" s="487" t="inlineStr">
        <is>
          <t>PMMA ESTRUSO PTIX XT BIANCO 7066 3050x2050x3</t>
        </is>
      </c>
      <c r="B777" s="484">
        <f>+_xlfn.CONCAT(Tabella118[[#This Row],[Composizione]], " - ", Tabella118[[#This Row],[Fornitore]])</f>
        <v/>
      </c>
      <c r="C777" s="951" t="n">
        <v>16.07</v>
      </c>
      <c r="D777" s="484" t="inlineStr">
        <is>
          <t>Apa Group</t>
        </is>
      </c>
      <c r="E777" s="484">
        <f>IFERROR(IF(H777="BC",Tabella118[[#This Row],[composizione concatenata]],IF(H777="C",Tabella118[[#This Row],[composizione concatenata]],VLOOKUP(I777,$K$2:$O$7,5,FALSE))),+Tabella118[[#This Row],[composizione concatenata]])</f>
        <v/>
      </c>
      <c r="F777" s="943">
        <f>+_xlfn.IFNA(VLOOKUP(Tabella118[[#This Row],[Composizione alternativa per digitale]],Tabella118[[composizione concatenata]:[Euro/Mq]],2,FALSE),VLOOKUP(H777,digitale[[ONDA]:[Fornitore]],3,FALSE))</f>
        <v/>
      </c>
      <c r="G777" s="484" t="n"/>
      <c r="H777" s="484">
        <f>IF(MID(A777, FIND("/", A777, FIND("/", A777) + 1) + 1, 2)="A","C",MID(A777, FIND("/", A777, FIND("/", A777) + 1) + 1, 2))</f>
        <v/>
      </c>
      <c r="I777" s="486">
        <f>TRIM(H777)</f>
        <v/>
      </c>
    </row>
    <row r="778" ht="15" customHeight="1">
      <c r="A778" s="487" t="inlineStr">
        <is>
          <t>PMMA ESTRUSO PTIX XT BIANCO 7066 3050x2050x4</t>
        </is>
      </c>
      <c r="B778" s="484">
        <f>+_xlfn.CONCAT(Tabella118[[#This Row],[Composizione]], " - ", Tabella118[[#This Row],[Fornitore]])</f>
        <v/>
      </c>
      <c r="C778" s="951" t="n">
        <v>21.45</v>
      </c>
      <c r="D778" s="484" t="inlineStr">
        <is>
          <t>Apa Group</t>
        </is>
      </c>
      <c r="E778" s="484">
        <f>IFERROR(IF(H778="BC",Tabella118[[#This Row],[composizione concatenata]],IF(H778="C",Tabella118[[#This Row],[composizione concatenata]],VLOOKUP(I778,$K$2:$O$7,5,FALSE))),+Tabella118[[#This Row],[composizione concatenata]])</f>
        <v/>
      </c>
      <c r="F778" s="943">
        <f>+_xlfn.IFNA(VLOOKUP(Tabella118[[#This Row],[Composizione alternativa per digitale]],Tabella118[[composizione concatenata]:[Euro/Mq]],2,FALSE),VLOOKUP(H778,digitale[[ONDA]:[Fornitore]],3,FALSE))</f>
        <v/>
      </c>
      <c r="G778" s="484" t="n"/>
      <c r="H778" s="484">
        <f>IF(MID(A778, FIND("/", A778, FIND("/", A778) + 1) + 1, 2)="A","C",MID(A778, FIND("/", A778, FIND("/", A778) + 1) + 1, 2))</f>
        <v/>
      </c>
      <c r="I778" s="486">
        <f>TRIM(H778)</f>
        <v/>
      </c>
    </row>
    <row r="779" ht="15" customHeight="1">
      <c r="A779" s="487" t="inlineStr">
        <is>
          <t>PMMA ESTRUSO PTIX XT BIANCO 7066 3050x2050x5</t>
        </is>
      </c>
      <c r="B779" s="484">
        <f>+_xlfn.CONCAT(Tabella118[[#This Row],[Composizione]], " - ", Tabella118[[#This Row],[Fornitore]])</f>
        <v/>
      </c>
      <c r="C779" s="951" t="n">
        <v>26.8</v>
      </c>
      <c r="D779" s="484" t="inlineStr">
        <is>
          <t>Apa Group</t>
        </is>
      </c>
      <c r="E779" s="484">
        <f>IFERROR(IF(H779="BC",Tabella118[[#This Row],[composizione concatenata]],IF(H779="C",Tabella118[[#This Row],[composizione concatenata]],VLOOKUP(I779,$K$2:$O$7,5,FALSE))),+Tabella118[[#This Row],[composizione concatenata]])</f>
        <v/>
      </c>
      <c r="F779" s="943">
        <f>+_xlfn.IFNA(VLOOKUP(Tabella118[[#This Row],[Composizione alternativa per digitale]],Tabella118[[composizione concatenata]:[Euro/Mq]],2,FALSE),VLOOKUP(H779,digitale[[ONDA]:[Fornitore]],3,FALSE))</f>
        <v/>
      </c>
      <c r="G779" s="484" t="n"/>
      <c r="H779" s="484">
        <f>IF(MID(A779, FIND("/", A779, FIND("/", A779) + 1) + 1, 2)="A","C",MID(A779, FIND("/", A779, FIND("/", A779) + 1) + 1, 2))</f>
        <v/>
      </c>
      <c r="I779" s="486">
        <f>TRIM(H779)</f>
        <v/>
      </c>
    </row>
    <row r="780" ht="15" customHeight="1">
      <c r="A780" s="487" t="inlineStr">
        <is>
          <t>PMMA ESTRUSO PTIX XT BR 7053 3050x2050x4</t>
        </is>
      </c>
      <c r="B780" s="484">
        <f>+_xlfn.CONCAT(Tabella118[[#This Row],[Composizione]], " - ", Tabella118[[#This Row],[Fornitore]])</f>
        <v/>
      </c>
      <c r="C780" s="951" t="n">
        <v>22.04</v>
      </c>
      <c r="D780" s="484" t="inlineStr">
        <is>
          <t>Apa Group</t>
        </is>
      </c>
      <c r="E780" s="484">
        <f>IFERROR(IF(H780="BC",Tabella118[[#This Row],[composizione concatenata]],IF(H780="C",Tabella118[[#This Row],[composizione concatenata]],VLOOKUP(I780,$K$2:$O$7,5,FALSE))),+Tabella118[[#This Row],[composizione concatenata]])</f>
        <v/>
      </c>
      <c r="F780" s="943">
        <f>+_xlfn.IFNA(VLOOKUP(Tabella118[[#This Row],[Composizione alternativa per digitale]],Tabella118[[composizione concatenata]:[Euro/Mq]],2,FALSE),VLOOKUP(H780,digitale[[ONDA]:[Fornitore]],3,FALSE))</f>
        <v/>
      </c>
      <c r="G780" s="484" t="n"/>
      <c r="H780" s="484">
        <f>IF(MID(A780, FIND("/", A780, FIND("/", A780) + 1) + 1, 2)="A","C",MID(A780, FIND("/", A780, FIND("/", A780) + 1) + 1, 2))</f>
        <v/>
      </c>
      <c r="I780" s="486">
        <f>TRIM(H780)</f>
        <v/>
      </c>
    </row>
    <row r="781" ht="15" customHeight="1">
      <c r="A781" s="487" t="inlineStr">
        <is>
          <t>PMMA ESTRUSO PTIX XT NERO 7058 3050x2050x3</t>
        </is>
      </c>
      <c r="B781" s="484">
        <f>+_xlfn.CONCAT(Tabella118[[#This Row],[Composizione]], " - ", Tabella118[[#This Row],[Fornitore]])</f>
        <v/>
      </c>
      <c r="C781" s="951" t="n">
        <v>16.81</v>
      </c>
      <c r="D781" s="484" t="inlineStr">
        <is>
          <t>Apa Group</t>
        </is>
      </c>
      <c r="E781" s="484">
        <f>IFERROR(IF(H781="BC",Tabella118[[#This Row],[composizione concatenata]],IF(H781="C",Tabella118[[#This Row],[composizione concatenata]],VLOOKUP(I781,$K$2:$O$7,5,FALSE))),+Tabella118[[#This Row],[composizione concatenata]])</f>
        <v/>
      </c>
      <c r="F781" s="943">
        <f>+_xlfn.IFNA(VLOOKUP(Tabella118[[#This Row],[Composizione alternativa per digitale]],Tabella118[[composizione concatenata]:[Euro/Mq]],2,FALSE),VLOOKUP(H781,digitale[[ONDA]:[Fornitore]],3,FALSE))</f>
        <v/>
      </c>
      <c r="G781" s="484" t="n"/>
      <c r="H781" s="484">
        <f>IF(MID(A781, FIND("/", A781, FIND("/", A781) + 1) + 1, 2)="A","C",MID(A781, FIND("/", A781, FIND("/", A781) + 1) + 1, 2))</f>
        <v/>
      </c>
      <c r="I781" s="486">
        <f>TRIM(H781)</f>
        <v/>
      </c>
    </row>
    <row r="782" ht="15" customHeight="1">
      <c r="A782" s="487" t="inlineStr">
        <is>
          <t>PMMA ESTRUSO PTIX XT NERO 7058 3050x2050x4</t>
        </is>
      </c>
      <c r="B782" s="484">
        <f>+_xlfn.CONCAT(Tabella118[[#This Row],[Composizione]], " - ", Tabella118[[#This Row],[Fornitore]])</f>
        <v/>
      </c>
      <c r="C782" s="951" t="n">
        <v>22.45</v>
      </c>
      <c r="D782" s="484" t="inlineStr">
        <is>
          <t>Apa Group</t>
        </is>
      </c>
      <c r="E782" s="484">
        <f>IFERROR(IF(H782="BC",Tabella118[[#This Row],[composizione concatenata]],IF(H782="C",Tabella118[[#This Row],[composizione concatenata]],VLOOKUP(I782,$K$2:$O$7,5,FALSE))),+Tabella118[[#This Row],[composizione concatenata]])</f>
        <v/>
      </c>
      <c r="F782" s="943">
        <f>+_xlfn.IFNA(VLOOKUP(Tabella118[[#This Row],[Composizione alternativa per digitale]],Tabella118[[composizione concatenata]:[Euro/Mq]],2,FALSE),VLOOKUP(H782,digitale[[ONDA]:[Fornitore]],3,FALSE))</f>
        <v/>
      </c>
      <c r="G782" s="484" t="n"/>
      <c r="H782" s="484">
        <f>IF(MID(A782, FIND("/", A782, FIND("/", A782) + 1) + 1, 2)="A","C",MID(A782, FIND("/", A782, FIND("/", A782) + 1) + 1, 2))</f>
        <v/>
      </c>
      <c r="I782" s="486">
        <f>TRIM(H782)</f>
        <v/>
      </c>
    </row>
    <row r="783" ht="15" customHeight="1">
      <c r="A783" s="487" t="inlineStr">
        <is>
          <t>PMMA ESTRUSO PTIX XT NERO 7058 3050x2050x5</t>
        </is>
      </c>
      <c r="B783" s="484">
        <f>+_xlfn.CONCAT(Tabella118[[#This Row],[Composizione]], " - ", Tabella118[[#This Row],[Fornitore]])</f>
        <v/>
      </c>
      <c r="C783" s="951" t="n">
        <v>28.03</v>
      </c>
      <c r="D783" s="484" t="inlineStr">
        <is>
          <t>Apa Group</t>
        </is>
      </c>
      <c r="E783" s="484">
        <f>IFERROR(IF(H783="BC",Tabella118[[#This Row],[composizione concatenata]],IF(H783="C",Tabella118[[#This Row],[composizione concatenata]],VLOOKUP(I783,$K$2:$O$7,5,FALSE))),+Tabella118[[#This Row],[composizione concatenata]])</f>
        <v/>
      </c>
      <c r="F783" s="943">
        <f>+_xlfn.IFNA(VLOOKUP(Tabella118[[#This Row],[Composizione alternativa per digitale]],Tabella118[[composizione concatenata]:[Euro/Mq]],2,FALSE),VLOOKUP(H783,digitale[[ONDA]:[Fornitore]],3,FALSE))</f>
        <v/>
      </c>
      <c r="G783" s="484" t="n"/>
      <c r="H783" s="484">
        <f>IF(MID(A783, FIND("/", A783, FIND("/", A783) + 1) + 1, 2)="A","C",MID(A783, FIND("/", A783, FIND("/", A783) + 1) + 1, 2))</f>
        <v/>
      </c>
      <c r="I783" s="486">
        <f>TRIM(H783)</f>
        <v/>
      </c>
    </row>
    <row r="784" ht="15" customHeight="1">
      <c r="A784" s="487" t="inlineStr">
        <is>
          <t>PMMA ESTRUSO PTIX XT OPAL 7064 3050x2050x3</t>
        </is>
      </c>
      <c r="B784" s="484">
        <f>+_xlfn.CONCAT(Tabella118[[#This Row],[Composizione]], " - ", Tabella118[[#This Row],[Fornitore]])</f>
        <v/>
      </c>
      <c r="C784" s="951" t="n">
        <v>15.76</v>
      </c>
      <c r="D784" s="484" t="inlineStr">
        <is>
          <t>Apa Group</t>
        </is>
      </c>
      <c r="E784" s="484">
        <f>IFERROR(IF(H784="BC",Tabella118[[#This Row],[composizione concatenata]],IF(H784="C",Tabella118[[#This Row],[composizione concatenata]],VLOOKUP(I784,$K$2:$O$7,5,FALSE))),+Tabella118[[#This Row],[composizione concatenata]])</f>
        <v/>
      </c>
      <c r="F784" s="943">
        <f>+_xlfn.IFNA(VLOOKUP(Tabella118[[#This Row],[Composizione alternativa per digitale]],Tabella118[[composizione concatenata]:[Euro/Mq]],2,FALSE),VLOOKUP(H784,digitale[[ONDA]:[Fornitore]],3,FALSE))</f>
        <v/>
      </c>
      <c r="G784" s="484" t="n"/>
      <c r="H784" s="484">
        <f>IF(MID(A784, FIND("/", A784, FIND("/", A784) + 1) + 1, 2)="A","C",MID(A784, FIND("/", A784, FIND("/", A784) + 1) + 1, 2))</f>
        <v/>
      </c>
      <c r="I784" s="486">
        <f>TRIM(H784)</f>
        <v/>
      </c>
    </row>
    <row r="785" ht="15" customHeight="1">
      <c r="A785" s="487" t="inlineStr">
        <is>
          <t>PMMA ESTRUSO PTIX XT OPAL 7064 3050x2050x4</t>
        </is>
      </c>
      <c r="B785" s="484">
        <f>+_xlfn.CONCAT(Tabella118[[#This Row],[Composizione]], " - ", Tabella118[[#This Row],[Fornitore]])</f>
        <v/>
      </c>
      <c r="C785" s="951" t="n">
        <v>21.04</v>
      </c>
      <c r="D785" s="484" t="inlineStr">
        <is>
          <t>Apa Group</t>
        </is>
      </c>
      <c r="E785" s="484">
        <f>IFERROR(IF(H785="BC",Tabella118[[#This Row],[composizione concatenata]],IF(H785="C",Tabella118[[#This Row],[composizione concatenata]],VLOOKUP(I785,$K$2:$O$7,5,FALSE))),+Tabella118[[#This Row],[composizione concatenata]])</f>
        <v/>
      </c>
      <c r="F785" s="943">
        <f>+_xlfn.IFNA(VLOOKUP(Tabella118[[#This Row],[Composizione alternativa per digitale]],Tabella118[[composizione concatenata]:[Euro/Mq]],2,FALSE),VLOOKUP(H785,digitale[[ONDA]:[Fornitore]],3,FALSE))</f>
        <v/>
      </c>
      <c r="G785" s="484" t="n"/>
      <c r="H785" s="484">
        <f>IF(MID(A785, FIND("/", A785, FIND("/", A785) + 1) + 1, 2)="A","C",MID(A785, FIND("/", A785, FIND("/", A785) + 1) + 1, 2))</f>
        <v/>
      </c>
      <c r="I785" s="486">
        <f>TRIM(H785)</f>
        <v/>
      </c>
    </row>
    <row r="786" ht="15" customHeight="1">
      <c r="A786" s="487" t="inlineStr">
        <is>
          <t>PMMA ESTRUSO PTIX XT OPAL 7064 3050x2050x5</t>
        </is>
      </c>
      <c r="B786" s="484">
        <f>+_xlfn.CONCAT(Tabella118[[#This Row],[Composizione]], " - ", Tabella118[[#This Row],[Fornitore]])</f>
        <v/>
      </c>
      <c r="C786" s="951" t="n">
        <v>26.28</v>
      </c>
      <c r="D786" s="484" t="inlineStr">
        <is>
          <t>Apa Group</t>
        </is>
      </c>
      <c r="E786" s="484">
        <f>IFERROR(IF(H786="BC",Tabella118[[#This Row],[composizione concatenata]],IF(H786="C",Tabella118[[#This Row],[composizione concatenata]],VLOOKUP(I786,$K$2:$O$7,5,FALSE))),+Tabella118[[#This Row],[composizione concatenata]])</f>
        <v/>
      </c>
      <c r="F786" s="943">
        <f>+_xlfn.IFNA(VLOOKUP(Tabella118[[#This Row],[Composizione alternativa per digitale]],Tabella118[[composizione concatenata]:[Euro/Mq]],2,FALSE),VLOOKUP(H786,digitale[[ONDA]:[Fornitore]],3,FALSE))</f>
        <v/>
      </c>
      <c r="G786" s="484" t="n"/>
      <c r="H786" s="484">
        <f>IF(MID(A786, FIND("/", A786, FIND("/", A786) + 1) + 1, 2)="A","C",MID(A786, FIND("/", A786, FIND("/", A786) + 1) + 1, 2))</f>
        <v/>
      </c>
      <c r="I786" s="486">
        <f>TRIM(H786)</f>
        <v/>
      </c>
    </row>
    <row r="787" ht="15" customHeight="1">
      <c r="A787" s="487" t="inlineStr">
        <is>
          <t>PMMA ESTRUSO PTIX XT TR 3050x2050x1,5</t>
        </is>
      </c>
      <c r="B787" s="484">
        <f>+_xlfn.CONCAT(Tabella118[[#This Row],[Composizione]], " - ", Tabella118[[#This Row],[Fornitore]])</f>
        <v/>
      </c>
      <c r="C787" s="951" t="n">
        <v>8.6</v>
      </c>
      <c r="D787" s="484" t="inlineStr">
        <is>
          <t>Apa Group</t>
        </is>
      </c>
      <c r="E787" s="484">
        <f>IFERROR(IF(H787="BC",Tabella118[[#This Row],[composizione concatenata]],IF(H787="C",Tabella118[[#This Row],[composizione concatenata]],VLOOKUP(I787,$K$2:$O$7,5,FALSE))),+Tabella118[[#This Row],[composizione concatenata]])</f>
        <v/>
      </c>
      <c r="F787" s="943">
        <f>+_xlfn.IFNA(VLOOKUP(Tabella118[[#This Row],[Composizione alternativa per digitale]],Tabella118[[composizione concatenata]:[Euro/Mq]],2,FALSE),VLOOKUP(H787,digitale[[ONDA]:[Fornitore]],3,FALSE))</f>
        <v/>
      </c>
      <c r="G787" s="484" t="n"/>
      <c r="H787" s="484">
        <f>IF(MID(A787, FIND("/", A787, FIND("/", A787) + 1) + 1, 2)="A","C",MID(A787, FIND("/", A787, FIND("/", A787) + 1) + 1, 2))</f>
        <v/>
      </c>
      <c r="I787" s="486">
        <f>TRIM(H787)</f>
        <v/>
      </c>
    </row>
    <row r="788" ht="15" customHeight="1">
      <c r="A788" s="487" t="inlineStr">
        <is>
          <t>PMMA ESTRUSO PTIX XT TR 3050x2050x10</t>
        </is>
      </c>
      <c r="B788" s="484">
        <f>+_xlfn.CONCAT(Tabella118[[#This Row],[Composizione]], " - ", Tabella118[[#This Row],[Fornitore]])</f>
        <v/>
      </c>
      <c r="C788" s="951" t="n">
        <v>50.05</v>
      </c>
      <c r="D788" s="484" t="inlineStr">
        <is>
          <t>Apa Group</t>
        </is>
      </c>
      <c r="E788" s="484">
        <f>IFERROR(IF(H788="BC",Tabella118[[#This Row],[composizione concatenata]],IF(H788="C",Tabella118[[#This Row],[composizione concatenata]],VLOOKUP(I788,$K$2:$O$7,5,FALSE))),+Tabella118[[#This Row],[composizione concatenata]])</f>
        <v/>
      </c>
      <c r="F788" s="943">
        <f>+_xlfn.IFNA(VLOOKUP(Tabella118[[#This Row],[Composizione alternativa per digitale]],Tabella118[[composizione concatenata]:[Euro/Mq]],2,FALSE),VLOOKUP(H788,digitale[[ONDA]:[Fornitore]],3,FALSE))</f>
        <v/>
      </c>
      <c r="G788" s="484" t="n"/>
      <c r="H788" s="484">
        <f>IF(MID(A788, FIND("/", A788, FIND("/", A788) + 1) + 1, 2)="A","C",MID(A788, FIND("/", A788, FIND("/", A788) + 1) + 1, 2))</f>
        <v/>
      </c>
      <c r="I788" s="486">
        <f>TRIM(H788)</f>
        <v/>
      </c>
    </row>
    <row r="789" ht="15" customHeight="1">
      <c r="A789" s="487" t="inlineStr">
        <is>
          <t>PMMA ESTRUSO PTIX XT TR 3050x2050x12</t>
        </is>
      </c>
      <c r="B789" s="484">
        <f>+_xlfn.CONCAT(Tabella118[[#This Row],[Composizione]], " - ", Tabella118[[#This Row],[Fornitore]])</f>
        <v/>
      </c>
      <c r="C789" s="951" t="n">
        <v>60.03</v>
      </c>
      <c r="D789" s="484" t="inlineStr">
        <is>
          <t>Apa Group</t>
        </is>
      </c>
      <c r="E789" s="484">
        <f>IFERROR(IF(H789="BC",Tabella118[[#This Row],[composizione concatenata]],IF(H789="C",Tabella118[[#This Row],[composizione concatenata]],VLOOKUP(I789,$K$2:$O$7,5,FALSE))),+Tabella118[[#This Row],[composizione concatenata]])</f>
        <v/>
      </c>
      <c r="F789" s="943">
        <f>+_xlfn.IFNA(VLOOKUP(Tabella118[[#This Row],[Composizione alternativa per digitale]],Tabella118[[composizione concatenata]:[Euro/Mq]],2,FALSE),VLOOKUP(H789,digitale[[ONDA]:[Fornitore]],3,FALSE))</f>
        <v/>
      </c>
      <c r="G789" s="484" t="n"/>
      <c r="H789" s="484">
        <f>IF(MID(A789, FIND("/", A789, FIND("/", A789) + 1) + 1, 2)="A","C",MID(A789, FIND("/", A789, FIND("/", A789) + 1) + 1, 2))</f>
        <v/>
      </c>
      <c r="I789" s="486">
        <f>TRIM(H789)</f>
        <v/>
      </c>
    </row>
    <row r="790" ht="15" customHeight="1">
      <c r="A790" s="487" t="inlineStr">
        <is>
          <t>PMMA ESTRUSO PTIX XT TR 3050x2050x15</t>
        </is>
      </c>
      <c r="B790" s="484">
        <f>+_xlfn.CONCAT(Tabella118[[#This Row],[Composizione]], " - ", Tabella118[[#This Row],[Fornitore]])</f>
        <v/>
      </c>
      <c r="C790" s="951" t="n">
        <v>82.54000000000001</v>
      </c>
      <c r="D790" s="484" t="inlineStr">
        <is>
          <t>Apa Group</t>
        </is>
      </c>
      <c r="E790" s="484">
        <f>IFERROR(IF(H790="BC",Tabella118[[#This Row],[composizione concatenata]],IF(H790="C",Tabella118[[#This Row],[composizione concatenata]],VLOOKUP(I790,$K$2:$O$7,5,FALSE))),+Tabella118[[#This Row],[composizione concatenata]])</f>
        <v/>
      </c>
      <c r="F790" s="943">
        <f>+_xlfn.IFNA(VLOOKUP(Tabella118[[#This Row],[Composizione alternativa per digitale]],Tabella118[[composizione concatenata]:[Euro/Mq]],2,FALSE),VLOOKUP(H790,digitale[[ONDA]:[Fornitore]],3,FALSE))</f>
        <v/>
      </c>
      <c r="G790" s="484" t="n"/>
      <c r="H790" s="484">
        <f>IF(MID(A790, FIND("/", A790, FIND("/", A790) + 1) + 1, 2)="A","C",MID(A790, FIND("/", A790, FIND("/", A790) + 1) + 1, 2))</f>
        <v/>
      </c>
      <c r="I790" s="486">
        <f>TRIM(H790)</f>
        <v/>
      </c>
    </row>
    <row r="791" ht="15" customHeight="1">
      <c r="A791" s="487" t="inlineStr">
        <is>
          <t>PMMA ESTRUSO PTIX XT TR 3050x2050x2</t>
        </is>
      </c>
      <c r="B791" s="484">
        <f>+_xlfn.CONCAT(Tabella118[[#This Row],[Composizione]], " - ", Tabella118[[#This Row],[Fornitore]])</f>
        <v/>
      </c>
      <c r="C791" s="951" t="n">
        <v>10.02</v>
      </c>
      <c r="D791" s="484" t="inlineStr">
        <is>
          <t>Apa Group</t>
        </is>
      </c>
      <c r="E791" s="484">
        <f>IFERROR(IF(H791="BC",Tabella118[[#This Row],[composizione concatenata]],IF(H791="C",Tabella118[[#This Row],[composizione concatenata]],VLOOKUP(I791,$K$2:$O$7,5,FALSE))),+Tabella118[[#This Row],[composizione concatenata]])</f>
        <v/>
      </c>
      <c r="F791" s="943">
        <f>+_xlfn.IFNA(VLOOKUP(Tabella118[[#This Row],[Composizione alternativa per digitale]],Tabella118[[composizione concatenata]:[Euro/Mq]],2,FALSE),VLOOKUP(H791,digitale[[ONDA]:[Fornitore]],3,FALSE))</f>
        <v/>
      </c>
      <c r="G791" s="484" t="n"/>
      <c r="H791" s="484">
        <f>IF(MID(A791, FIND("/", A791, FIND("/", A791) + 1) + 1, 2)="A","C",MID(A791, FIND("/", A791, FIND("/", A791) + 1) + 1, 2))</f>
        <v/>
      </c>
      <c r="I791" s="486">
        <f>TRIM(H791)</f>
        <v/>
      </c>
    </row>
    <row r="792" ht="15" customHeight="1">
      <c r="A792" s="487" t="inlineStr">
        <is>
          <t>PMMA ESTRUSO PTIX XT TR 3050x2050x20</t>
        </is>
      </c>
      <c r="B792" s="484">
        <f>+_xlfn.CONCAT(Tabella118[[#This Row],[Composizione]], " - ", Tabella118[[#This Row],[Fornitore]])</f>
        <v/>
      </c>
      <c r="C792" s="951" t="n">
        <v>110.08</v>
      </c>
      <c r="D792" s="484" t="inlineStr">
        <is>
          <t>Apa Group</t>
        </is>
      </c>
      <c r="E792" s="484">
        <f>IFERROR(IF(H792="BC",Tabella118[[#This Row],[composizione concatenata]],IF(H792="C",Tabella118[[#This Row],[composizione concatenata]],VLOOKUP(I792,$K$2:$O$7,5,FALSE))),+Tabella118[[#This Row],[composizione concatenata]])</f>
        <v/>
      </c>
      <c r="F792" s="943">
        <f>+_xlfn.IFNA(VLOOKUP(Tabella118[[#This Row],[Composizione alternativa per digitale]],Tabella118[[composizione concatenata]:[Euro/Mq]],2,FALSE),VLOOKUP(H792,digitale[[ONDA]:[Fornitore]],3,FALSE))</f>
        <v/>
      </c>
      <c r="G792" s="484" t="n"/>
      <c r="H792" s="484">
        <f>IF(MID(A792, FIND("/", A792, FIND("/", A792) + 1) + 1, 2)="A","C",MID(A792, FIND("/", A792, FIND("/", A792) + 1) + 1, 2))</f>
        <v/>
      </c>
      <c r="I792" s="486">
        <f>TRIM(H792)</f>
        <v/>
      </c>
    </row>
    <row r="793" ht="15" customHeight="1">
      <c r="A793" s="487" t="inlineStr">
        <is>
          <t>PMMA ESTRUSO PTIX XT TR 3050x2050x3</t>
        </is>
      </c>
      <c r="B793" s="484">
        <f>+_xlfn.CONCAT(Tabella118[[#This Row],[Composizione]], " - ", Tabella118[[#This Row],[Fornitore]])</f>
        <v/>
      </c>
      <c r="C793" s="951" t="n">
        <v>15.01</v>
      </c>
      <c r="D793" s="484" t="inlineStr">
        <is>
          <t>Apa Group</t>
        </is>
      </c>
      <c r="E793" s="484">
        <f>IFERROR(IF(H793="BC",Tabella118[[#This Row],[composizione concatenata]],IF(H793="C",Tabella118[[#This Row],[composizione concatenata]],VLOOKUP(I793,$K$2:$O$7,5,FALSE))),+Tabella118[[#This Row],[composizione concatenata]])</f>
        <v/>
      </c>
      <c r="F793" s="943">
        <f>+_xlfn.IFNA(VLOOKUP(Tabella118[[#This Row],[Composizione alternativa per digitale]],Tabella118[[composizione concatenata]:[Euro/Mq]],2,FALSE),VLOOKUP(H793,digitale[[ONDA]:[Fornitore]],3,FALSE))</f>
        <v/>
      </c>
      <c r="G793" s="484" t="n"/>
      <c r="H793" s="484">
        <f>IF(MID(A793, FIND("/", A793, FIND("/", A793) + 1) + 1, 2)="A","C",MID(A793, FIND("/", A793, FIND("/", A793) + 1) + 1, 2))</f>
        <v/>
      </c>
      <c r="I793" s="486">
        <f>TRIM(H793)</f>
        <v/>
      </c>
    </row>
    <row r="794" ht="15" customHeight="1">
      <c r="A794" s="487" t="inlineStr">
        <is>
          <t>PMMA ESTRUSO PTIX XT TR 3050x2050x4</t>
        </is>
      </c>
      <c r="B794" s="484">
        <f>+_xlfn.CONCAT(Tabella118[[#This Row],[Composizione]], " - ", Tabella118[[#This Row],[Fornitore]])</f>
        <v/>
      </c>
      <c r="C794" s="951" t="n">
        <v>20.04</v>
      </c>
      <c r="D794" s="484" t="inlineStr">
        <is>
          <t>Apa Group</t>
        </is>
      </c>
      <c r="E794" s="484">
        <f>IFERROR(IF(H794="BC",Tabella118[[#This Row],[composizione concatenata]],IF(H794="C",Tabella118[[#This Row],[composizione concatenata]],VLOOKUP(I794,$K$2:$O$7,5,FALSE))),+Tabella118[[#This Row],[composizione concatenata]])</f>
        <v/>
      </c>
      <c r="F794" s="943">
        <f>+_xlfn.IFNA(VLOOKUP(Tabella118[[#This Row],[Composizione alternativa per digitale]],Tabella118[[composizione concatenata]:[Euro/Mq]],2,FALSE),VLOOKUP(H794,digitale[[ONDA]:[Fornitore]],3,FALSE))</f>
        <v/>
      </c>
      <c r="G794" s="484" t="n"/>
      <c r="H794" s="484">
        <f>IF(MID(A794, FIND("/", A794, FIND("/", A794) + 1) + 1, 2)="A","C",MID(A794, FIND("/", A794, FIND("/", A794) + 1) + 1, 2))</f>
        <v/>
      </c>
      <c r="I794" s="486">
        <f>TRIM(H794)</f>
        <v/>
      </c>
    </row>
    <row r="795" ht="15" customHeight="1">
      <c r="A795" s="487" t="inlineStr">
        <is>
          <t>PMMA ESTRUSO PTIX XT TR 3050x2050x5</t>
        </is>
      </c>
      <c r="B795" s="484">
        <f>+_xlfn.CONCAT(Tabella118[[#This Row],[Composizione]], " - ", Tabella118[[#This Row],[Fornitore]])</f>
        <v/>
      </c>
      <c r="C795" s="951" t="n">
        <v>25.03</v>
      </c>
      <c r="D795" s="484" t="inlineStr">
        <is>
          <t>Apa Group</t>
        </is>
      </c>
      <c r="E795" s="484">
        <f>IFERROR(IF(H795="BC",Tabella118[[#This Row],[composizione concatenata]],IF(H795="C",Tabella118[[#This Row],[composizione concatenata]],VLOOKUP(I795,$K$2:$O$7,5,FALSE))),+Tabella118[[#This Row],[composizione concatenata]])</f>
        <v/>
      </c>
      <c r="F795" s="943">
        <f>+_xlfn.IFNA(VLOOKUP(Tabella118[[#This Row],[Composizione alternativa per digitale]],Tabella118[[composizione concatenata]:[Euro/Mq]],2,FALSE),VLOOKUP(H795,digitale[[ONDA]:[Fornitore]],3,FALSE))</f>
        <v/>
      </c>
      <c r="G795" s="484" t="n"/>
      <c r="H795" s="484">
        <f>IF(MID(A795, FIND("/", A795, FIND("/", A795) + 1) + 1, 2)="A","C",MID(A795, FIND("/", A795, FIND("/", A795) + 1) + 1, 2))</f>
        <v/>
      </c>
      <c r="I795" s="486">
        <f>TRIM(H795)</f>
        <v/>
      </c>
    </row>
    <row r="796" ht="15" customHeight="1">
      <c r="A796" s="487" t="inlineStr">
        <is>
          <t>PMMA ESTRUSO PTIX XT TR 3050x2050x6</t>
        </is>
      </c>
      <c r="B796" s="484">
        <f>+_xlfn.CONCAT(Tabella118[[#This Row],[Composizione]], " - ", Tabella118[[#This Row],[Fornitore]])</f>
        <v/>
      </c>
      <c r="C796" s="951" t="n">
        <v>30.02</v>
      </c>
      <c r="D796" s="484" t="inlineStr">
        <is>
          <t>Apa Group</t>
        </is>
      </c>
      <c r="E796" s="484">
        <f>IFERROR(IF(H796="BC",Tabella118[[#This Row],[composizione concatenata]],IF(H796="C",Tabella118[[#This Row],[composizione concatenata]],VLOOKUP(I796,$K$2:$O$7,5,FALSE))),+Tabella118[[#This Row],[composizione concatenata]])</f>
        <v/>
      </c>
      <c r="F796" s="943">
        <f>+_xlfn.IFNA(VLOOKUP(Tabella118[[#This Row],[Composizione alternativa per digitale]],Tabella118[[composizione concatenata]:[Euro/Mq]],2,FALSE),VLOOKUP(H796,digitale[[ONDA]:[Fornitore]],3,FALSE))</f>
        <v/>
      </c>
      <c r="G796" s="484" t="n"/>
      <c r="H796" s="484">
        <f>IF(MID(A796, FIND("/", A796, FIND("/", A796) + 1) + 1, 2)="A","C",MID(A796, FIND("/", A796, FIND("/", A796) + 1) + 1, 2))</f>
        <v/>
      </c>
      <c r="I796" s="486">
        <f>TRIM(H796)</f>
        <v/>
      </c>
    </row>
    <row r="797" ht="15" customHeight="1">
      <c r="A797" s="487" t="inlineStr">
        <is>
          <t>PMMA ESTRUSO PTIX XT TR 3050x2050x8</t>
        </is>
      </c>
      <c r="B797" s="484">
        <f>+_xlfn.CONCAT(Tabella118[[#This Row],[Composizione]], " - ", Tabella118[[#This Row],[Fornitore]])</f>
        <v/>
      </c>
      <c r="C797" s="951" t="n">
        <v>40.03</v>
      </c>
      <c r="D797" s="484" t="inlineStr">
        <is>
          <t>Apa Group</t>
        </is>
      </c>
      <c r="E797" s="484">
        <f>IFERROR(IF(H797="BC",Tabella118[[#This Row],[composizione concatenata]],IF(H797="C",Tabella118[[#This Row],[composizione concatenata]],VLOOKUP(I797,$K$2:$O$7,5,FALSE))),+Tabella118[[#This Row],[composizione concatenata]])</f>
        <v/>
      </c>
      <c r="F797" s="943">
        <f>+_xlfn.IFNA(VLOOKUP(Tabella118[[#This Row],[Composizione alternativa per digitale]],Tabella118[[composizione concatenata]:[Euro/Mq]],2,FALSE),VLOOKUP(H797,digitale[[ONDA]:[Fornitore]],3,FALSE))</f>
        <v/>
      </c>
      <c r="G797" s="484" t="n"/>
      <c r="H797" s="484">
        <f>IF(MID(A797, FIND("/", A797, FIND("/", A797) + 1) + 1, 2)="A","C",MID(A797, FIND("/", A797, FIND("/", A797) + 1) + 1, 2))</f>
        <v/>
      </c>
      <c r="I797" s="486">
        <f>TRIM(H797)</f>
        <v/>
      </c>
    </row>
    <row r="798" ht="15" customHeight="1">
      <c r="A798" s="487" t="inlineStr">
        <is>
          <t>PMMA ID73 NR OPTIX CAST CORDA 8209 3050x2050x5</t>
        </is>
      </c>
      <c r="B798" s="484">
        <f>+_xlfn.CONCAT(Tabella118[[#This Row],[Composizione]], " - ", Tabella118[[#This Row],[Fornitore]])</f>
        <v/>
      </c>
      <c r="C798" s="951" t="n">
        <v>31.77</v>
      </c>
      <c r="D798" s="484" t="inlineStr">
        <is>
          <t>Apa Group</t>
        </is>
      </c>
      <c r="E798" s="484">
        <f>IFERROR(IF(H798="BC",Tabella118[[#This Row],[composizione concatenata]],IF(H798="C",Tabella118[[#This Row],[composizione concatenata]],VLOOKUP(I798,$K$2:$O$7,5,FALSE))),+Tabella118[[#This Row],[composizione concatenata]])</f>
        <v/>
      </c>
      <c r="F798" s="943">
        <f>+_xlfn.IFNA(VLOOKUP(Tabella118[[#This Row],[Composizione alternativa per digitale]],Tabella118[[composizione concatenata]:[Euro/Mq]],2,FALSE),VLOOKUP(H798,digitale[[ONDA]:[Fornitore]],3,FALSE))</f>
        <v/>
      </c>
      <c r="G798" s="484" t="n"/>
      <c r="H798" s="484">
        <f>IF(MID(A798, FIND("/", A798, FIND("/", A798) + 1) + 1, 2)="A","C",MID(A798, FIND("/", A798, FIND("/", A798) + 1) + 1, 2))</f>
        <v/>
      </c>
      <c r="I798" s="486">
        <f>TRIM(H798)</f>
        <v/>
      </c>
    </row>
    <row r="799" ht="15" customHeight="1">
      <c r="A799" s="487" t="inlineStr">
        <is>
          <t>PMMA ID73 NR OPTIX CAST GRIGIO 8215 3050x2030x8</t>
        </is>
      </c>
      <c r="B799" s="484">
        <f>+_xlfn.CONCAT(Tabella118[[#This Row],[Composizione]], " - ", Tabella118[[#This Row],[Fornitore]])</f>
        <v/>
      </c>
      <c r="C799" s="951" t="n">
        <v>50.83</v>
      </c>
      <c r="D799" s="484" t="inlineStr">
        <is>
          <t>Apa Group</t>
        </is>
      </c>
      <c r="E799" s="484">
        <f>IFERROR(IF(H799="BC",Tabella118[[#This Row],[composizione concatenata]],IF(H799="C",Tabella118[[#This Row],[composizione concatenata]],VLOOKUP(I799,$K$2:$O$7,5,FALSE))),+Tabella118[[#This Row],[composizione concatenata]])</f>
        <v/>
      </c>
      <c r="F799" s="943">
        <f>+_xlfn.IFNA(VLOOKUP(Tabella118[[#This Row],[Composizione alternativa per digitale]],Tabella118[[composizione concatenata]:[Euro/Mq]],2,FALSE),VLOOKUP(H799,digitale[[ONDA]:[Fornitore]],3,FALSE))</f>
        <v/>
      </c>
      <c r="G799" s="484" t="n"/>
      <c r="H799" s="484">
        <f>IF(MID(A799, FIND("/", A799, FIND("/", A799) + 1) + 1, 2)="A","C",MID(A799, FIND("/", A799, FIND("/", A799) + 1) + 1, 2))</f>
        <v/>
      </c>
      <c r="I799" s="486">
        <f>TRIM(H799)</f>
        <v/>
      </c>
    </row>
    <row r="800" ht="15" customHeight="1">
      <c r="A800" s="487" t="inlineStr">
        <is>
          <t>PMMA ID73 NR OPTIX CAST GRIGIO 8215 3050x2050x3</t>
        </is>
      </c>
      <c r="B800" s="484">
        <f>+_xlfn.CONCAT(Tabella118[[#This Row],[Composizione]], " - ", Tabella118[[#This Row],[Fornitore]])</f>
        <v/>
      </c>
      <c r="C800" s="951" t="n">
        <v>20.19</v>
      </c>
      <c r="D800" s="484" t="inlineStr">
        <is>
          <t>Apa Group</t>
        </is>
      </c>
      <c r="E800" s="484">
        <f>IFERROR(IF(H800="BC",Tabella118[[#This Row],[composizione concatenata]],IF(H800="C",Tabella118[[#This Row],[composizione concatenata]],VLOOKUP(I800,$K$2:$O$7,5,FALSE))),+Tabella118[[#This Row],[composizione concatenata]])</f>
        <v/>
      </c>
      <c r="F800" s="943">
        <f>+_xlfn.IFNA(VLOOKUP(Tabella118[[#This Row],[Composizione alternativa per digitale]],Tabella118[[composizione concatenata]:[Euro/Mq]],2,FALSE),VLOOKUP(H800,digitale[[ONDA]:[Fornitore]],3,FALSE))</f>
        <v/>
      </c>
      <c r="G800" s="484" t="n"/>
      <c r="H800" s="484">
        <f>IF(MID(A800, FIND("/", A800, FIND("/", A800) + 1) + 1, 2)="A","C",MID(A800, FIND("/", A800, FIND("/", A800) + 1) + 1, 2))</f>
        <v/>
      </c>
      <c r="I800" s="486">
        <f>TRIM(H800)</f>
        <v/>
      </c>
    </row>
    <row r="801" ht="15" customHeight="1">
      <c r="A801" s="487" t="inlineStr">
        <is>
          <t>PMMA ID73 NR OPTIX CAST GRIGIO 8215 3050x2050x4</t>
        </is>
      </c>
      <c r="B801" s="484">
        <f>+_xlfn.CONCAT(Tabella118[[#This Row],[Composizione]], " - ", Tabella118[[#This Row],[Fornitore]])</f>
        <v/>
      </c>
      <c r="C801" s="951" t="n">
        <v>26.94</v>
      </c>
      <c r="D801" s="484" t="inlineStr">
        <is>
          <t>Apa Group</t>
        </is>
      </c>
      <c r="E801" s="484">
        <f>IFERROR(IF(H801="BC",Tabella118[[#This Row],[composizione concatenata]],IF(H801="C",Tabella118[[#This Row],[composizione concatenata]],VLOOKUP(I801,$K$2:$O$7,5,FALSE))),+Tabella118[[#This Row],[composizione concatenata]])</f>
        <v/>
      </c>
      <c r="F801" s="943">
        <f>+_xlfn.IFNA(VLOOKUP(Tabella118[[#This Row],[Composizione alternativa per digitale]],Tabella118[[composizione concatenata]:[Euro/Mq]],2,FALSE),VLOOKUP(H801,digitale[[ONDA]:[Fornitore]],3,FALSE))</f>
        <v/>
      </c>
      <c r="G801" s="484" t="n"/>
      <c r="H801" s="484">
        <f>IF(MID(A801, FIND("/", A801, FIND("/", A801) + 1) + 1, 2)="A","C",MID(A801, FIND("/", A801, FIND("/", A801) + 1) + 1, 2))</f>
        <v/>
      </c>
      <c r="I801" s="486">
        <f>TRIM(H801)</f>
        <v/>
      </c>
    </row>
    <row r="802" ht="15" customHeight="1">
      <c r="A802" s="487" t="inlineStr">
        <is>
          <t>PMMA ID73 NR OPTIX CAST GRIGIO 8215 3050x2050x5</t>
        </is>
      </c>
      <c r="B802" s="484">
        <f>+_xlfn.CONCAT(Tabella118[[#This Row],[Composizione]], " - ", Tabella118[[#This Row],[Fornitore]])</f>
        <v/>
      </c>
      <c r="C802" s="951" t="n">
        <v>31.77</v>
      </c>
      <c r="D802" s="484" t="inlineStr">
        <is>
          <t>Apa Group</t>
        </is>
      </c>
      <c r="E802" s="484">
        <f>IFERROR(IF(H802="BC",Tabella118[[#This Row],[composizione concatenata]],IF(H802="C",Tabella118[[#This Row],[composizione concatenata]],VLOOKUP(I802,$K$2:$O$7,5,FALSE))),+Tabella118[[#This Row],[composizione concatenata]])</f>
        <v/>
      </c>
      <c r="F802" s="943">
        <f>+_xlfn.IFNA(VLOOKUP(Tabella118[[#This Row],[Composizione alternativa per digitale]],Tabella118[[composizione concatenata]:[Euro/Mq]],2,FALSE),VLOOKUP(H802,digitale[[ONDA]:[Fornitore]],3,FALSE))</f>
        <v/>
      </c>
      <c r="G802" s="484" t="n"/>
      <c r="H802" s="484">
        <f>IF(MID(A802, FIND("/", A802, FIND("/", A802) + 1) + 1, 2)="A","C",MID(A802, FIND("/", A802, FIND("/", A802) + 1) + 1, 2))</f>
        <v/>
      </c>
      <c r="I802" s="486">
        <f>TRIM(H802)</f>
        <v/>
      </c>
    </row>
    <row r="803" ht="15" customHeight="1">
      <c r="A803" s="487" t="inlineStr">
        <is>
          <t>PMMA ID73 NR OPTIX CAST GRIGIO 8215 3050x2050x6</t>
        </is>
      </c>
      <c r="B803" s="484">
        <f>+_xlfn.CONCAT(Tabella118[[#This Row],[Composizione]], " - ", Tabella118[[#This Row],[Fornitore]])</f>
        <v/>
      </c>
      <c r="C803" s="951" t="n">
        <v>38.12</v>
      </c>
      <c r="D803" s="484" t="inlineStr">
        <is>
          <t>Apa Group</t>
        </is>
      </c>
      <c r="E803" s="484">
        <f>IFERROR(IF(H803="BC",Tabella118[[#This Row],[composizione concatenata]],IF(H803="C",Tabella118[[#This Row],[composizione concatenata]],VLOOKUP(I803,$K$2:$O$7,5,FALSE))),+Tabella118[[#This Row],[composizione concatenata]])</f>
        <v/>
      </c>
      <c r="F803" s="943">
        <f>+_xlfn.IFNA(VLOOKUP(Tabella118[[#This Row],[Composizione alternativa per digitale]],Tabella118[[composizione concatenata]:[Euro/Mq]],2,FALSE),VLOOKUP(H803,digitale[[ONDA]:[Fornitore]],3,FALSE))</f>
        <v/>
      </c>
      <c r="G803" s="484" t="n"/>
      <c r="H803" s="484">
        <f>IF(MID(A803, FIND("/", A803, FIND("/", A803) + 1) + 1, 2)="A","C",MID(A803, FIND("/", A803, FIND("/", A803) + 1) + 1, 2))</f>
        <v/>
      </c>
      <c r="I803" s="486">
        <f>TRIM(H803)</f>
        <v/>
      </c>
    </row>
    <row r="804" ht="15" customHeight="1">
      <c r="A804" s="487" t="inlineStr">
        <is>
          <t>PMMA ID73 NR OPTIX CAST GRIGIO8215 3050x2030x10</t>
        </is>
      </c>
      <c r="B804" s="484">
        <f>+_xlfn.CONCAT(Tabella118[[#This Row],[Composizione]], " - ", Tabella118[[#This Row],[Fornitore]])</f>
        <v/>
      </c>
      <c r="C804" s="951" t="n">
        <v>63.53</v>
      </c>
      <c r="D804" s="484" t="inlineStr">
        <is>
          <t>Apa Group</t>
        </is>
      </c>
      <c r="E804" s="484">
        <f>IFERROR(IF(H804="BC",Tabella118[[#This Row],[composizione concatenata]],IF(H804="C",Tabella118[[#This Row],[composizione concatenata]],VLOOKUP(I804,$K$2:$O$7,5,FALSE))),+Tabella118[[#This Row],[composizione concatenata]])</f>
        <v/>
      </c>
      <c r="F804" s="943">
        <f>+_xlfn.IFNA(VLOOKUP(Tabella118[[#This Row],[Composizione alternativa per digitale]],Tabella118[[composizione concatenata]:[Euro/Mq]],2,FALSE),VLOOKUP(H804,digitale[[ONDA]:[Fornitore]],3,FALSE))</f>
        <v/>
      </c>
      <c r="G804" s="484" t="n"/>
      <c r="H804" s="484">
        <f>IF(MID(A804, FIND("/", A804, FIND("/", A804) + 1) + 1, 2)="A","C",MID(A804, FIND("/", A804, FIND("/", A804) + 1) + 1, 2))</f>
        <v/>
      </c>
      <c r="I804" s="486">
        <f>TRIM(H804)</f>
        <v/>
      </c>
    </row>
    <row r="805" ht="15" customHeight="1">
      <c r="A805" s="487" t="inlineStr">
        <is>
          <t>PMMA ID73 NR OPTIX CAST GRIGIO8215 3050x2030x12</t>
        </is>
      </c>
      <c r="B805" s="484">
        <f>+_xlfn.CONCAT(Tabella118[[#This Row],[Composizione]], " - ", Tabella118[[#This Row],[Fornitore]])</f>
        <v/>
      </c>
      <c r="C805" s="951" t="n">
        <v>76.23999999999999</v>
      </c>
      <c r="D805" s="484" t="inlineStr">
        <is>
          <t>Apa Group</t>
        </is>
      </c>
      <c r="E805" s="484">
        <f>IFERROR(IF(H805="BC",Tabella118[[#This Row],[composizione concatenata]],IF(H805="C",Tabella118[[#This Row],[composizione concatenata]],VLOOKUP(I805,$K$2:$O$7,5,FALSE))),+Tabella118[[#This Row],[composizione concatenata]])</f>
        <v/>
      </c>
      <c r="F805" s="943">
        <f>+_xlfn.IFNA(VLOOKUP(Tabella118[[#This Row],[Composizione alternativa per digitale]],Tabella118[[composizione concatenata]:[Euro/Mq]],2,FALSE),VLOOKUP(H805,digitale[[ONDA]:[Fornitore]],3,FALSE))</f>
        <v/>
      </c>
      <c r="G805" s="484" t="n"/>
      <c r="H805" s="484">
        <f>IF(MID(A805, FIND("/", A805, FIND("/", A805) + 1) + 1, 2)="A","C",MID(A805, FIND("/", A805, FIND("/", A805) + 1) + 1, 2))</f>
        <v/>
      </c>
      <c r="I805" s="486">
        <f>TRIM(H805)</f>
        <v/>
      </c>
    </row>
    <row r="806" ht="15" customHeight="1">
      <c r="A806" s="487" t="inlineStr">
        <is>
          <t>PMMA ID73 NR OPTIX CAST GRIGIO8215 3050x2030x15</t>
        </is>
      </c>
      <c r="B806" s="484">
        <f>+_xlfn.CONCAT(Tabella118[[#This Row],[Composizione]], " - ", Tabella118[[#This Row],[Fornitore]])</f>
        <v/>
      </c>
      <c r="C806" s="951" t="n">
        <v>95.3</v>
      </c>
      <c r="D806" s="484" t="inlineStr">
        <is>
          <t>Apa Group</t>
        </is>
      </c>
      <c r="E806" s="484">
        <f>IFERROR(IF(H806="BC",Tabella118[[#This Row],[composizione concatenata]],IF(H806="C",Tabella118[[#This Row],[composizione concatenata]],VLOOKUP(I806,$K$2:$O$7,5,FALSE))),+Tabella118[[#This Row],[composizione concatenata]])</f>
        <v/>
      </c>
      <c r="F806" s="943">
        <f>+_xlfn.IFNA(VLOOKUP(Tabella118[[#This Row],[Composizione alternativa per digitale]],Tabella118[[composizione concatenata]:[Euro/Mq]],2,FALSE),VLOOKUP(H806,digitale[[ONDA]:[Fornitore]],3,FALSE))</f>
        <v/>
      </c>
      <c r="G806" s="484" t="n"/>
      <c r="H806" s="484">
        <f>IF(MID(A806, FIND("/", A806, FIND("/", A806) + 1) + 1, 2)="A","C",MID(A806, FIND("/", A806, FIND("/", A806) + 1) + 1, 2))</f>
        <v/>
      </c>
      <c r="I806" s="486">
        <f>TRIM(H806)</f>
        <v/>
      </c>
    </row>
    <row r="807" ht="15" customHeight="1">
      <c r="A807" s="487" t="inlineStr">
        <is>
          <t>PMMA ID73 NR OPTIX CAST GRIGIO8215 3050x2030x20</t>
        </is>
      </c>
      <c r="B807" s="484">
        <f>+_xlfn.CONCAT(Tabella118[[#This Row],[Composizione]], " - ", Tabella118[[#This Row],[Fornitore]])</f>
        <v/>
      </c>
      <c r="C807" s="951" t="n">
        <v>127.07</v>
      </c>
      <c r="D807" s="484" t="inlineStr">
        <is>
          <t>Apa Group</t>
        </is>
      </c>
      <c r="E807" s="484">
        <f>IFERROR(IF(H807="BC",Tabella118[[#This Row],[composizione concatenata]],IF(H807="C",Tabella118[[#This Row],[composizione concatenata]],VLOOKUP(I807,$K$2:$O$7,5,FALSE))),+Tabella118[[#This Row],[composizione concatenata]])</f>
        <v/>
      </c>
      <c r="F807" s="943">
        <f>+_xlfn.IFNA(VLOOKUP(Tabella118[[#This Row],[Composizione alternativa per digitale]],Tabella118[[composizione concatenata]:[Euro/Mq]],2,FALSE),VLOOKUP(H807,digitale[[ONDA]:[Fornitore]],3,FALSE))</f>
        <v/>
      </c>
      <c r="G807" s="484" t="n"/>
      <c r="H807" s="484">
        <f>IF(MID(A807, FIND("/", A807, FIND("/", A807) + 1) + 1, 2)="A","C",MID(A807, FIND("/", A807, FIND("/", A807) + 1) + 1, 2))</f>
        <v/>
      </c>
      <c r="I807" s="486">
        <f>TRIM(H807)</f>
        <v/>
      </c>
    </row>
    <row r="808" ht="15" customHeight="1">
      <c r="A808" s="490" t="inlineStr">
        <is>
          <t>TbF/32/b</t>
        </is>
      </c>
      <c r="B808" s="484">
        <f>+_xlfn.CONCAT(Tabella118[[#This Row],[Composizione]], " - ", Tabella118[[#This Row],[Fornitore]])</f>
        <v/>
      </c>
      <c r="C808" s="943" t="n">
        <v>0.21</v>
      </c>
      <c r="D808" s="484" t="inlineStr">
        <is>
          <t>Italbox</t>
        </is>
      </c>
      <c r="E808" s="484">
        <f>IFERROR(IF(H808="BC",Tabella118[[#This Row],[composizione concatenata]],IF(H808="C",Tabella118[[#This Row],[composizione concatenata]],VLOOKUP(I808,$K$2:$O$7,5,FALSE))),+Tabella118[[#This Row],[composizione concatenata]])</f>
        <v/>
      </c>
      <c r="F808" s="944">
        <f>+_xlfn.IFNA(VLOOKUP(Tabella118[[#This Row],[Composizione alternativa per digitale]],Tabella118[[composizione concatenata]:[Euro/Mq]],2,FALSE),VLOOKUP(H808,digitale[[ONDA]:[Fornitore]],3,FALSE))</f>
        <v/>
      </c>
      <c r="G808" s="484" t="n"/>
      <c r="H808" s="484">
        <f>IF(MID(A808, FIND("/", A808, FIND("/", A808) + 1) + 1, 2)="A","C",MID(A808, FIND("/", A808, FIND("/", A808) + 1) + 1, 2))</f>
        <v/>
      </c>
      <c r="I808" s="486">
        <f>TRIM(H808)</f>
        <v/>
      </c>
    </row>
    <row r="809" ht="15" customHeight="1">
      <c r="A809" s="491" t="inlineStr">
        <is>
          <t>TbF/32/e</t>
        </is>
      </c>
      <c r="B809" s="484">
        <f>+_xlfn.CONCAT(Tabella118[[#This Row],[Composizione]], " - ", Tabella118[[#This Row],[Fornitore]])</f>
        <v/>
      </c>
      <c r="C809" s="943" t="n">
        <v>0.227</v>
      </c>
      <c r="D809" s="484" t="inlineStr">
        <is>
          <t>Santerno</t>
        </is>
      </c>
      <c r="E809" s="484">
        <f>IFERROR(IF(H809="BC",Tabella118[[#This Row],[composizione concatenata]],IF(H809="C",Tabella118[[#This Row],[composizione concatenata]],VLOOKUP(I809,$K$2:$O$7,5,FALSE))),+Tabella118[[#This Row],[composizione concatenata]])</f>
        <v/>
      </c>
      <c r="F809" s="943">
        <f>+_xlfn.IFNA(VLOOKUP(Tabella118[[#This Row],[Composizione alternativa per digitale]],Tabella118[[composizione concatenata]:[Euro/Mq]],2,FALSE),VLOOKUP(H809,digitale[[ONDA]:[Fornitore]],3,FALSE))</f>
        <v/>
      </c>
      <c r="G809" s="484" t="n"/>
      <c r="H809" s="484">
        <f>IF(MID(A809, FIND("/", A809, FIND("/", A809) + 1) + 1, 2)="A","C",MID(A809, FIND("/", A809, FIND("/", A809) + 1) + 1, 2))</f>
        <v/>
      </c>
      <c r="I809" s="486">
        <f>TRIM(H809)</f>
        <v/>
      </c>
    </row>
    <row r="810" ht="15" customHeight="1">
      <c r="A810" s="490" t="inlineStr">
        <is>
          <t>TbF/32/e</t>
        </is>
      </c>
      <c r="B810" s="484">
        <f>+_xlfn.CONCAT(Tabella118[[#This Row],[Composizione]], " - ", Tabella118[[#This Row],[Fornitore]])</f>
        <v/>
      </c>
      <c r="C810" s="943" t="n">
        <v>0.2</v>
      </c>
      <c r="D810" s="484" t="inlineStr">
        <is>
          <t>Italbox</t>
        </is>
      </c>
      <c r="E810" s="484">
        <f>IFERROR(IF(H810="BC",Tabella118[[#This Row],[composizione concatenata]],IF(H810="C",Tabella118[[#This Row],[composizione concatenata]],VLOOKUP(I810,$K$2:$O$7,5,FALSE))),+Tabella118[[#This Row],[composizione concatenata]])</f>
        <v/>
      </c>
      <c r="F810" s="944">
        <f>+_xlfn.IFNA(VLOOKUP(Tabella118[[#This Row],[Composizione alternativa per digitale]],Tabella118[[composizione concatenata]:[Euro/Mq]],2,FALSE),VLOOKUP(H810,digitale[[ONDA]:[Fornitore]],3,FALSE))</f>
        <v/>
      </c>
      <c r="G810" s="484" t="n"/>
      <c r="H810" s="484">
        <f>IF(MID(A810, FIND("/", A810, FIND("/", A810) + 1) + 1, 2)="A","C",MID(A810, FIND("/", A810, FIND("/", A810) + 1) + 1, 2))</f>
        <v/>
      </c>
      <c r="I810" s="486">
        <f>TRIM(H810)</f>
        <v/>
      </c>
    </row>
    <row r="811" ht="15" customHeight="1">
      <c r="A811" s="491" t="inlineStr">
        <is>
          <t>TbF/32/e + ACC.</t>
        </is>
      </c>
      <c r="B811" s="484">
        <f>+_xlfn.CONCAT(Tabella118[[#This Row],[Composizione]], " - ", Tabella118[[#This Row],[Fornitore]])</f>
        <v/>
      </c>
      <c r="C811" s="943" t="n">
        <v>0.282</v>
      </c>
      <c r="D811" s="484" t="inlineStr">
        <is>
          <t>Santerno</t>
        </is>
      </c>
      <c r="E811" s="484">
        <f>IFERROR(IF(H811="BC",Tabella118[[#This Row],[composizione concatenata]],IF(H811="C",Tabella118[[#This Row],[composizione concatenata]],VLOOKUP(I811,$K$2:$O$7,5,FALSE))),+Tabella118[[#This Row],[composizione concatenata]])</f>
        <v/>
      </c>
      <c r="F811" s="943">
        <f>+_xlfn.IFNA(VLOOKUP(Tabella118[[#This Row],[Composizione alternativa per digitale]],Tabella118[[composizione concatenata]:[Euro/Mq]],2,FALSE),VLOOKUP(H811,digitale[[ONDA]:[Fornitore]],3,FALSE))</f>
        <v/>
      </c>
      <c r="G811" s="484" t="n"/>
      <c r="H811" s="484">
        <f>IF(MID(A811, FIND("/", A811, FIND("/", A811) + 1) + 1, 2)="A","C",MID(A811, FIND("/", A811, FIND("/", A811) + 1) + 1, 2))</f>
        <v/>
      </c>
      <c r="I811" s="486">
        <f>TRIM(H811)</f>
        <v/>
      </c>
    </row>
    <row r="812" ht="15" customHeight="1">
      <c r="A812" s="491" t="inlineStr">
        <is>
          <t>TbFFF/3222/Be</t>
        </is>
      </c>
      <c r="B812" s="484">
        <f>+_xlfn.CONCAT(Tabella118[[#This Row],[Composizione]], " - ", Tabella118[[#This Row],[Fornitore]])</f>
        <v/>
      </c>
      <c r="C812" s="943" t="n">
        <v>0.423</v>
      </c>
      <c r="D812" s="484" t="inlineStr">
        <is>
          <t>Santerno</t>
        </is>
      </c>
      <c r="E812" s="484">
        <f>IFERROR(IF(H812="BC",Tabella118[[#This Row],[composizione concatenata]],IF(H812="C",Tabella118[[#This Row],[composizione concatenata]],VLOOKUP(I812,$K$2:$O$7,5,FALSE))),+Tabella118[[#This Row],[composizione concatenata]])</f>
        <v/>
      </c>
      <c r="F812" s="943">
        <f>+_xlfn.IFNA(VLOOKUP(Tabella118[[#This Row],[Composizione alternativa per digitale]],Tabella118[[composizione concatenata]:[Euro/Mq]],2,FALSE),VLOOKUP(H812,digitale[[ONDA]:[Fornitore]],3,FALSE))</f>
        <v/>
      </c>
      <c r="G812" s="484" t="n"/>
      <c r="H812" s="484">
        <f>IF(MID(A812, FIND("/", A812, FIND("/", A812) + 1) + 1, 2)="A","C",MID(A812, FIND("/", A812, FIND("/", A812) + 1) + 1, 2))</f>
        <v/>
      </c>
      <c r="I812" s="486">
        <f>TRIM(H812)</f>
        <v/>
      </c>
    </row>
    <row r="813" ht="15" customHeight="1">
      <c r="A813" s="491" t="inlineStr">
        <is>
          <t>TbFFF/3222/Be + ACC.</t>
        </is>
      </c>
      <c r="B813" s="484">
        <f>+_xlfn.CONCAT(Tabella118[[#This Row],[Composizione]], " - ", Tabella118[[#This Row],[Fornitore]])</f>
        <v/>
      </c>
      <c r="C813" s="943" t="n">
        <v>0.488</v>
      </c>
      <c r="D813" s="484" t="inlineStr">
        <is>
          <t>Santerno</t>
        </is>
      </c>
      <c r="E813" s="484">
        <f>IFERROR(IF(H813="BC",Tabella118[[#This Row],[composizione concatenata]],IF(H813="C",Tabella118[[#This Row],[composizione concatenata]],VLOOKUP(I813,$K$2:$O$7,5,FALSE))),+Tabella118[[#This Row],[composizione concatenata]])</f>
        <v/>
      </c>
      <c r="F813" s="943">
        <f>+_xlfn.IFNA(VLOOKUP(Tabella118[[#This Row],[Composizione alternativa per digitale]],Tabella118[[composizione concatenata]:[Euro/Mq]],2,FALSE),VLOOKUP(H813,digitale[[ONDA]:[Fornitore]],3,FALSE))</f>
        <v/>
      </c>
      <c r="G813" s="484" t="n"/>
      <c r="H813" s="484">
        <f>IF(MID(A813, FIND("/", A813, FIND("/", A813) + 1) + 1, 2)="A","C",MID(A813, FIND("/", A813, FIND("/", A813) + 1) + 1, 2))</f>
        <v/>
      </c>
      <c r="I813" s="486">
        <f>TRIM(H813)</f>
        <v/>
      </c>
    </row>
    <row r="814" ht="15" customHeight="1">
      <c r="A814" s="484" t="inlineStr">
        <is>
          <t>TbFFFT/32222/BC</t>
        </is>
      </c>
      <c r="B814" s="484">
        <f>+_xlfn.CONCAT(Tabella118[[#This Row],[Composizione]], " - ", Tabella118[[#This Row],[Fornitore]])</f>
        <v/>
      </c>
      <c r="C814" s="943" t="n">
        <v>0.413</v>
      </c>
      <c r="D814" s="484" t="inlineStr">
        <is>
          <t>Giusti</t>
        </is>
      </c>
      <c r="E814" s="484">
        <f>IFERROR(IF(H814="BC",Tabella118[[#This Row],[composizione concatenata]],IF(H814="C",Tabella118[[#This Row],[composizione concatenata]],VLOOKUP(I814,$K$2:$O$7,5,FALSE))),+Tabella118[[#This Row],[composizione concatenata]])</f>
        <v/>
      </c>
      <c r="F814" s="944">
        <f>+_xlfn.IFNA(VLOOKUP(Tabella118[[#This Row],[Composizione alternativa per digitale]],Tabella118[[composizione concatenata]:[Euro/Mq]],2,FALSE),VLOOKUP(H814,digitale[[ONDA]:[Fornitore]],3,FALSE))</f>
        <v/>
      </c>
      <c r="G814" s="484" t="n"/>
      <c r="H814" s="484">
        <f>IF(MID(A814, FIND("/", A814, FIND("/", A814) + 1) + 1, 2)="A","C",MID(A814, FIND("/", A814, FIND("/", A814) + 1) + 1, 2))</f>
        <v/>
      </c>
      <c r="I814" s="486">
        <f>TRIM(H814)</f>
        <v/>
      </c>
    </row>
    <row r="815" ht="15" customHeight="1">
      <c r="A815" s="484" t="inlineStr">
        <is>
          <t>TbFFFT/32222/EB</t>
        </is>
      </c>
      <c r="B815" s="484">
        <f>+_xlfn.CONCAT(Tabella118[[#This Row],[Composizione]], " - ", Tabella118[[#This Row],[Fornitore]])</f>
        <v/>
      </c>
      <c r="C815" s="943" t="n">
        <v>0.394</v>
      </c>
      <c r="D815" s="484" t="inlineStr">
        <is>
          <t>Giusti</t>
        </is>
      </c>
      <c r="E815" s="484">
        <f>IFERROR(IF(H815="BC",Tabella118[[#This Row],[composizione concatenata]],IF(H815="C",Tabella118[[#This Row],[composizione concatenata]],VLOOKUP(I815,$K$2:$O$7,5,FALSE))),+Tabella118[[#This Row],[composizione concatenata]])</f>
        <v/>
      </c>
      <c r="F815" s="944">
        <f>+_xlfn.IFNA(VLOOKUP(Tabella118[[#This Row],[Composizione alternativa per digitale]],Tabella118[[composizione concatenata]:[Euro/Mq]],2,FALSE),VLOOKUP(H815,digitale[[ONDA]:[Fornitore]],3,FALSE))</f>
        <v/>
      </c>
      <c r="G815" s="484" t="n"/>
      <c r="H815" s="484">
        <f>IF(MID(A815, FIND("/", A815, FIND("/", A815) + 1) + 1, 2)="A","C",MID(A815, FIND("/", A815, FIND("/", A815) + 1) + 1, 2))</f>
        <v/>
      </c>
      <c r="I815" s="486">
        <f>TRIM(H815)</f>
        <v/>
      </c>
    </row>
    <row r="816" ht="15" customHeight="1">
      <c r="A816" s="484" t="inlineStr">
        <is>
          <t>TbFFFT/32222/EB</t>
        </is>
      </c>
      <c r="B816" s="484">
        <f>+_xlfn.CONCAT(Tabella118[[#This Row],[Composizione]], " - ", Tabella118[[#This Row],[Fornitore]])</f>
        <v/>
      </c>
      <c r="C816" s="943" t="n">
        <v>0.354</v>
      </c>
      <c r="D816" s="484" t="inlineStr">
        <is>
          <t>FEPA</t>
        </is>
      </c>
      <c r="E816" s="484">
        <f>IFERROR(IF(H816="BC",Tabella118[[#This Row],[composizione concatenata]],IF(H816="C",Tabella118[[#This Row],[composizione concatenata]],VLOOKUP(I816,$K$2:$O$7,5,FALSE))),+Tabella118[[#This Row],[composizione concatenata]])</f>
        <v/>
      </c>
      <c r="F816" s="944">
        <f>+_xlfn.IFNA(VLOOKUP(Tabella118[[#This Row],[Composizione alternativa per digitale]],Tabella118[[composizione concatenata]:[Euro/Mq]],2,FALSE),VLOOKUP(H816,digitale[[ONDA]:[Fornitore]],3,FALSE))</f>
        <v/>
      </c>
      <c r="G816" s="484" t="n"/>
      <c r="H816" s="484">
        <f>IF(MID(A816, FIND("/", A816, FIND("/", A816) + 1) + 1, 2)="A","C",MID(A816, FIND("/", A816, FIND("/", A816) + 1) + 1, 2))</f>
        <v/>
      </c>
      <c r="I816" s="486">
        <f>TRIM(H816)</f>
        <v/>
      </c>
    </row>
    <row r="817" ht="15" customHeight="1">
      <c r="A817" s="484" t="inlineStr">
        <is>
          <t>TbFFFT/32222/EE</t>
        </is>
      </c>
      <c r="B817" s="484">
        <f>+_xlfn.CONCAT(Tabella118[[#This Row],[Composizione]], " - ", Tabella118[[#This Row],[Fornitore]])</f>
        <v/>
      </c>
      <c r="C817" s="943" t="n">
        <v>0.39</v>
      </c>
      <c r="D817" s="484" t="inlineStr">
        <is>
          <t>Giusti</t>
        </is>
      </c>
      <c r="E817" s="484">
        <f>IFERROR(IF(H817="BC",Tabella118[[#This Row],[composizione concatenata]],IF(H817="C",Tabella118[[#This Row],[composizione concatenata]],VLOOKUP(I817,$K$2:$O$7,5,FALSE))),+Tabella118[[#This Row],[composizione concatenata]])</f>
        <v/>
      </c>
      <c r="F817" s="944">
        <f>+_xlfn.IFNA(VLOOKUP(Tabella118[[#This Row],[Composizione alternativa per digitale]],Tabella118[[composizione concatenata]:[Euro/Mq]],2,FALSE),VLOOKUP(H817,digitale[[ONDA]:[Fornitore]],3,FALSE))</f>
        <v/>
      </c>
      <c r="G817" s="484" t="n"/>
      <c r="H817" s="484">
        <f>IF(MID(A817, FIND("/", A817, FIND("/", A817) + 1) + 1, 2)="A","C",MID(A817, FIND("/", A817, FIND("/", A817) + 1) + 1, 2))</f>
        <v/>
      </c>
      <c r="I817" s="486">
        <f>TRIM(H817)</f>
        <v/>
      </c>
    </row>
    <row r="818" ht="15" customHeight="1">
      <c r="A818" s="484" t="inlineStr">
        <is>
          <t>TbFFSUT/32242/EB</t>
        </is>
      </c>
      <c r="B818" s="484">
        <f>+_xlfn.CONCAT(Tabella118[[#This Row],[Composizione]], " - ", Tabella118[[#This Row],[Fornitore]])</f>
        <v/>
      </c>
      <c r="C818" s="943" t="n">
        <v>0.376</v>
      </c>
      <c r="D818" s="484" t="inlineStr">
        <is>
          <t>FEPA</t>
        </is>
      </c>
      <c r="E818" s="484">
        <f>IFERROR(IF(H818="BC",Tabella118[[#This Row],[composizione concatenata]],IF(H818="C",Tabella118[[#This Row],[composizione concatenata]],VLOOKUP(I818,$K$2:$O$7,5,FALSE))),+Tabella118[[#This Row],[composizione concatenata]])</f>
        <v/>
      </c>
      <c r="F818" s="944">
        <f>+_xlfn.IFNA(VLOOKUP(Tabella118[[#This Row],[Composizione alternativa per digitale]],Tabella118[[composizione concatenata]:[Euro/Mq]],2,FALSE),VLOOKUP(H818,digitale[[ONDA]:[Fornitore]],3,FALSE))</f>
        <v/>
      </c>
      <c r="G818" s="484" t="n"/>
      <c r="H818" s="484">
        <f>IF(MID(A818, FIND("/", A818, FIND("/", A818) + 1) + 1, 2)="A","C",MID(A818, FIND("/", A818, FIND("/", A818) + 1) + 1, 2))</f>
        <v/>
      </c>
      <c r="I818" s="486">
        <f>TRIM(H818)</f>
        <v/>
      </c>
    </row>
    <row r="819" ht="15" customHeight="1">
      <c r="A819" s="489" t="inlineStr">
        <is>
          <t>TbFFSUTb/32243/EB</t>
        </is>
      </c>
      <c r="B819" s="484">
        <f>+_xlfn.CONCAT(Tabella118[[#This Row],[Composizione]], " - ", Tabella118[[#This Row],[Fornitore]])</f>
        <v/>
      </c>
      <c r="C819" s="943" t="n">
        <v>0.398</v>
      </c>
      <c r="D819" s="484" t="inlineStr">
        <is>
          <t>FEPA</t>
        </is>
      </c>
      <c r="E819" s="484">
        <f>IFERROR(IF(H819="BC",Tabella118[[#This Row],[composizione concatenata]],IF(H819="C",Tabella118[[#This Row],[composizione concatenata]],VLOOKUP(I819,$K$2:$O$7,5,FALSE))),+Tabella118[[#This Row],[composizione concatenata]])</f>
        <v/>
      </c>
      <c r="F819" s="944">
        <f>+_xlfn.IFNA(VLOOKUP(Tabella118[[#This Row],[Composizione alternativa per digitale]],Tabella118[[composizione concatenata]:[Euro/Mq]],2,FALSE),VLOOKUP(H819,digitale[[ONDA]:[Fornitore]],3,FALSE))</f>
        <v/>
      </c>
      <c r="G819" s="484" t="n"/>
      <c r="H819" s="484">
        <f>IF(MID(A819, FIND("/", A819, FIND("/", A819) + 1) + 1, 2)="A","C",MID(A819, FIND("/", A819, FIND("/", A819) + 1) + 1, 2))</f>
        <v/>
      </c>
      <c r="I819" s="486">
        <f>TRIM(H819)</f>
        <v/>
      </c>
    </row>
    <row r="820" ht="15" customHeight="1">
      <c r="A820" s="490" t="inlineStr">
        <is>
          <t>TbFT/322/B</t>
        </is>
      </c>
      <c r="B820" s="484">
        <f>+_xlfn.CONCAT(Tabella118[[#This Row],[Composizione]], " - ", Tabella118[[#This Row],[Fornitore]])</f>
        <v/>
      </c>
      <c r="C820" s="943" t="n">
        <v>0.28</v>
      </c>
      <c r="D820" s="484" t="inlineStr">
        <is>
          <t>Italbox</t>
        </is>
      </c>
      <c r="E820" s="484">
        <f>IFERROR(IF(H820="BC",Tabella118[[#This Row],[composizione concatenata]],IF(H820="C",Tabella118[[#This Row],[composizione concatenata]],VLOOKUP(I820,$K$2:$O$7,5,FALSE))),+Tabella118[[#This Row],[composizione concatenata]])</f>
        <v/>
      </c>
      <c r="F820" s="944">
        <f>+_xlfn.IFNA(VLOOKUP(Tabella118[[#This Row],[Composizione alternativa per digitale]],Tabella118[[composizione concatenata]:[Euro/Mq]],2,FALSE),VLOOKUP(H820,digitale[[ONDA]:[Fornitore]],3,FALSE))</f>
        <v/>
      </c>
      <c r="G820" s="484" t="n"/>
      <c r="H820" s="484">
        <f>IF(MID(A820, FIND("/", A820, FIND("/", A820) + 1) + 1, 2)="A","C",MID(A820, FIND("/", A820, FIND("/", A820) + 1) + 1, 2))</f>
        <v/>
      </c>
      <c r="I820" s="486">
        <f>TRIM(H820)</f>
        <v/>
      </c>
    </row>
    <row r="821" ht="15" customHeight="1">
      <c r="A821" s="484" t="inlineStr">
        <is>
          <t>TbFT/322/B</t>
        </is>
      </c>
      <c r="B821" s="484">
        <f>+_xlfn.CONCAT(Tabella118[[#This Row],[Composizione]], " - ", Tabella118[[#This Row],[Fornitore]])</f>
        <v/>
      </c>
      <c r="C821" s="943" t="n">
        <v>0.262</v>
      </c>
      <c r="D821" s="484" t="inlineStr">
        <is>
          <t>Giusti</t>
        </is>
      </c>
      <c r="E821" s="484">
        <f>IFERROR(IF(H821="BC",Tabella118[[#This Row],[composizione concatenata]],IF(H821="C",Tabella118[[#This Row],[composizione concatenata]],VLOOKUP(I821,$K$2:$O$7,5,FALSE))),+Tabella118[[#This Row],[composizione concatenata]])</f>
        <v/>
      </c>
      <c r="F821" s="944">
        <f>+_xlfn.IFNA(VLOOKUP(Tabella118[[#This Row],[Composizione alternativa per digitale]],Tabella118[[composizione concatenata]:[Euro/Mq]],2,FALSE),VLOOKUP(H821,digitale[[ONDA]:[Fornitore]],3,FALSE))</f>
        <v/>
      </c>
      <c r="G821" s="484" t="n"/>
      <c r="H821" s="484">
        <f>IF(MID(A821, FIND("/", A821, FIND("/", A821) + 1) + 1, 2)="A","C",MID(A821, FIND("/", A821, FIND("/", A821) + 1) + 1, 2))</f>
        <v/>
      </c>
      <c r="I821" s="486">
        <f>TRIM(H821)</f>
        <v/>
      </c>
    </row>
    <row r="822" ht="15" customHeight="1">
      <c r="A822" s="489" t="inlineStr">
        <is>
          <t>TbFT/322/B</t>
        </is>
      </c>
      <c r="B822" s="484">
        <f>+_xlfn.CONCAT(Tabella118[[#This Row],[Composizione]], " - ", Tabella118[[#This Row],[Fornitore]])</f>
        <v/>
      </c>
      <c r="C822" s="943" t="n">
        <v>0.232</v>
      </c>
      <c r="D822" s="484" t="inlineStr">
        <is>
          <t>FEPA</t>
        </is>
      </c>
      <c r="E822" s="484">
        <f>IFERROR(IF(H822="BC",Tabella118[[#This Row],[composizione concatenata]],IF(H822="C",Tabella118[[#This Row],[composizione concatenata]],VLOOKUP(I822,$K$2:$O$7,5,FALSE))),+Tabella118[[#This Row],[composizione concatenata]])</f>
        <v/>
      </c>
      <c r="F822" s="944">
        <f>+_xlfn.IFNA(VLOOKUP(Tabella118[[#This Row],[Composizione alternativa per digitale]],Tabella118[[composizione concatenata]:[Euro/Mq]],2,FALSE),VLOOKUP(H822,digitale[[ONDA]:[Fornitore]],3,FALSE))</f>
        <v/>
      </c>
      <c r="G822" s="484" t="n"/>
      <c r="H822" s="484">
        <f>IF(MID(A822, FIND("/", A822, FIND("/", A822) + 1) + 1, 2)="A","C",MID(A822, FIND("/", A822, FIND("/", A822) + 1) + 1, 2))</f>
        <v/>
      </c>
      <c r="I822" s="486">
        <f>TRIM(H822)</f>
        <v/>
      </c>
    </row>
    <row r="823" ht="15" customHeight="1">
      <c r="A823" s="490" t="inlineStr">
        <is>
          <t>TbFT/322/E</t>
        </is>
      </c>
      <c r="B823" s="484">
        <f>+_xlfn.CONCAT(Tabella118[[#This Row],[Composizione]], " - ", Tabella118[[#This Row],[Fornitore]])</f>
        <v/>
      </c>
      <c r="C823" s="943" t="n">
        <v>0.28</v>
      </c>
      <c r="D823" s="484" t="inlineStr">
        <is>
          <t>Italbox</t>
        </is>
      </c>
      <c r="E823" s="484">
        <f>IFERROR(IF(H823="BC",Tabella118[[#This Row],[composizione concatenata]],IF(H823="C",Tabella118[[#This Row],[composizione concatenata]],VLOOKUP(I823,$K$2:$O$7,5,FALSE))),+Tabella118[[#This Row],[composizione concatenata]])</f>
        <v/>
      </c>
      <c r="F823" s="944">
        <f>+_xlfn.IFNA(VLOOKUP(Tabella118[[#This Row],[Composizione alternativa per digitale]],Tabella118[[composizione concatenata]:[Euro/Mq]],2,FALSE),VLOOKUP(H823,digitale[[ONDA]:[Fornitore]],3,FALSE))</f>
        <v/>
      </c>
      <c r="G823" s="484" t="n"/>
      <c r="H823" s="484">
        <f>IF(MID(A823, FIND("/", A823, FIND("/", A823) + 1) + 1, 2)="A","C",MID(A823, FIND("/", A823, FIND("/", A823) + 1) + 1, 2))</f>
        <v/>
      </c>
      <c r="I823" s="486">
        <f>TRIM(H823)</f>
        <v/>
      </c>
    </row>
    <row r="824" ht="15" customHeight="1">
      <c r="A824" s="484" t="inlineStr">
        <is>
          <t>TbFT/322/E</t>
        </is>
      </c>
      <c r="B824" s="484">
        <f>+_xlfn.CONCAT(Tabella118[[#This Row],[Composizione]], " - ", Tabella118[[#This Row],[Fornitore]])</f>
        <v/>
      </c>
      <c r="C824" s="943" t="n">
        <v>0.253</v>
      </c>
      <c r="D824" s="484" t="inlineStr">
        <is>
          <t>Giusti</t>
        </is>
      </c>
      <c r="E824" s="484">
        <f>IFERROR(IF(H824="BC",Tabella118[[#This Row],[composizione concatenata]],IF(H824="C",Tabella118[[#This Row],[composizione concatenata]],VLOOKUP(I824,$K$2:$O$7,5,FALSE))),+Tabella118[[#This Row],[composizione concatenata]])</f>
        <v/>
      </c>
      <c r="F824" s="944">
        <f>+_xlfn.IFNA(VLOOKUP(Tabella118[[#This Row],[Composizione alternativa per digitale]],Tabella118[[composizione concatenata]:[Euro/Mq]],2,FALSE),VLOOKUP(H824,digitale[[ONDA]:[Fornitore]],3,FALSE))</f>
        <v/>
      </c>
      <c r="G824" s="484" t="n"/>
      <c r="H824" s="484">
        <f>IF(MID(A824, FIND("/", A824, FIND("/", A824) + 1) + 1, 2)="A","C",MID(A824, FIND("/", A824, FIND("/", A824) + 1) + 1, 2))</f>
        <v/>
      </c>
      <c r="I824" s="486">
        <f>TRIM(H824)</f>
        <v/>
      </c>
    </row>
    <row r="825" ht="15" customHeight="1">
      <c r="A825" s="483" t="inlineStr">
        <is>
          <t>TbFT/322/E</t>
        </is>
      </c>
      <c r="B825" s="484">
        <f>+_xlfn.CONCAT(Tabella118[[#This Row],[Composizione]], " - ", Tabella118[[#This Row],[Fornitore]])</f>
        <v/>
      </c>
      <c r="C825" s="950" t="n">
        <v>0.236</v>
      </c>
      <c r="D825" s="484" t="inlineStr">
        <is>
          <t>Cartstrong</t>
        </is>
      </c>
      <c r="E825" s="484">
        <f>IFERROR(IF(H825="BC",Tabella118[[#This Row],[composizione concatenata]],IF(H825="C",Tabella118[[#This Row],[composizione concatenata]],VLOOKUP(I825,$K$2:$O$7,5,FALSE))),+Tabella118[[#This Row],[composizione concatenata]])</f>
        <v/>
      </c>
      <c r="F825" s="943">
        <f>+_xlfn.IFNA(VLOOKUP(Tabella118[[#This Row],[Composizione alternativa per digitale]],Tabella118[[composizione concatenata]:[Euro/Mq]],2,FALSE),VLOOKUP(H825,digitale[[ONDA]:[Fornitore]],3,FALSE))</f>
        <v/>
      </c>
      <c r="G825" s="484" t="n"/>
      <c r="H825" s="484">
        <f>IF(MID(A825, FIND("/", A825, FIND("/", A825) + 1) + 1, 2)="A","C",MID(A825, FIND("/", A825, FIND("/", A825) + 1) + 1, 2))</f>
        <v/>
      </c>
      <c r="I825" s="486">
        <f>TRIM(H825)</f>
        <v/>
      </c>
    </row>
    <row r="826" ht="15" customHeight="1">
      <c r="A826" s="484" t="inlineStr">
        <is>
          <t>TbFT/322/E</t>
        </is>
      </c>
      <c r="B826" s="484">
        <f>+_xlfn.CONCAT(Tabella118[[#This Row],[Composizione]], " - ", Tabella118[[#This Row],[Fornitore]])</f>
        <v/>
      </c>
      <c r="C826" s="943" t="n">
        <v>0.23</v>
      </c>
      <c r="D826" s="484" t="inlineStr">
        <is>
          <t>FEPA</t>
        </is>
      </c>
      <c r="E826" s="484">
        <f>IFERROR(IF(H826="BC",Tabella118[[#This Row],[composizione concatenata]],IF(H826="C",Tabella118[[#This Row],[composizione concatenata]],VLOOKUP(I826,$K$2:$O$7,5,FALSE))),+Tabella118[[#This Row],[composizione concatenata]])</f>
        <v/>
      </c>
      <c r="F826" s="944">
        <f>+_xlfn.IFNA(VLOOKUP(Tabella118[[#This Row],[Composizione alternativa per digitale]],Tabella118[[composizione concatenata]:[Euro/Mq]],2,FALSE),VLOOKUP(H826,digitale[[ONDA]:[Fornitore]],3,FALSE))</f>
        <v/>
      </c>
      <c r="G826" s="484" t="n"/>
      <c r="H826" s="484">
        <f>IF(MID(A826, FIND("/", A826, FIND("/", A826) + 1) + 1, 2)="A","C",MID(A826, FIND("/", A826, FIND("/", A826) + 1) + 1, 2))</f>
        <v/>
      </c>
      <c r="I826" s="486">
        <f>TRIM(H826)</f>
        <v/>
      </c>
    </row>
    <row r="827" ht="15" customHeight="1">
      <c r="A827" s="491" t="inlineStr">
        <is>
          <t>TbM/34/b</t>
        </is>
      </c>
      <c r="B827" s="484">
        <f>+_xlfn.CONCAT(Tabella118[[#This Row],[Composizione]], " - ", Tabella118[[#This Row],[Fornitore]])</f>
        <v/>
      </c>
      <c r="C827" s="943" t="n">
        <v>0.253</v>
      </c>
      <c r="D827" s="484" t="inlineStr">
        <is>
          <t>Santerno</t>
        </is>
      </c>
      <c r="E827" s="484">
        <f>IFERROR(IF(H827="BC",Tabella118[[#This Row],[composizione concatenata]],IF(H827="C",Tabella118[[#This Row],[composizione concatenata]],VLOOKUP(I827,$K$2:$O$7,5,FALSE))),+Tabella118[[#This Row],[composizione concatenata]])</f>
        <v/>
      </c>
      <c r="F827" s="943">
        <f>+_xlfn.IFNA(VLOOKUP(Tabella118[[#This Row],[Composizione alternativa per digitale]],Tabella118[[composizione concatenata]:[Euro/Mq]],2,FALSE),VLOOKUP(H827,digitale[[ONDA]:[Fornitore]],3,FALSE))</f>
        <v/>
      </c>
      <c r="G827" s="484" t="n"/>
      <c r="H827" s="484">
        <f>IF(MID(A827, FIND("/", A827, FIND("/", A827) + 1) + 1, 2)="A","C",MID(A827, FIND("/", A827, FIND("/", A827) + 1) + 1, 2))</f>
        <v/>
      </c>
      <c r="I827" s="486">
        <f>TRIM(H827)</f>
        <v/>
      </c>
    </row>
    <row r="828" ht="15" customHeight="1">
      <c r="A828" s="490" t="inlineStr">
        <is>
          <t>TbM/34/b</t>
        </is>
      </c>
      <c r="B828" s="484">
        <f>+_xlfn.CONCAT(Tabella118[[#This Row],[Composizione]], " - ", Tabella118[[#This Row],[Fornitore]])</f>
        <v/>
      </c>
      <c r="C828" s="943" t="n">
        <v>0.22</v>
      </c>
      <c r="D828" s="484" t="inlineStr">
        <is>
          <t>Italbox</t>
        </is>
      </c>
      <c r="E828" s="484">
        <f>IFERROR(IF(H828="BC",Tabella118[[#This Row],[composizione concatenata]],IF(H828="C",Tabella118[[#This Row],[composizione concatenata]],VLOOKUP(I828,$K$2:$O$7,5,FALSE))),+Tabella118[[#This Row],[composizione concatenata]])</f>
        <v/>
      </c>
      <c r="F828" s="944">
        <f>+_xlfn.IFNA(VLOOKUP(Tabella118[[#This Row],[Composizione alternativa per digitale]],Tabella118[[composizione concatenata]:[Euro/Mq]],2,FALSE),VLOOKUP(H828,digitale[[ONDA]:[Fornitore]],3,FALSE))</f>
        <v/>
      </c>
      <c r="G828" s="484" t="n"/>
      <c r="H828" s="484">
        <f>IF(MID(A828, FIND("/", A828, FIND("/", A828) + 1) + 1, 2)="A","C",MID(A828, FIND("/", A828, FIND("/", A828) + 1) + 1, 2))</f>
        <v/>
      </c>
      <c r="I828" s="486">
        <f>TRIM(H828)</f>
        <v/>
      </c>
    </row>
    <row r="829" ht="15" customHeight="1">
      <c r="A829" s="491" t="inlineStr">
        <is>
          <t>TbM/34/b + ACC.</t>
        </is>
      </c>
      <c r="B829" s="484">
        <f>+_xlfn.CONCAT(Tabella118[[#This Row],[Composizione]], " - ", Tabella118[[#This Row],[Fornitore]])</f>
        <v/>
      </c>
      <c r="C829" s="943" t="n">
        <v>0.308</v>
      </c>
      <c r="D829" s="484" t="inlineStr">
        <is>
          <t>Santerno</t>
        </is>
      </c>
      <c r="E829" s="484">
        <f>IFERROR(IF(H829="BC",Tabella118[[#This Row],[composizione concatenata]],IF(H829="C",Tabella118[[#This Row],[composizione concatenata]],VLOOKUP(I829,$K$2:$O$7,5,FALSE))),+Tabella118[[#This Row],[composizione concatenata]])</f>
        <v/>
      </c>
      <c r="F829" s="943">
        <f>+_xlfn.IFNA(VLOOKUP(Tabella118[[#This Row],[Composizione alternativa per digitale]],Tabella118[[composizione concatenata]:[Euro/Mq]],2,FALSE),VLOOKUP(H829,digitale[[ONDA]:[Fornitore]],3,FALSE))</f>
        <v/>
      </c>
      <c r="G829" s="484" t="n"/>
      <c r="H829" s="484">
        <f>IF(MID(A829, FIND("/", A829, FIND("/", A829) + 1) + 1, 2)="A","C",MID(A829, FIND("/", A829, FIND("/", A829) + 1) + 1, 2))</f>
        <v/>
      </c>
      <c r="I829" s="486">
        <f>TRIM(H829)</f>
        <v/>
      </c>
    </row>
    <row r="830" ht="15" customHeight="1">
      <c r="A830" s="491" t="inlineStr">
        <is>
          <t>TbM/34/e</t>
        </is>
      </c>
      <c r="B830" s="484">
        <f>+_xlfn.CONCAT(Tabella118[[#This Row],[Composizione]], " - ", Tabella118[[#This Row],[Fornitore]])</f>
        <v/>
      </c>
      <c r="C830" s="943" t="n">
        <v>0.235</v>
      </c>
      <c r="D830" s="484" t="inlineStr">
        <is>
          <t>Santerno</t>
        </is>
      </c>
      <c r="E830" s="484">
        <f>IFERROR(IF(H830="BC",Tabella118[[#This Row],[composizione concatenata]],IF(H830="C",Tabella118[[#This Row],[composizione concatenata]],VLOOKUP(I830,$K$2:$O$7,5,FALSE))),+Tabella118[[#This Row],[composizione concatenata]])</f>
        <v/>
      </c>
      <c r="F830" s="943">
        <f>+_xlfn.IFNA(VLOOKUP(Tabella118[[#This Row],[Composizione alternativa per digitale]],Tabella118[[composizione concatenata]:[Euro/Mq]],2,FALSE),VLOOKUP(H830,digitale[[ONDA]:[Fornitore]],3,FALSE))</f>
        <v/>
      </c>
      <c r="G830" s="484" t="n"/>
      <c r="H830" s="484">
        <f>IF(MID(A830, FIND("/", A830, FIND("/", A830) + 1) + 1, 2)="A","C",MID(A830, FIND("/", A830, FIND("/", A830) + 1) + 1, 2))</f>
        <v/>
      </c>
      <c r="I830" s="486">
        <f>TRIM(H830)</f>
        <v/>
      </c>
    </row>
    <row r="831" ht="15" customHeight="1">
      <c r="A831" s="490" t="inlineStr">
        <is>
          <t>TbM/34/e</t>
        </is>
      </c>
      <c r="B831" s="484">
        <f>+_xlfn.CONCAT(Tabella118[[#This Row],[Composizione]], " - ", Tabella118[[#This Row],[Fornitore]])</f>
        <v/>
      </c>
      <c r="C831" s="943" t="n">
        <v>0.21</v>
      </c>
      <c r="D831" s="484" t="inlineStr">
        <is>
          <t>Italbox</t>
        </is>
      </c>
      <c r="E831" s="484">
        <f>IFERROR(IF(H831="BC",Tabella118[[#This Row],[composizione concatenata]],IF(H831="C",Tabella118[[#This Row],[composizione concatenata]],VLOOKUP(I831,$K$2:$O$7,5,FALSE))),+Tabella118[[#This Row],[composizione concatenata]])</f>
        <v/>
      </c>
      <c r="F831" s="944">
        <f>+_xlfn.IFNA(VLOOKUP(Tabella118[[#This Row],[Composizione alternativa per digitale]],Tabella118[[composizione concatenata]:[Euro/Mq]],2,FALSE),VLOOKUP(H831,digitale[[ONDA]:[Fornitore]],3,FALSE))</f>
        <v/>
      </c>
      <c r="G831" s="484" t="n"/>
      <c r="H831" s="484">
        <f>IF(MID(A831, FIND("/", A831, FIND("/", A831) + 1) + 1, 2)="A","C",MID(A831, FIND("/", A831, FIND("/", A831) + 1) + 1, 2))</f>
        <v/>
      </c>
      <c r="I831" s="486">
        <f>TRIM(H831)</f>
        <v/>
      </c>
    </row>
    <row r="832" ht="15" customHeight="1">
      <c r="A832" s="491" t="inlineStr">
        <is>
          <t>TbM/34/e + ACC.</t>
        </is>
      </c>
      <c r="B832" s="484">
        <f>+_xlfn.CONCAT(Tabella118[[#This Row],[Composizione]], " - ", Tabella118[[#This Row],[Fornitore]])</f>
        <v/>
      </c>
      <c r="C832" s="943" t="n">
        <v>0.29</v>
      </c>
      <c r="D832" s="484" t="inlineStr">
        <is>
          <t>Santerno</t>
        </is>
      </c>
      <c r="E832" s="484">
        <f>IFERROR(IF(H832="BC",Tabella118[[#This Row],[composizione concatenata]],IF(H832="C",Tabella118[[#This Row],[composizione concatenata]],VLOOKUP(I832,$K$2:$O$7,5,FALSE))),+Tabella118[[#This Row],[composizione concatenata]])</f>
        <v/>
      </c>
      <c r="F832" s="943">
        <f>+_xlfn.IFNA(VLOOKUP(Tabella118[[#This Row],[Composizione alternativa per digitale]],Tabella118[[composizione concatenata]:[Euro/Mq]],2,FALSE),VLOOKUP(H832,digitale[[ONDA]:[Fornitore]],3,FALSE))</f>
        <v/>
      </c>
      <c r="G832" s="484" t="n"/>
      <c r="H832" s="484">
        <f>IF(MID(A832, FIND("/", A832, FIND("/", A832) + 1) + 1, 2)="A","C",MID(A832, FIND("/", A832, FIND("/", A832) + 1) + 1, 2))</f>
        <v/>
      </c>
      <c r="I832" s="486">
        <f>TRIM(H832)</f>
        <v/>
      </c>
    </row>
    <row r="833" ht="15" customHeight="1">
      <c r="A833" s="491" t="inlineStr">
        <is>
          <t>TbM/34/f</t>
        </is>
      </c>
      <c r="B833" s="484">
        <f>+_xlfn.CONCAT(Tabella118[[#This Row],[Composizione]], " - ", Tabella118[[#This Row],[Fornitore]])</f>
        <v/>
      </c>
      <c r="C833" s="943" t="n">
        <v>0.253</v>
      </c>
      <c r="D833" s="484" t="inlineStr">
        <is>
          <t>Santerno</t>
        </is>
      </c>
      <c r="E833" s="484">
        <f>IFERROR(IF(H833="BC",Tabella118[[#This Row],[composizione concatenata]],IF(H833="C",Tabella118[[#This Row],[composizione concatenata]],VLOOKUP(I833,$K$2:$O$7,5,FALSE))),+Tabella118[[#This Row],[composizione concatenata]])</f>
        <v/>
      </c>
      <c r="F833" s="943">
        <f>+_xlfn.IFNA(VLOOKUP(Tabella118[[#This Row],[Composizione alternativa per digitale]],Tabella118[[composizione concatenata]:[Euro/Mq]],2,FALSE),VLOOKUP(H833,digitale[[ONDA]:[Fornitore]],3,FALSE))</f>
        <v/>
      </c>
      <c r="G833" s="484" t="n"/>
      <c r="H833" s="484">
        <f>IF(MID(A833, FIND("/", A833, FIND("/", A833) + 1) + 1, 2)="A","C",MID(A833, FIND("/", A833, FIND("/", A833) + 1) + 1, 2))</f>
        <v/>
      </c>
      <c r="I833" s="486">
        <f>TRIM(H833)</f>
        <v/>
      </c>
    </row>
    <row r="834" ht="15" customHeight="1">
      <c r="A834" s="491" t="inlineStr">
        <is>
          <t>TbM/34/f + ACC.</t>
        </is>
      </c>
      <c r="B834" s="484">
        <f>+_xlfn.CONCAT(Tabella118[[#This Row],[Composizione]], " - ", Tabella118[[#This Row],[Fornitore]])</f>
        <v/>
      </c>
      <c r="C834" s="943" t="n">
        <v>0.308</v>
      </c>
      <c r="D834" s="484" t="inlineStr">
        <is>
          <t>Santerno</t>
        </is>
      </c>
      <c r="E834" s="484">
        <f>IFERROR(IF(H834="BC",Tabella118[[#This Row],[composizione concatenata]],IF(H834="C",Tabella118[[#This Row],[composizione concatenata]],VLOOKUP(I834,$K$2:$O$7,5,FALSE))),+Tabella118[[#This Row],[composizione concatenata]])</f>
        <v/>
      </c>
      <c r="F834" s="943">
        <f>+_xlfn.IFNA(VLOOKUP(Tabella118[[#This Row],[Composizione alternativa per digitale]],Tabella118[[composizione concatenata]:[Euro/Mq]],2,FALSE),VLOOKUP(H834,digitale[[ONDA]:[Fornitore]],3,FALSE))</f>
        <v/>
      </c>
      <c r="G834" s="484" t="n"/>
      <c r="H834" s="484">
        <f>IF(MID(A834, FIND("/", A834, FIND("/", A834) + 1) + 1, 2)="A","C",MID(A834, FIND("/", A834, FIND("/", A834) + 1) + 1, 2))</f>
        <v/>
      </c>
      <c r="I834" s="486">
        <f>TRIM(H834)</f>
        <v/>
      </c>
    </row>
    <row r="835" ht="15" customHeight="1">
      <c r="A835" s="491" t="inlineStr">
        <is>
          <t>TbM/36/b</t>
        </is>
      </c>
      <c r="B835" s="484">
        <f>+_xlfn.CONCAT(Tabella118[[#This Row],[Composizione]], " - ", Tabella118[[#This Row],[Fornitore]])</f>
        <v/>
      </c>
      <c r="C835" s="943" t="n">
        <v>0.265</v>
      </c>
      <c r="D835" s="484" t="inlineStr">
        <is>
          <t>Santerno</t>
        </is>
      </c>
      <c r="E835" s="484">
        <f>IFERROR(IF(H835="BC",Tabella118[[#This Row],[composizione concatenata]],IF(H835="C",Tabella118[[#This Row],[composizione concatenata]],VLOOKUP(I835,$K$2:$O$7,5,FALSE))),+Tabella118[[#This Row],[composizione concatenata]])</f>
        <v/>
      </c>
      <c r="F835" s="943">
        <f>+_xlfn.IFNA(VLOOKUP(Tabella118[[#This Row],[Composizione alternativa per digitale]],Tabella118[[composizione concatenata]:[Euro/Mq]],2,FALSE),VLOOKUP(H835,digitale[[ONDA]:[Fornitore]],3,FALSE))</f>
        <v/>
      </c>
      <c r="G835" s="484" t="n"/>
      <c r="H835" s="484">
        <f>IF(MID(A835, FIND("/", A835, FIND("/", A835) + 1) + 1, 2)="A","C",MID(A835, FIND("/", A835, FIND("/", A835) + 1) + 1, 2))</f>
        <v/>
      </c>
      <c r="I835" s="486">
        <f>TRIM(H835)</f>
        <v/>
      </c>
    </row>
    <row r="836" ht="15" customHeight="1">
      <c r="A836" s="490" t="inlineStr">
        <is>
          <t>TbM/36/b</t>
        </is>
      </c>
      <c r="B836" s="484">
        <f>+_xlfn.CONCAT(Tabella118[[#This Row],[Composizione]], " - ", Tabella118[[#This Row],[Fornitore]])</f>
        <v/>
      </c>
      <c r="C836" s="943" t="n">
        <v>0.23</v>
      </c>
      <c r="D836" s="484" t="inlineStr">
        <is>
          <t>Italbox</t>
        </is>
      </c>
      <c r="E836" s="484">
        <f>IFERROR(IF(H836="BC",Tabella118[[#This Row],[composizione concatenata]],IF(H836="C",Tabella118[[#This Row],[composizione concatenata]],VLOOKUP(I836,$K$2:$O$7,5,FALSE))),+Tabella118[[#This Row],[composizione concatenata]])</f>
        <v/>
      </c>
      <c r="F836" s="944">
        <f>+_xlfn.IFNA(VLOOKUP(Tabella118[[#This Row],[Composizione alternativa per digitale]],Tabella118[[composizione concatenata]:[Euro/Mq]],2,FALSE),VLOOKUP(H836,digitale[[ONDA]:[Fornitore]],3,FALSE))</f>
        <v/>
      </c>
      <c r="G836" s="484" t="n"/>
      <c r="H836" s="484">
        <f>IF(MID(A836, FIND("/", A836, FIND("/", A836) + 1) + 1, 2)="A","C",MID(A836, FIND("/", A836, FIND("/", A836) + 1) + 1, 2))</f>
        <v/>
      </c>
      <c r="I836" s="486">
        <f>TRIM(H836)</f>
        <v/>
      </c>
    </row>
    <row r="837" ht="15" customHeight="1">
      <c r="A837" s="491" t="inlineStr">
        <is>
          <t>TbM/36/b + ACC.</t>
        </is>
      </c>
      <c r="B837" s="484">
        <f>+_xlfn.CONCAT(Tabella118[[#This Row],[Composizione]], " - ", Tabella118[[#This Row],[Fornitore]])</f>
        <v/>
      </c>
      <c r="C837" s="943" t="n">
        <v>0.32</v>
      </c>
      <c r="D837" s="484" t="inlineStr">
        <is>
          <t>Santerno</t>
        </is>
      </c>
      <c r="E837" s="484">
        <f>IFERROR(IF(H837="BC",Tabella118[[#This Row],[composizione concatenata]],IF(H837="C",Tabella118[[#This Row],[composizione concatenata]],VLOOKUP(I837,$K$2:$O$7,5,FALSE))),+Tabella118[[#This Row],[composizione concatenata]])</f>
        <v/>
      </c>
      <c r="F837" s="943">
        <f>+_xlfn.IFNA(VLOOKUP(Tabella118[[#This Row],[Composizione alternativa per digitale]],Tabella118[[composizione concatenata]:[Euro/Mq]],2,FALSE),VLOOKUP(H837,digitale[[ONDA]:[Fornitore]],3,FALSE))</f>
        <v/>
      </c>
      <c r="H837" s="484">
        <f>IF(MID(A837, FIND("/", A837, FIND("/", A837) + 1) + 1, 2)="A","C",MID(A837, FIND("/", A837, FIND("/", A837) + 1) + 1, 2))</f>
        <v/>
      </c>
      <c r="I837" s="486">
        <f>TRIM(H837)</f>
        <v/>
      </c>
    </row>
    <row r="838" ht="15" customHeight="1">
      <c r="A838" s="491" t="inlineStr">
        <is>
          <t>TbM/36/e</t>
        </is>
      </c>
      <c r="B838" s="484">
        <f>+_xlfn.CONCAT(Tabella118[[#This Row],[Composizione]], " - ", Tabella118[[#This Row],[Fornitore]])</f>
        <v/>
      </c>
      <c r="C838" s="943" t="n">
        <v>0.245</v>
      </c>
      <c r="D838" s="484" t="inlineStr">
        <is>
          <t>Santerno</t>
        </is>
      </c>
      <c r="E838" s="484">
        <f>IFERROR(IF(H838="BC",Tabella118[[#This Row],[composizione concatenata]],IF(H838="C",Tabella118[[#This Row],[composizione concatenata]],VLOOKUP(I838,$K$2:$O$7,5,FALSE))),+Tabella118[[#This Row],[composizione concatenata]])</f>
        <v/>
      </c>
      <c r="F838" s="943">
        <f>+_xlfn.IFNA(VLOOKUP(Tabella118[[#This Row],[Composizione alternativa per digitale]],Tabella118[[composizione concatenata]:[Euro/Mq]],2,FALSE),VLOOKUP(H838,digitale[[ONDA]:[Fornitore]],3,FALSE))</f>
        <v/>
      </c>
      <c r="H838" s="484">
        <f>IF(MID(A838, FIND("/", A838, FIND("/", A838) + 1) + 1, 2)="A","C",MID(A838, FIND("/", A838, FIND("/", A838) + 1) + 1, 2))</f>
        <v/>
      </c>
      <c r="I838" s="486">
        <f>TRIM(H838)</f>
        <v/>
      </c>
    </row>
    <row r="839" ht="15" customHeight="1">
      <c r="A839" s="490" t="inlineStr">
        <is>
          <t>TbM/36/e</t>
        </is>
      </c>
      <c r="B839" s="484">
        <f>+_xlfn.CONCAT(Tabella118[[#This Row],[Composizione]], " - ", Tabella118[[#This Row],[Fornitore]])</f>
        <v/>
      </c>
      <c r="C839" s="943" t="n">
        <v>0.22</v>
      </c>
      <c r="D839" s="484" t="inlineStr">
        <is>
          <t>Italbox</t>
        </is>
      </c>
      <c r="E839" s="484">
        <f>IFERROR(IF(H839="BC",Tabella118[[#This Row],[composizione concatenata]],IF(H839="C",Tabella118[[#This Row],[composizione concatenata]],VLOOKUP(I839,$K$2:$O$7,5,FALSE))),+Tabella118[[#This Row],[composizione concatenata]])</f>
        <v/>
      </c>
      <c r="F839" s="944">
        <f>+_xlfn.IFNA(VLOOKUP(Tabella118[[#This Row],[Composizione alternativa per digitale]],Tabella118[[composizione concatenata]:[Euro/Mq]],2,FALSE),VLOOKUP(H839,digitale[[ONDA]:[Fornitore]],3,FALSE))</f>
        <v/>
      </c>
      <c r="H839" s="484">
        <f>IF(MID(A839, FIND("/", A839, FIND("/", A839) + 1) + 1, 2)="A","C",MID(A839, FIND("/", A839, FIND("/", A839) + 1) + 1, 2))</f>
        <v/>
      </c>
      <c r="I839" s="486">
        <f>TRIM(H839)</f>
        <v/>
      </c>
    </row>
    <row r="840" ht="15" customHeight="1">
      <c r="A840" s="491" t="inlineStr">
        <is>
          <t>TbM/36/e + ACC.</t>
        </is>
      </c>
      <c r="B840" s="484">
        <f>+_xlfn.CONCAT(Tabella118[[#This Row],[Composizione]], " - ", Tabella118[[#This Row],[Fornitore]])</f>
        <v/>
      </c>
      <c r="C840" s="943" t="n">
        <v>0.3</v>
      </c>
      <c r="D840" s="484" t="inlineStr">
        <is>
          <t>Santerno</t>
        </is>
      </c>
      <c r="E840" s="484">
        <f>IFERROR(IF(H840="BC",Tabella118[[#This Row],[composizione concatenata]],IF(H840="C",Tabella118[[#This Row],[composizione concatenata]],VLOOKUP(I840,$K$2:$O$7,5,FALSE))),+Tabella118[[#This Row],[composizione concatenata]])</f>
        <v/>
      </c>
      <c r="F840" s="943">
        <f>+_xlfn.IFNA(VLOOKUP(Tabella118[[#This Row],[Composizione alternativa per digitale]],Tabella118[[composizione concatenata]:[Euro/Mq]],2,FALSE),VLOOKUP(H840,digitale[[ONDA]:[Fornitore]],3,FALSE))</f>
        <v/>
      </c>
      <c r="H840" s="484">
        <f>IF(MID(A840, FIND("/", A840, FIND("/", A840) + 1) + 1, 2)="A","C",MID(A840, FIND("/", A840, FIND("/", A840) + 1) + 1, 2))</f>
        <v/>
      </c>
      <c r="I840" s="486">
        <f>TRIM(H840)</f>
        <v/>
      </c>
    </row>
    <row r="841" ht="15" customHeight="1">
      <c r="A841" s="491" t="inlineStr">
        <is>
          <t>TbMFM/3424/Be</t>
        </is>
      </c>
      <c r="B841" s="484">
        <f>+_xlfn.CONCAT(Tabella118[[#This Row],[Composizione]], " - ", Tabella118[[#This Row],[Fornitore]])</f>
        <v/>
      </c>
      <c r="C841" s="943" t="n">
        <v>0.433</v>
      </c>
      <c r="D841" s="484" t="inlineStr">
        <is>
          <t>Santerno</t>
        </is>
      </c>
      <c r="E841" s="484">
        <f>IFERROR(IF(H841="BC",Tabella118[[#This Row],[composizione concatenata]],IF(H841="C",Tabella118[[#This Row],[composizione concatenata]],VLOOKUP(I841,$K$2:$O$7,5,FALSE))),+Tabella118[[#This Row],[composizione concatenata]])</f>
        <v/>
      </c>
      <c r="F841" s="943">
        <f>+_xlfn.IFNA(VLOOKUP(Tabella118[[#This Row],[Composizione alternativa per digitale]],Tabella118[[composizione concatenata]:[Euro/Mq]],2,FALSE),VLOOKUP(H841,digitale[[ONDA]:[Fornitore]],3,FALSE))</f>
        <v/>
      </c>
      <c r="H841" s="484">
        <f>IF(MID(A841, FIND("/", A841, FIND("/", A841) + 1) + 1, 2)="A","C",MID(A841, FIND("/", A841, FIND("/", A841) + 1) + 1, 2))</f>
        <v/>
      </c>
      <c r="I841" s="486">
        <f>TRIM(H841)</f>
        <v/>
      </c>
    </row>
    <row r="842" ht="15" customHeight="1">
      <c r="A842" s="491" t="inlineStr">
        <is>
          <t>TbMFM/3424/Be + ACC.</t>
        </is>
      </c>
      <c r="B842" s="484">
        <f>+_xlfn.CONCAT(Tabella118[[#This Row],[Composizione]], " - ", Tabella118[[#This Row],[Fornitore]])</f>
        <v/>
      </c>
      <c r="C842" s="943" t="n">
        <v>0.498</v>
      </c>
      <c r="D842" s="484" t="inlineStr">
        <is>
          <t>Santerno</t>
        </is>
      </c>
      <c r="E842" s="484">
        <f>IFERROR(IF(H842="BC",Tabella118[[#This Row],[composizione concatenata]],IF(H842="C",Tabella118[[#This Row],[composizione concatenata]],VLOOKUP(I842,$K$2:$O$7,5,FALSE))),+Tabella118[[#This Row],[composizione concatenata]])</f>
        <v/>
      </c>
      <c r="F842" s="943">
        <f>+_xlfn.IFNA(VLOOKUP(Tabella118[[#This Row],[Composizione alternativa per digitale]],Tabella118[[composizione concatenata]:[Euro/Mq]],2,FALSE),VLOOKUP(H842,digitale[[ONDA]:[Fornitore]],3,FALSE))</f>
        <v/>
      </c>
      <c r="H842" s="484">
        <f>IF(MID(A842, FIND("/", A842, FIND("/", A842) + 1) + 1, 2)="A","C",MID(A842, FIND("/", A842, FIND("/", A842) + 1) + 1, 2))</f>
        <v/>
      </c>
      <c r="I842" s="486">
        <f>TRIM(H842)</f>
        <v/>
      </c>
    </row>
    <row r="843" ht="15" customHeight="1">
      <c r="A843" s="491" t="inlineStr">
        <is>
          <t>TbMFM/3626/Be</t>
        </is>
      </c>
      <c r="B843" s="484">
        <f>+_xlfn.CONCAT(Tabella118[[#This Row],[Composizione]], " - ", Tabella118[[#This Row],[Fornitore]])</f>
        <v/>
      </c>
      <c r="C843" s="943" t="n">
        <v>0.456</v>
      </c>
      <c r="D843" s="484" t="inlineStr">
        <is>
          <t>Santerno</t>
        </is>
      </c>
      <c r="E843" s="484">
        <f>IFERROR(IF(H843="BC",Tabella118[[#This Row],[composizione concatenata]],IF(H843="C",Tabella118[[#This Row],[composizione concatenata]],VLOOKUP(I843,$K$2:$O$7,5,FALSE))),+Tabella118[[#This Row],[composizione concatenata]])</f>
        <v/>
      </c>
      <c r="F843" s="943">
        <f>+_xlfn.IFNA(VLOOKUP(Tabella118[[#This Row],[Composizione alternativa per digitale]],Tabella118[[composizione concatenata]:[Euro/Mq]],2,FALSE),VLOOKUP(H843,digitale[[ONDA]:[Fornitore]],3,FALSE))</f>
        <v/>
      </c>
      <c r="H843" s="484">
        <f>IF(MID(A843, FIND("/", A843, FIND("/", A843) + 1) + 1, 2)="A","C",MID(A843, FIND("/", A843, FIND("/", A843) + 1) + 1, 2))</f>
        <v/>
      </c>
      <c r="I843" s="486">
        <f>TRIM(H843)</f>
        <v/>
      </c>
    </row>
    <row r="844" ht="15" customHeight="1">
      <c r="A844" s="491" t="inlineStr">
        <is>
          <t>TbMFM/3626/Be + ACC.</t>
        </is>
      </c>
      <c r="B844" s="484">
        <f>+_xlfn.CONCAT(Tabella118[[#This Row],[Composizione]], " - ", Tabella118[[#This Row],[Fornitore]])</f>
        <v/>
      </c>
      <c r="C844" s="943" t="n">
        <v>0.521</v>
      </c>
      <c r="D844" s="484" t="inlineStr">
        <is>
          <t>Santerno</t>
        </is>
      </c>
      <c r="E844" s="484">
        <f>IFERROR(IF(H844="BC",Tabella118[[#This Row],[composizione concatenata]],IF(H844="C",Tabella118[[#This Row],[composizione concatenata]],VLOOKUP(I844,$K$2:$O$7,5,FALSE))),+Tabella118[[#This Row],[composizione concatenata]])</f>
        <v/>
      </c>
      <c r="F844" s="943">
        <f>+_xlfn.IFNA(VLOOKUP(Tabella118[[#This Row],[Composizione alternativa per digitale]],Tabella118[[composizione concatenata]:[Euro/Mq]],2,FALSE),VLOOKUP(H844,digitale[[ONDA]:[Fornitore]],3,FALSE))</f>
        <v/>
      </c>
      <c r="H844" s="484">
        <f>IF(MID(A844, FIND("/", A844, FIND("/", A844) + 1) + 1, 2)="A","C",MID(A844, FIND("/", A844, FIND("/", A844) + 1) + 1, 2))</f>
        <v/>
      </c>
      <c r="I844" s="486">
        <f>TRIM(H844)</f>
        <v/>
      </c>
    </row>
    <row r="845" ht="15" customHeight="1">
      <c r="A845" s="484" t="inlineStr">
        <is>
          <t>TbMFMT/34242/BC</t>
        </is>
      </c>
      <c r="B845" s="484">
        <f>+_xlfn.CONCAT(Tabella118[[#This Row],[Composizione]], " - ", Tabella118[[#This Row],[Fornitore]])</f>
        <v/>
      </c>
      <c r="C845" s="943" t="n">
        <v>0.428</v>
      </c>
      <c r="D845" s="484" t="inlineStr">
        <is>
          <t>Giusti</t>
        </is>
      </c>
      <c r="E845" s="484">
        <f>IFERROR(IF(H845="BC",Tabella118[[#This Row],[composizione concatenata]],IF(H845="C",Tabella118[[#This Row],[composizione concatenata]],VLOOKUP(I845,$K$2:$O$7,5,FALSE))),+Tabella118[[#This Row],[composizione concatenata]])</f>
        <v/>
      </c>
      <c r="F845" s="944">
        <f>+_xlfn.IFNA(VLOOKUP(Tabella118[[#This Row],[Composizione alternativa per digitale]],Tabella118[[composizione concatenata]:[Euro/Mq]],2,FALSE),VLOOKUP(H845,digitale[[ONDA]:[Fornitore]],3,FALSE))</f>
        <v/>
      </c>
      <c r="H845" s="484">
        <f>IF(MID(A845, FIND("/", A845, FIND("/", A845) + 1) + 1, 2)="A","C",MID(A845, FIND("/", A845, FIND("/", A845) + 1) + 1, 2))</f>
        <v/>
      </c>
      <c r="I845" s="486">
        <f>TRIM(H845)</f>
        <v/>
      </c>
    </row>
    <row r="846" ht="15" customHeight="1">
      <c r="A846" s="491" t="inlineStr">
        <is>
          <t>TbMFMT/34242/EB</t>
        </is>
      </c>
      <c r="B846" s="484">
        <f>+_xlfn.CONCAT(Tabella118[[#This Row],[Composizione]], " - ", Tabella118[[#This Row],[Fornitore]])</f>
        <v/>
      </c>
      <c r="C846" s="943" t="n">
        <v>0.481</v>
      </c>
      <c r="D846" s="484" t="inlineStr">
        <is>
          <t>Santerno</t>
        </is>
      </c>
      <c r="E846" s="484">
        <f>IFERROR(IF(H846="BC",Tabella118[[#This Row],[composizione concatenata]],IF(H846="C",Tabella118[[#This Row],[composizione concatenata]],VLOOKUP(I846,$K$2:$O$7,5,FALSE))),+Tabella118[[#This Row],[composizione concatenata]])</f>
        <v/>
      </c>
      <c r="F846" s="943">
        <f>+_xlfn.IFNA(VLOOKUP(Tabella118[[#This Row],[Composizione alternativa per digitale]],Tabella118[[composizione concatenata]:[Euro/Mq]],2,FALSE),VLOOKUP(H846,digitale[[ONDA]:[Fornitore]],3,FALSE))</f>
        <v/>
      </c>
      <c r="H846" s="484">
        <f>IF(MID(A846, FIND("/", A846, FIND("/", A846) + 1) + 1, 2)="A","C",MID(A846, FIND("/", A846, FIND("/", A846) + 1) + 1, 2))</f>
        <v/>
      </c>
      <c r="I846" s="486">
        <f>TRIM(H846)</f>
        <v/>
      </c>
    </row>
    <row r="847" ht="15" customHeight="1">
      <c r="A847" s="484" t="inlineStr">
        <is>
          <t>TbMFMT/34242/EB</t>
        </is>
      </c>
      <c r="B847" s="484">
        <f>+_xlfn.CONCAT(Tabella118[[#This Row],[Composizione]], " - ", Tabella118[[#This Row],[Fornitore]])</f>
        <v/>
      </c>
      <c r="C847" s="943" t="n">
        <v>0.419</v>
      </c>
      <c r="D847" s="484" t="inlineStr">
        <is>
          <t>Giusti</t>
        </is>
      </c>
      <c r="E847" s="484">
        <f>IFERROR(IF(H847="BC",Tabella118[[#This Row],[composizione concatenata]],IF(H847="C",Tabella118[[#This Row],[composizione concatenata]],VLOOKUP(I847,$K$2:$O$7,5,FALSE))),+Tabella118[[#This Row],[composizione concatenata]])</f>
        <v/>
      </c>
      <c r="F847" s="944">
        <f>+_xlfn.IFNA(VLOOKUP(Tabella118[[#This Row],[Composizione alternativa per digitale]],Tabella118[[composizione concatenata]:[Euro/Mq]],2,FALSE),VLOOKUP(H847,digitale[[ONDA]:[Fornitore]],3,FALSE))</f>
        <v/>
      </c>
      <c r="H847" s="484">
        <f>IF(MID(A847, FIND("/", A847, FIND("/", A847) + 1) + 1, 2)="A","C",MID(A847, FIND("/", A847, FIND("/", A847) + 1) + 1, 2))</f>
        <v/>
      </c>
      <c r="I847" s="486">
        <f>TRIM(H847)</f>
        <v/>
      </c>
    </row>
    <row r="848" ht="15" customHeight="1">
      <c r="A848" s="491" t="inlineStr">
        <is>
          <t>TbMFMT/34242/EB + ACC.</t>
        </is>
      </c>
      <c r="B848" s="484">
        <f>+_xlfn.CONCAT(Tabella118[[#This Row],[Composizione]], " - ", Tabella118[[#This Row],[Fornitore]])</f>
        <v/>
      </c>
      <c r="C848" s="943" t="n">
        <v>0.551</v>
      </c>
      <c r="D848" s="484" t="inlineStr">
        <is>
          <t>Santerno</t>
        </is>
      </c>
      <c r="E848" s="484">
        <f>IFERROR(IF(H848="BC",Tabella118[[#This Row],[composizione concatenata]],IF(H848="C",Tabella118[[#This Row],[composizione concatenata]],VLOOKUP(I848,$K$2:$O$7,5,FALSE))),+Tabella118[[#This Row],[composizione concatenata]])</f>
        <v/>
      </c>
      <c r="F848" s="943">
        <f>+_xlfn.IFNA(VLOOKUP(Tabella118[[#This Row],[Composizione alternativa per digitale]],Tabella118[[composizione concatenata]:[Euro/Mq]],2,FALSE),VLOOKUP(H848,digitale[[ONDA]:[Fornitore]],3,FALSE))</f>
        <v/>
      </c>
      <c r="H848" s="484">
        <f>IF(MID(A848, FIND("/", A848, FIND("/", A848) + 1) + 1, 2)="A","C",MID(A848, FIND("/", A848, FIND("/", A848) + 1) + 1, 2))</f>
        <v/>
      </c>
      <c r="I848" s="486">
        <f>TRIM(H848)</f>
        <v/>
      </c>
    </row>
    <row r="849" ht="15" customHeight="1">
      <c r="A849" s="484" t="inlineStr">
        <is>
          <t>TbMFMT/36262/EB</t>
        </is>
      </c>
      <c r="B849" s="484">
        <f>+_xlfn.CONCAT(Tabella118[[#This Row],[Composizione]], " - ", Tabella118[[#This Row],[Fornitore]])</f>
        <v/>
      </c>
      <c r="C849" s="943" t="n">
        <v>0.454</v>
      </c>
      <c r="D849" s="484" t="inlineStr">
        <is>
          <t>Giusti</t>
        </is>
      </c>
      <c r="E849" s="484">
        <f>IFERROR(IF(H849="BC",Tabella118[[#This Row],[composizione concatenata]],IF(H849="C",Tabella118[[#This Row],[composizione concatenata]],VLOOKUP(I849,$K$2:$O$7,5,FALSE))),+Tabella118[[#This Row],[composizione concatenata]])</f>
        <v/>
      </c>
      <c r="F849" s="944">
        <f>+_xlfn.IFNA(VLOOKUP(Tabella118[[#This Row],[Composizione alternativa per digitale]],Tabella118[[composizione concatenata]:[Euro/Mq]],2,FALSE),VLOOKUP(H849,digitale[[ONDA]:[Fornitore]],3,FALSE))</f>
        <v/>
      </c>
      <c r="H849" s="484">
        <f>IF(MID(A849, FIND("/", A849, FIND("/", A849) + 1) + 1, 2)="A","C",MID(A849, FIND("/", A849, FIND("/", A849) + 1) + 1, 2))</f>
        <v/>
      </c>
      <c r="I849" s="486">
        <f>TRIM(H849)</f>
        <v/>
      </c>
    </row>
    <row r="850" ht="15" customHeight="1">
      <c r="A850" s="490" t="inlineStr">
        <is>
          <t>TbMT/342/B</t>
        </is>
      </c>
      <c r="B850" s="484">
        <f>+_xlfn.CONCAT(Tabella118[[#This Row],[Composizione]], " - ", Tabella118[[#This Row],[Fornitore]])</f>
        <v/>
      </c>
      <c r="C850" s="943" t="n">
        <v>0.29</v>
      </c>
      <c r="D850" s="484" t="inlineStr">
        <is>
          <t>Italbox</t>
        </is>
      </c>
      <c r="E850" s="484">
        <f>IFERROR(IF(H850="BC",Tabella118[[#This Row],[composizione concatenata]],IF(H850="C",Tabella118[[#This Row],[composizione concatenata]],VLOOKUP(I850,$K$2:$O$7,5,FALSE))),+Tabella118[[#This Row],[composizione concatenata]])</f>
        <v/>
      </c>
      <c r="F850" s="944">
        <f>+_xlfn.IFNA(VLOOKUP(Tabella118[[#This Row],[Composizione alternativa per digitale]],Tabella118[[composizione concatenata]:[Euro/Mq]],2,FALSE),VLOOKUP(H850,digitale[[ONDA]:[Fornitore]],3,FALSE))</f>
        <v/>
      </c>
      <c r="H850" s="484">
        <f>IF(MID(A850, FIND("/", A850, FIND("/", A850) + 1) + 1, 2)="A","C",MID(A850, FIND("/", A850, FIND("/", A850) + 1) + 1, 2))</f>
        <v/>
      </c>
      <c r="I850" s="486">
        <f>TRIM(H850)</f>
        <v/>
      </c>
    </row>
    <row r="851" ht="15" customHeight="1">
      <c r="A851" s="484" t="inlineStr">
        <is>
          <t>TbMT/342/B</t>
        </is>
      </c>
      <c r="B851" s="484">
        <f>+_xlfn.CONCAT(Tabella118[[#This Row],[Composizione]], " - ", Tabella118[[#This Row],[Fornitore]])</f>
        <v/>
      </c>
      <c r="C851" s="943" t="n">
        <v>0.27</v>
      </c>
      <c r="D851" s="484" t="inlineStr">
        <is>
          <t>Giusti</t>
        </is>
      </c>
      <c r="E851" s="484">
        <f>IFERROR(IF(H851="BC",Tabella118[[#This Row],[composizione concatenata]],IF(H851="C",Tabella118[[#This Row],[composizione concatenata]],VLOOKUP(I851,$K$2:$O$7,5,FALSE))),+Tabella118[[#This Row],[composizione concatenata]])</f>
        <v/>
      </c>
      <c r="F851" s="944">
        <f>+_xlfn.IFNA(VLOOKUP(Tabella118[[#This Row],[Composizione alternativa per digitale]],Tabella118[[composizione concatenata]:[Euro/Mq]],2,FALSE),VLOOKUP(H851,digitale[[ONDA]:[Fornitore]],3,FALSE))</f>
        <v/>
      </c>
      <c r="H851" s="484">
        <f>IF(MID(A851, FIND("/", A851, FIND("/", A851) + 1) + 1, 2)="A","C",MID(A851, FIND("/", A851, FIND("/", A851) + 1) + 1, 2))</f>
        <v/>
      </c>
      <c r="I851" s="486">
        <f>TRIM(H851)</f>
        <v/>
      </c>
    </row>
    <row r="852" ht="15" customHeight="1">
      <c r="A852" s="483" t="inlineStr">
        <is>
          <t>TbMT/342/B</t>
        </is>
      </c>
      <c r="B852" s="484">
        <f>+_xlfn.CONCAT(Tabella118[[#This Row],[Composizione]], " - ", Tabella118[[#This Row],[Fornitore]])</f>
        <v/>
      </c>
      <c r="C852" s="950" t="n">
        <v>0.256</v>
      </c>
      <c r="D852" s="484" t="inlineStr">
        <is>
          <t>Cartstrong</t>
        </is>
      </c>
      <c r="E852" s="484">
        <f>IFERROR(IF(H852="BC",Tabella118[[#This Row],[composizione concatenata]],IF(H852="C",Tabella118[[#This Row],[composizione concatenata]],VLOOKUP(I852,$K$2:$O$7,5,FALSE))),+Tabella118[[#This Row],[composizione concatenata]])</f>
        <v/>
      </c>
      <c r="F852" s="943">
        <f>+_xlfn.IFNA(VLOOKUP(Tabella118[[#This Row],[Composizione alternativa per digitale]],Tabella118[[composizione concatenata]:[Euro/Mq]],2,FALSE),VLOOKUP(H852,digitale[[ONDA]:[Fornitore]],3,FALSE))</f>
        <v/>
      </c>
      <c r="H852" s="484">
        <f>IF(MID(A852, FIND("/", A852, FIND("/", A852) + 1) + 1, 2)="A","C",MID(A852, FIND("/", A852, FIND("/", A852) + 1) + 1, 2))</f>
        <v/>
      </c>
      <c r="I852" s="486">
        <f>TRIM(H852)</f>
        <v/>
      </c>
    </row>
    <row r="853" ht="15" customHeight="1">
      <c r="A853" s="484" t="inlineStr">
        <is>
          <t>TbMT/342/B</t>
        </is>
      </c>
      <c r="B853" s="484">
        <f>+_xlfn.CONCAT(Tabella118[[#This Row],[Composizione]], " - ", Tabella118[[#This Row],[Fornitore]])</f>
        <v/>
      </c>
      <c r="C853" s="943" t="n">
        <v>0.241</v>
      </c>
      <c r="D853" s="484" t="inlineStr">
        <is>
          <t>FEPA</t>
        </is>
      </c>
      <c r="E853" s="484">
        <f>IFERROR(IF(H853="BC",Tabella118[[#This Row],[composizione concatenata]],IF(H853="C",Tabella118[[#This Row],[composizione concatenata]],VLOOKUP(I853,$K$2:$O$7,5,FALSE))),+Tabella118[[#This Row],[composizione concatenata]])</f>
        <v/>
      </c>
      <c r="F853" s="944">
        <f>+_xlfn.IFNA(VLOOKUP(Tabella118[[#This Row],[Composizione alternativa per digitale]],Tabella118[[composizione concatenata]:[Euro/Mq]],2,FALSE),VLOOKUP(H853,digitale[[ONDA]:[Fornitore]],3,FALSE))</f>
        <v/>
      </c>
      <c r="H853" s="484">
        <f>IF(MID(A853, FIND("/", A853, FIND("/", A853) + 1) + 1, 2)="A","C",MID(A853, FIND("/", A853, FIND("/", A853) + 1) + 1, 2))</f>
        <v/>
      </c>
      <c r="I853" s="486">
        <f>TRIM(H853)</f>
        <v/>
      </c>
    </row>
    <row r="854" ht="15" customHeight="1">
      <c r="A854" s="484" t="inlineStr">
        <is>
          <t>TbMT/342/C</t>
        </is>
      </c>
      <c r="B854" s="484">
        <f>+_xlfn.CONCAT(Tabella118[[#This Row],[Composizione]], " - ", Tabella118[[#This Row],[Fornitore]])</f>
        <v/>
      </c>
      <c r="C854" s="943" t="n">
        <v>0.275</v>
      </c>
      <c r="D854" s="484" t="inlineStr">
        <is>
          <t>Giusti</t>
        </is>
      </c>
      <c r="E854" s="484">
        <f>IFERROR(IF(H854="BC",Tabella118[[#This Row],[composizione concatenata]],IF(H854="C",Tabella118[[#This Row],[composizione concatenata]],VLOOKUP(I854,$K$2:$O$7,5,FALSE))),+Tabella118[[#This Row],[composizione concatenata]])</f>
        <v/>
      </c>
      <c r="F854" s="944">
        <f>+_xlfn.IFNA(VLOOKUP(Tabella118[[#This Row],[Composizione alternativa per digitale]],Tabella118[[composizione concatenata]:[Euro/Mq]],2,FALSE),VLOOKUP(H854,digitale[[ONDA]:[Fornitore]],3,FALSE))</f>
        <v/>
      </c>
      <c r="H854" s="484">
        <f>IF(MID(A854, FIND("/", A854, FIND("/", A854) + 1) + 1, 2)="A","C",MID(A854, FIND("/", A854, FIND("/", A854) + 1) + 1, 2))</f>
        <v/>
      </c>
      <c r="I854" s="486">
        <f>TRIM(H854)</f>
        <v/>
      </c>
    </row>
    <row r="855" ht="15" customHeight="1">
      <c r="A855" s="491" t="inlineStr">
        <is>
          <t>TbMT/342/E</t>
        </is>
      </c>
      <c r="B855" s="484">
        <f>+_xlfn.CONCAT(Tabella118[[#This Row],[Composizione]], " - ", Tabella118[[#This Row],[Fornitore]])</f>
        <v/>
      </c>
      <c r="C855" s="943" t="n">
        <v>0.307</v>
      </c>
      <c r="D855" s="484" t="inlineStr">
        <is>
          <t>Santerno</t>
        </is>
      </c>
      <c r="E855" s="484">
        <f>IFERROR(IF(H855="BC",Tabella118[[#This Row],[composizione concatenata]],IF(H855="C",Tabella118[[#This Row],[composizione concatenata]],VLOOKUP(I855,$K$2:$O$7,5,FALSE))),+Tabella118[[#This Row],[composizione concatenata]])</f>
        <v/>
      </c>
      <c r="F855" s="943">
        <f>+_xlfn.IFNA(VLOOKUP(Tabella118[[#This Row],[Composizione alternativa per digitale]],Tabella118[[composizione concatenata]:[Euro/Mq]],2,FALSE),VLOOKUP(H855,digitale[[ONDA]:[Fornitore]],3,FALSE))</f>
        <v/>
      </c>
      <c r="H855" s="484">
        <f>IF(MID(A855, FIND("/", A855, FIND("/", A855) + 1) + 1, 2)="A","C",MID(A855, FIND("/", A855, FIND("/", A855) + 1) + 1, 2))</f>
        <v/>
      </c>
      <c r="I855" s="486">
        <f>TRIM(H855)</f>
        <v/>
      </c>
    </row>
    <row r="856" ht="15" customHeight="1">
      <c r="A856" s="490" t="inlineStr">
        <is>
          <t>TbMT/342/E</t>
        </is>
      </c>
      <c r="B856" s="484">
        <f>+_xlfn.CONCAT(Tabella118[[#This Row],[Composizione]], " - ", Tabella118[[#This Row],[Fornitore]])</f>
        <v/>
      </c>
      <c r="C856" s="943" t="n">
        <v>0.29</v>
      </c>
      <c r="D856" s="484" t="inlineStr">
        <is>
          <t>Italbox</t>
        </is>
      </c>
      <c r="E856" s="484">
        <f>IFERROR(IF(H856="BC",Tabella118[[#This Row],[composizione concatenata]],IF(H856="C",Tabella118[[#This Row],[composizione concatenata]],VLOOKUP(I856,$K$2:$O$7,5,FALSE))),+Tabella118[[#This Row],[composizione concatenata]])</f>
        <v/>
      </c>
      <c r="F856" s="944">
        <f>+_xlfn.IFNA(VLOOKUP(Tabella118[[#This Row],[Composizione alternativa per digitale]],Tabella118[[composizione concatenata]:[Euro/Mq]],2,FALSE),VLOOKUP(H856,digitale[[ONDA]:[Fornitore]],3,FALSE))</f>
        <v/>
      </c>
      <c r="H856" s="484">
        <f>IF(MID(A856, FIND("/", A856, FIND("/", A856) + 1) + 1, 2)="A","C",MID(A856, FIND("/", A856, FIND("/", A856) + 1) + 1, 2))</f>
        <v/>
      </c>
      <c r="I856" s="486">
        <f>TRIM(H856)</f>
        <v/>
      </c>
    </row>
    <row r="857" ht="15" customHeight="1">
      <c r="A857" s="484" t="inlineStr">
        <is>
          <t>TbMT/342/E</t>
        </is>
      </c>
      <c r="B857" s="484">
        <f>+_xlfn.CONCAT(Tabella118[[#This Row],[Composizione]], " - ", Tabella118[[#This Row],[Fornitore]])</f>
        <v/>
      </c>
      <c r="C857" s="943" t="n">
        <v>0.265</v>
      </c>
      <c r="D857" s="484" t="inlineStr">
        <is>
          <t>Giusti</t>
        </is>
      </c>
      <c r="E857" s="484">
        <f>IFERROR(IF(H857="BC",Tabella118[[#This Row],[composizione concatenata]],IF(H857="C",Tabella118[[#This Row],[composizione concatenata]],VLOOKUP(I857,$K$2:$O$7,5,FALSE))),+Tabella118[[#This Row],[composizione concatenata]])</f>
        <v/>
      </c>
      <c r="F857" s="944">
        <f>+_xlfn.IFNA(VLOOKUP(Tabella118[[#This Row],[Composizione alternativa per digitale]],Tabella118[[composizione concatenata]:[Euro/Mq]],2,FALSE),VLOOKUP(H857,digitale[[ONDA]:[Fornitore]],3,FALSE))</f>
        <v/>
      </c>
      <c r="H857" s="484">
        <f>IF(MID(A857, FIND("/", A857, FIND("/", A857) + 1) + 1, 2)="A","C",MID(A857, FIND("/", A857, FIND("/", A857) + 1) + 1, 2))</f>
        <v/>
      </c>
      <c r="I857" s="486">
        <f>TRIM(H857)</f>
        <v/>
      </c>
    </row>
    <row r="858" ht="15" customHeight="1">
      <c r="A858" s="483" t="inlineStr">
        <is>
          <t>TbMT/342/E</t>
        </is>
      </c>
      <c r="B858" s="484">
        <f>+_xlfn.CONCAT(Tabella118[[#This Row],[Composizione]], " - ", Tabella118[[#This Row],[Fornitore]])</f>
        <v/>
      </c>
      <c r="C858" s="950" t="n">
        <v>0.251</v>
      </c>
      <c r="D858" s="484" t="inlineStr">
        <is>
          <t>Cartstrong</t>
        </is>
      </c>
      <c r="E858" s="484">
        <f>IFERROR(IF(H858="BC",Tabella118[[#This Row],[composizione concatenata]],IF(H858="C",Tabella118[[#This Row],[composizione concatenata]],VLOOKUP(I858,$K$2:$O$7,5,FALSE))),+Tabella118[[#This Row],[composizione concatenata]])</f>
        <v/>
      </c>
      <c r="F858" s="943">
        <f>+_xlfn.IFNA(VLOOKUP(Tabella118[[#This Row],[Composizione alternativa per digitale]],Tabella118[[composizione concatenata]:[Euro/Mq]],2,FALSE),VLOOKUP(H858,digitale[[ONDA]:[Fornitore]],3,FALSE))</f>
        <v/>
      </c>
      <c r="H858" s="484">
        <f>IF(MID(A858, FIND("/", A858, FIND("/", A858) + 1) + 1, 2)="A","C",MID(A858, FIND("/", A858, FIND("/", A858) + 1) + 1, 2))</f>
        <v/>
      </c>
      <c r="I858" s="486">
        <f>TRIM(H858)</f>
        <v/>
      </c>
    </row>
    <row r="859" ht="15" customHeight="1">
      <c r="A859" s="491" t="inlineStr">
        <is>
          <t>TbMT/342/E + ACC.</t>
        </is>
      </c>
      <c r="B859" s="484">
        <f>+_xlfn.CONCAT(Tabella118[[#This Row],[Composizione]], " - ", Tabella118[[#This Row],[Fornitore]])</f>
        <v/>
      </c>
      <c r="C859" s="943" t="n">
        <v>0.367</v>
      </c>
      <c r="D859" s="484" t="inlineStr">
        <is>
          <t>Santerno</t>
        </is>
      </c>
      <c r="E859" s="484">
        <f>IFERROR(IF(H859="BC",Tabella118[[#This Row],[composizione concatenata]],IF(H859="C",Tabella118[[#This Row],[composizione concatenata]],VLOOKUP(I859,$K$2:$O$7,5,FALSE))),+Tabella118[[#This Row],[composizione concatenata]])</f>
        <v/>
      </c>
      <c r="F859" s="943">
        <f>+_xlfn.IFNA(VLOOKUP(Tabella118[[#This Row],[Composizione alternativa per digitale]],Tabella118[[composizione concatenata]:[Euro/Mq]],2,FALSE),VLOOKUP(H859,digitale[[ONDA]:[Fornitore]],3,FALSE))</f>
        <v/>
      </c>
      <c r="H859" s="484">
        <f>IF(MID(A859, FIND("/", A859, FIND("/", A859) + 1) + 1, 2)="A","C",MID(A859, FIND("/", A859, FIND("/", A859) + 1) + 1, 2))</f>
        <v/>
      </c>
      <c r="I859" s="486">
        <f>TRIM(H859)</f>
        <v/>
      </c>
    </row>
    <row r="860" ht="15" customHeight="1">
      <c r="A860" s="484" t="inlineStr">
        <is>
          <t>TbMT/343/B</t>
        </is>
      </c>
      <c r="B860" s="484">
        <f>+_xlfn.CONCAT(Tabella118[[#This Row],[Composizione]], " - ", Tabella118[[#This Row],[Fornitore]])</f>
        <v/>
      </c>
      <c r="C860" s="943" t="n">
        <v>0.25</v>
      </c>
      <c r="D860" s="484" t="inlineStr">
        <is>
          <t>FEPA</t>
        </is>
      </c>
      <c r="E860" s="484">
        <f>IFERROR(IF(H860="BC",Tabella118[[#This Row],[composizione concatenata]],IF(H860="C",Tabella118[[#This Row],[composizione concatenata]],VLOOKUP(I860,$K$2:$O$7,5,FALSE))),+Tabella118[[#This Row],[composizione concatenata]])</f>
        <v/>
      </c>
      <c r="F860" s="944">
        <f>+_xlfn.IFNA(VLOOKUP(Tabella118[[#This Row],[Composizione alternativa per digitale]],Tabella118[[composizione concatenata]:[Euro/Mq]],2,FALSE),VLOOKUP(H860,digitale[[ONDA]:[Fornitore]],3,FALSE))</f>
        <v/>
      </c>
      <c r="H860" s="484">
        <f>IF(MID(A860, FIND("/", A860, FIND("/", A860) + 1) + 1, 2)="A","C",MID(A860, FIND("/", A860, FIND("/", A860) + 1) + 1, 2))</f>
        <v/>
      </c>
      <c r="I860" s="486">
        <f>TRIM(H860)</f>
        <v/>
      </c>
    </row>
    <row r="861" ht="15" customHeight="1">
      <c r="A861" s="484" t="inlineStr">
        <is>
          <t>TbMT/343/E</t>
        </is>
      </c>
      <c r="B861" s="484">
        <f>+_xlfn.CONCAT(Tabella118[[#This Row],[Composizione]], " - ", Tabella118[[#This Row],[Fornitore]])</f>
        <v/>
      </c>
      <c r="C861" s="943" t="n">
        <v>0.252</v>
      </c>
      <c r="D861" s="484" t="inlineStr">
        <is>
          <t>FEPA</t>
        </is>
      </c>
      <c r="E861" s="484">
        <f>IFERROR(IF(H861="BC",Tabella118[[#This Row],[composizione concatenata]],IF(H861="C",Tabella118[[#This Row],[composizione concatenata]],VLOOKUP(I861,$K$2:$O$7,5,FALSE))),+Tabella118[[#This Row],[composizione concatenata]])</f>
        <v/>
      </c>
      <c r="F861" s="944">
        <f>+_xlfn.IFNA(VLOOKUP(Tabella118[[#This Row],[Composizione alternativa per digitale]],Tabella118[[composizione concatenata]:[Euro/Mq]],2,FALSE),VLOOKUP(H861,digitale[[ONDA]:[Fornitore]],3,FALSE))</f>
        <v/>
      </c>
      <c r="H861" s="484">
        <f>IF(MID(A861, FIND("/", A861, FIND("/", A861) + 1) + 1, 2)="A","C",MID(A861, FIND("/", A861, FIND("/", A861) + 1) + 1, 2))</f>
        <v/>
      </c>
      <c r="I861" s="486">
        <f>TRIM(H861)</f>
        <v/>
      </c>
    </row>
    <row r="862" ht="15" customHeight="1">
      <c r="A862" s="484" t="inlineStr">
        <is>
          <t>TbMT/362/B</t>
        </is>
      </c>
      <c r="B862" s="484">
        <f>+_xlfn.CONCAT(Tabella118[[#This Row],[Composizione]], " - ", Tabella118[[#This Row],[Fornitore]])</f>
        <v/>
      </c>
      <c r="C862" s="943" t="n">
        <v>0.295</v>
      </c>
      <c r="D862" s="484" t="inlineStr">
        <is>
          <t>Giusti</t>
        </is>
      </c>
      <c r="E862" s="484">
        <f>IFERROR(IF(H862="BC",Tabella118[[#This Row],[composizione concatenata]],IF(H862="C",Tabella118[[#This Row],[composizione concatenata]],VLOOKUP(I862,$K$2:$O$7,5,FALSE))),+Tabella118[[#This Row],[composizione concatenata]])</f>
        <v/>
      </c>
      <c r="F862" s="944">
        <f>+_xlfn.IFNA(VLOOKUP(Tabella118[[#This Row],[Composizione alternativa per digitale]],Tabella118[[composizione concatenata]:[Euro/Mq]],2,FALSE),VLOOKUP(H862,digitale[[ONDA]:[Fornitore]],3,FALSE))</f>
        <v/>
      </c>
      <c r="H862" s="484">
        <f>IF(MID(A862, FIND("/", A862, FIND("/", A862) + 1) + 1, 2)="A","C",MID(A862, FIND("/", A862, FIND("/", A862) + 1) + 1, 2))</f>
        <v/>
      </c>
      <c r="I862" s="486">
        <f>TRIM(H862)</f>
        <v/>
      </c>
    </row>
    <row r="863" ht="15" customHeight="1">
      <c r="A863" s="484" t="inlineStr">
        <is>
          <t>TbMT/363/B</t>
        </is>
      </c>
      <c r="B863" s="484">
        <f>+_xlfn.CONCAT(Tabella118[[#This Row],[Composizione]], " - ", Tabella118[[#This Row],[Fornitore]])</f>
        <v/>
      </c>
      <c r="C863" s="943" t="n">
        <v>0.313</v>
      </c>
      <c r="D863" s="484" t="inlineStr">
        <is>
          <t>Giusti</t>
        </is>
      </c>
      <c r="E863" s="484">
        <f>IFERROR(IF(H863="BC",Tabella118[[#This Row],[composizione concatenata]],IF(H863="C",Tabella118[[#This Row],[composizione concatenata]],VLOOKUP(I863,$K$2:$O$7,5,FALSE))),+Tabella118[[#This Row],[composizione concatenata]])</f>
        <v/>
      </c>
      <c r="F863" s="944">
        <f>+_xlfn.IFNA(VLOOKUP(Tabella118[[#This Row],[Composizione alternativa per digitale]],Tabella118[[composizione concatenata]:[Euro/Mq]],2,FALSE),VLOOKUP(H863,digitale[[ONDA]:[Fornitore]],3,FALSE))</f>
        <v/>
      </c>
      <c r="H863" s="484">
        <f>IF(MID(A863, FIND("/", A863, FIND("/", A863) + 1) + 1, 2)="A","C",MID(A863, FIND("/", A863, FIND("/", A863) + 1) + 1, 2))</f>
        <v/>
      </c>
      <c r="I863" s="486">
        <f>TRIM(H863)</f>
        <v/>
      </c>
    </row>
    <row r="864" ht="15" customHeight="1">
      <c r="A864" s="489" t="inlineStr">
        <is>
          <t>TbSET/362/B</t>
        </is>
      </c>
      <c r="B864" s="484">
        <f>+_xlfn.CONCAT(Tabella118[[#This Row],[Composizione]], " - ", Tabella118[[#This Row],[Fornitore]])</f>
        <v/>
      </c>
      <c r="C864" s="943" t="n">
        <v>0.283</v>
      </c>
      <c r="D864" s="484" t="inlineStr">
        <is>
          <t>FEPA</t>
        </is>
      </c>
      <c r="E864" s="484">
        <f>IFERROR(IF(H864="BC",Tabella118[[#This Row],[composizione concatenata]],IF(H864="C",Tabella118[[#This Row],[composizione concatenata]],VLOOKUP(I864,$K$2:$O$7,5,FALSE))),+Tabella118[[#This Row],[composizione concatenata]])</f>
        <v/>
      </c>
      <c r="F864" s="944">
        <f>+_xlfn.IFNA(VLOOKUP(Tabella118[[#This Row],[Composizione alternativa per digitale]],Tabella118[[composizione concatenata]:[Euro/Mq]],2,FALSE),VLOOKUP(H864,digitale[[ONDA]:[Fornitore]],3,FALSE))</f>
        <v/>
      </c>
      <c r="H864" s="484">
        <f>IF(MID(A864, FIND("/", A864, FIND("/", A864) + 1) + 1, 2)="A","C",MID(A864, FIND("/", A864, FIND("/", A864) + 1) + 1, 2))</f>
        <v/>
      </c>
      <c r="I864" s="486">
        <f>TRIM(H864)</f>
        <v/>
      </c>
    </row>
    <row r="865" ht="15" customHeight="1">
      <c r="A865" s="484" t="inlineStr">
        <is>
          <t>TbSET/363/A</t>
        </is>
      </c>
      <c r="B865" s="484">
        <f>+_xlfn.CONCAT(Tabella118[[#This Row],[Composizione]], " - ", Tabella118[[#This Row],[Fornitore]])</f>
        <v/>
      </c>
      <c r="C865" s="943" t="n">
        <v>0.294</v>
      </c>
      <c r="D865" s="484" t="inlineStr">
        <is>
          <t>FEPA</t>
        </is>
      </c>
      <c r="E865" s="484">
        <f>IFERROR(IF(H865="BC",Tabella118[[#This Row],[composizione concatenata]],IF(H865="C",Tabella118[[#This Row],[composizione concatenata]],VLOOKUP(I865,$K$2:$O$7,5,FALSE))),+Tabella118[[#This Row],[composizione concatenata]])</f>
        <v/>
      </c>
      <c r="F865" s="944">
        <f>+_xlfn.IFNA(VLOOKUP(Tabella118[[#This Row],[Composizione alternativa per digitale]],Tabella118[[composizione concatenata]:[Euro/Mq]],2,FALSE),VLOOKUP(H865,digitale[[ONDA]:[Fornitore]],3,FALSE))</f>
        <v/>
      </c>
      <c r="H865" s="484">
        <f>IF(MID(A865, FIND("/", A865, FIND("/", A865) + 1) + 1, 2)="A","C",MID(A865, FIND("/", A865, FIND("/", A865) + 1) + 1, 2))</f>
        <v/>
      </c>
      <c r="I865" s="486">
        <f>TRIM(H865)</f>
        <v/>
      </c>
    </row>
    <row r="866" ht="15" customHeight="1">
      <c r="A866" s="484" t="inlineStr">
        <is>
          <t>TbSET/365/B</t>
        </is>
      </c>
      <c r="B866" s="484">
        <f>+_xlfn.CONCAT(Tabella118[[#This Row],[Composizione]], " - ", Tabella118[[#This Row],[Fornitore]])</f>
        <v/>
      </c>
      <c r="C866" s="943" t="n">
        <v>0.307</v>
      </c>
      <c r="D866" s="484" t="inlineStr">
        <is>
          <t>FEPA</t>
        </is>
      </c>
      <c r="E866" s="484">
        <f>IFERROR(IF(H866="BC",Tabella118[[#This Row],[composizione concatenata]],IF(H866="C",Tabella118[[#This Row],[composizione concatenata]],VLOOKUP(I866,$K$2:$O$7,5,FALSE))),+Tabella118[[#This Row],[composizione concatenata]])</f>
        <v/>
      </c>
      <c r="F866" s="944">
        <f>+_xlfn.IFNA(VLOOKUP(Tabella118[[#This Row],[Composizione alternativa per digitale]],Tabella118[[composizione concatenata]:[Euro/Mq]],2,FALSE),VLOOKUP(H866,digitale[[ONDA]:[Fornitore]],3,FALSE))</f>
        <v/>
      </c>
      <c r="H866" s="484">
        <f>IF(MID(A866, FIND("/", A866, FIND("/", A866) + 1) + 1, 2)="A","C",MID(A866, FIND("/", A866, FIND("/", A866) + 1) + 1, 2))</f>
        <v/>
      </c>
      <c r="I866" s="486">
        <f>TRIM(H866)</f>
        <v/>
      </c>
    </row>
    <row r="867" ht="15" customHeight="1">
      <c r="A867" s="489" t="inlineStr">
        <is>
          <t>TbSEUK/364/A</t>
        </is>
      </c>
      <c r="B867" s="484">
        <f>+_xlfn.CONCAT(Tabella118[[#This Row],[Composizione]], " - ", Tabella118[[#This Row],[Fornitore]])</f>
        <v/>
      </c>
      <c r="C867" s="943" t="n">
        <v>0.333</v>
      </c>
      <c r="D867" s="484" t="inlineStr">
        <is>
          <t>FEPA</t>
        </is>
      </c>
      <c r="E867" s="484">
        <f>IFERROR(IF(H867="BC",Tabella118[[#This Row],[composizione concatenata]],IF(H867="C",Tabella118[[#This Row],[composizione concatenata]],VLOOKUP(I867,$K$2:$O$7,5,FALSE))),+Tabella118[[#This Row],[composizione concatenata]])</f>
        <v/>
      </c>
      <c r="F867" s="944">
        <f>+_xlfn.IFNA(VLOOKUP(Tabella118[[#This Row],[Composizione alternativa per digitale]],Tabella118[[composizione concatenata]:[Euro/Mq]],2,FALSE),VLOOKUP(H867,digitale[[ONDA]:[Fornitore]],3,FALSE))</f>
        <v/>
      </c>
      <c r="H867" s="484">
        <f>IF(MID(A867, FIND("/", A867, FIND("/", A867) + 1) + 1, 2)="A","C",MID(A867, FIND("/", A867, FIND("/", A867) + 1) + 1, 2))</f>
        <v/>
      </c>
      <c r="I867" s="486">
        <f>TRIM(H867)</f>
        <v/>
      </c>
    </row>
    <row r="868" ht="15" customHeight="1">
      <c r="A868" s="484" t="inlineStr">
        <is>
          <t>TbSEUK/564/B</t>
        </is>
      </c>
      <c r="B868" s="484">
        <f>+_xlfn.CONCAT(Tabella118[[#This Row],[Composizione]], " - ", Tabella118[[#This Row],[Fornitore]])</f>
        <v/>
      </c>
      <c r="C868" s="943" t="n">
        <v>0.345</v>
      </c>
      <c r="D868" s="484" t="inlineStr">
        <is>
          <t>FEPA</t>
        </is>
      </c>
      <c r="E868" s="484">
        <f>IFERROR(IF(H868="BC",Tabella118[[#This Row],[composizione concatenata]],IF(H868="C",Tabella118[[#This Row],[composizione concatenata]],VLOOKUP(I868,$K$2:$O$7,5,FALSE))),+Tabella118[[#This Row],[composizione concatenata]])</f>
        <v/>
      </c>
      <c r="F868" s="944">
        <f>+_xlfn.IFNA(VLOOKUP(Tabella118[[#This Row],[Composizione alternativa per digitale]],Tabella118[[composizione concatenata]:[Euro/Mq]],2,FALSE),VLOOKUP(H868,digitale[[ONDA]:[Fornitore]],3,FALSE))</f>
        <v/>
      </c>
      <c r="H868" s="484">
        <f>IF(MID(A868, FIND("/", A868, FIND("/", A868) + 1) + 1, 2)="A","C",MID(A868, FIND("/", A868, FIND("/", A868) + 1) + 1, 2))</f>
        <v/>
      </c>
      <c r="I868" s="486">
        <f>TRIM(H868)</f>
        <v/>
      </c>
    </row>
    <row r="869" ht="15" customHeight="1">
      <c r="A869" s="484" t="inlineStr">
        <is>
          <t>TbSFST/34243/EB</t>
        </is>
      </c>
      <c r="B869" s="484">
        <f>+_xlfn.CONCAT(Tabella118[[#This Row],[Composizione]], " - ", Tabella118[[#This Row],[Fornitore]])</f>
        <v/>
      </c>
      <c r="C869" s="943" t="n">
        <v>0.46</v>
      </c>
      <c r="D869" s="484" t="inlineStr">
        <is>
          <t>Giusti</t>
        </is>
      </c>
      <c r="E869" s="484">
        <f>IFERROR(IF(H869="BC",Tabella118[[#This Row],[composizione concatenata]],IF(H869="C",Tabella118[[#This Row],[composizione concatenata]],VLOOKUP(I869,$K$2:$O$7,5,FALSE))),+Tabella118[[#This Row],[composizione concatenata]])</f>
        <v/>
      </c>
      <c r="F869" s="944">
        <f>+_xlfn.IFNA(VLOOKUP(Tabella118[[#This Row],[Composizione alternativa per digitale]],Tabella118[[composizione concatenata]:[Euro/Mq]],2,FALSE),VLOOKUP(H869,digitale[[ONDA]:[Fornitore]],3,FALSE))</f>
        <v/>
      </c>
      <c r="H869" s="484">
        <f>IF(MID(A869, FIND("/", A869, FIND("/", A869) + 1) + 1, 2)="A","C",MID(A869, FIND("/", A869, FIND("/", A869) + 1) + 1, 2))</f>
        <v/>
      </c>
      <c r="I869" s="486">
        <f>TRIM(H869)</f>
        <v/>
      </c>
    </row>
    <row r="870" ht="15" customHeight="1">
      <c r="A870" s="484" t="inlineStr">
        <is>
          <t>TbSFST/36262/EB</t>
        </is>
      </c>
      <c r="B870" s="484">
        <f>+_xlfn.CONCAT(Tabella118[[#This Row],[Composizione]], " - ", Tabella118[[#This Row],[Fornitore]])</f>
        <v/>
      </c>
      <c r="C870" s="943" t="n">
        <v>0.465</v>
      </c>
      <c r="D870" s="484" t="inlineStr">
        <is>
          <t>Giusti</t>
        </is>
      </c>
      <c r="E870" s="484">
        <f>IFERROR(IF(H870="BC",Tabella118[[#This Row],[composizione concatenata]],IF(H870="C",Tabella118[[#This Row],[composizione concatenata]],VLOOKUP(I870,$K$2:$O$7,5,FALSE))),+Tabella118[[#This Row],[composizione concatenata]])</f>
        <v/>
      </c>
      <c r="F870" s="944">
        <f>+_xlfn.IFNA(VLOOKUP(Tabella118[[#This Row],[Composizione alternativa per digitale]],Tabella118[[composizione concatenata]:[Euro/Mq]],2,FALSE),VLOOKUP(H870,digitale[[ONDA]:[Fornitore]],3,FALSE))</f>
        <v/>
      </c>
      <c r="H870" s="484">
        <f>IF(MID(A870, FIND("/", A870, FIND("/", A870) + 1) + 1, 2)="A","C",MID(A870, FIND("/", A870, FIND("/", A870) + 1) + 1, 2))</f>
        <v/>
      </c>
      <c r="I870" s="486">
        <f>TRIM(H870)</f>
        <v/>
      </c>
    </row>
    <row r="871" ht="15" customHeight="1">
      <c r="A871" s="484" t="inlineStr">
        <is>
          <t>TbST/342/B</t>
        </is>
      </c>
      <c r="B871" s="484">
        <f>+_xlfn.CONCAT(Tabella118[[#This Row],[Composizione]], " - ", Tabella118[[#This Row],[Fornitore]])</f>
        <v/>
      </c>
      <c r="C871" s="943" t="n">
        <v>0.28</v>
      </c>
      <c r="D871" s="484" t="inlineStr">
        <is>
          <t>Giusti</t>
        </is>
      </c>
      <c r="E871" s="484">
        <f>IFERROR(IF(H871="BC",Tabella118[[#This Row],[composizione concatenata]],IF(H871="C",Tabella118[[#This Row],[composizione concatenata]],VLOOKUP(I871,$K$2:$O$7,5,FALSE))),+Tabella118[[#This Row],[composizione concatenata]])</f>
        <v/>
      </c>
      <c r="F871" s="944">
        <f>+_xlfn.IFNA(VLOOKUP(Tabella118[[#This Row],[Composizione alternativa per digitale]],Tabella118[[composizione concatenata]:[Euro/Mq]],2,FALSE),VLOOKUP(H871,digitale[[ONDA]:[Fornitore]],3,FALSE))</f>
        <v/>
      </c>
      <c r="H871" s="484">
        <f>IF(MID(A871, FIND("/", A871, FIND("/", A871) + 1) + 1, 2)="A","C",MID(A871, FIND("/", A871, FIND("/", A871) + 1) + 1, 2))</f>
        <v/>
      </c>
      <c r="I871" s="486">
        <f>TRIM(H871)</f>
        <v/>
      </c>
    </row>
    <row r="872" ht="15" customHeight="1">
      <c r="A872" s="484" t="inlineStr">
        <is>
          <t>TbST/342/C</t>
        </is>
      </c>
      <c r="B872" s="484">
        <f>+_xlfn.CONCAT(Tabella118[[#This Row],[Composizione]], " - ", Tabella118[[#This Row],[Fornitore]])</f>
        <v/>
      </c>
      <c r="C872" s="943" t="n">
        <v>0.286</v>
      </c>
      <c r="D872" s="484" t="inlineStr">
        <is>
          <t>Giusti</t>
        </is>
      </c>
      <c r="E872" s="484">
        <f>IFERROR(IF(H872="BC",Tabella118[[#This Row],[composizione concatenata]],IF(H872="C",Tabella118[[#This Row],[composizione concatenata]],VLOOKUP(I872,$K$2:$O$7,5,FALSE))),+Tabella118[[#This Row],[composizione concatenata]])</f>
        <v/>
      </c>
      <c r="F872" s="944">
        <f>+_xlfn.IFNA(VLOOKUP(Tabella118[[#This Row],[Composizione alternativa per digitale]],Tabella118[[composizione concatenata]:[Euro/Mq]],2,FALSE),VLOOKUP(H872,digitale[[ONDA]:[Fornitore]],3,FALSE))</f>
        <v/>
      </c>
      <c r="H872" s="484">
        <f>IF(MID(A872, FIND("/", A872, FIND("/", A872) + 1) + 1, 2)="A","C",MID(A872, FIND("/", A872, FIND("/", A872) + 1) + 1, 2))</f>
        <v/>
      </c>
      <c r="I872" s="486">
        <f>TRIM(H872)</f>
        <v/>
      </c>
    </row>
    <row r="873" ht="15" customHeight="1">
      <c r="A873" s="484" t="inlineStr">
        <is>
          <t>TbST/362/E</t>
        </is>
      </c>
      <c r="B873" s="484">
        <f>+_xlfn.CONCAT(Tabella118[[#This Row],[Composizione]], " - ", Tabella118[[#This Row],[Fornitore]])</f>
        <v/>
      </c>
      <c r="C873" s="943" t="n">
        <v>0.307</v>
      </c>
      <c r="D873" s="484" t="inlineStr">
        <is>
          <t>Giusti</t>
        </is>
      </c>
      <c r="E873" s="484">
        <f>IFERROR(IF(H873="BC",Tabella118[[#This Row],[composizione concatenata]],IF(H873="C",Tabella118[[#This Row],[composizione concatenata]],VLOOKUP(I873,$K$2:$O$7,5,FALSE))),+Tabella118[[#This Row],[composizione concatenata]])</f>
        <v/>
      </c>
      <c r="F873" s="944">
        <f>+_xlfn.IFNA(VLOOKUP(Tabella118[[#This Row],[Composizione alternativa per digitale]],Tabella118[[composizione concatenata]:[Euro/Mq]],2,FALSE),VLOOKUP(H873,digitale[[ONDA]:[Fornitore]],3,FALSE))</f>
        <v/>
      </c>
      <c r="H873" s="484">
        <f>IF(MID(A873, FIND("/", A873, FIND("/", A873) + 1) + 1, 2)="A","C",MID(A873, FIND("/", A873, FIND("/", A873) + 1) + 1, 2))</f>
        <v/>
      </c>
      <c r="I873" s="486">
        <f>TRIM(H873)</f>
        <v/>
      </c>
    </row>
    <row r="874" ht="15" customHeight="1">
      <c r="A874" s="489" t="inlineStr">
        <is>
          <t>TbSUFSUT/34242/EB</t>
        </is>
      </c>
      <c r="B874" s="484">
        <f>+_xlfn.CONCAT(Tabella118[[#This Row],[Composizione]], " - ", Tabella118[[#This Row],[Fornitore]])</f>
        <v/>
      </c>
      <c r="C874" s="943" t="n">
        <v>0.406</v>
      </c>
      <c r="D874" s="484" t="inlineStr">
        <is>
          <t>FEPA</t>
        </is>
      </c>
      <c r="E874" s="484">
        <f>IFERROR(IF(H874="BC",Tabella118[[#This Row],[composizione concatenata]],IF(H874="C",Tabella118[[#This Row],[composizione concatenata]],VLOOKUP(I874,$K$2:$O$7,5,FALSE))),+Tabella118[[#This Row],[composizione concatenata]])</f>
        <v/>
      </c>
      <c r="F874" s="944">
        <f>+_xlfn.IFNA(VLOOKUP(Tabella118[[#This Row],[Composizione alternativa per digitale]],Tabella118[[composizione concatenata]:[Euro/Mq]],2,FALSE),VLOOKUP(H874,digitale[[ONDA]:[Fornitore]],3,FALSE))</f>
        <v/>
      </c>
      <c r="H874" s="484">
        <f>IF(MID(A874, FIND("/", A874, FIND("/", A874) + 1) + 1, 2)="A","C",MID(A874, FIND("/", A874, FIND("/", A874) + 1) + 1, 2))</f>
        <v/>
      </c>
      <c r="I874" s="486">
        <f>TRIM(H874)</f>
        <v/>
      </c>
    </row>
    <row r="875" ht="15" customHeight="1">
      <c r="A875" s="484" t="inlineStr">
        <is>
          <t>TbSUT/342/B</t>
        </is>
      </c>
      <c r="B875" s="484">
        <f>+_xlfn.CONCAT(Tabella118[[#This Row],[Composizione]], " - ", Tabella118[[#This Row],[Fornitore]])</f>
        <v/>
      </c>
      <c r="C875" s="943" t="n">
        <v>0.259</v>
      </c>
      <c r="D875" s="484" t="inlineStr">
        <is>
          <t>FEPA</t>
        </is>
      </c>
      <c r="E875" s="484">
        <f>IFERROR(IF(H875="BC",Tabella118[[#This Row],[composizione concatenata]],IF(H875="C",Tabella118[[#This Row],[composizione concatenata]],VLOOKUP(I875,$K$2:$O$7,5,FALSE))),+Tabella118[[#This Row],[composizione concatenata]])</f>
        <v/>
      </c>
      <c r="F875" s="944">
        <f>+_xlfn.IFNA(VLOOKUP(Tabella118[[#This Row],[Composizione alternativa per digitale]],Tabella118[[composizione concatenata]:[Euro/Mq]],2,FALSE),VLOOKUP(H875,digitale[[ONDA]:[Fornitore]],3,FALSE))</f>
        <v/>
      </c>
      <c r="H875" s="484">
        <f>IF(MID(A875, FIND("/", A875, FIND("/", A875) + 1) + 1, 2)="A","C",MID(A875, FIND("/", A875, FIND("/", A875) + 1) + 1, 2))</f>
        <v/>
      </c>
      <c r="I875" s="486">
        <f>TRIM(H875)</f>
        <v/>
      </c>
    </row>
    <row r="876" ht="15" customHeight="1">
      <c r="A876" s="484" t="inlineStr">
        <is>
          <t>TbSUT/343/A</t>
        </is>
      </c>
      <c r="B876" s="484">
        <f>+_xlfn.CONCAT(Tabella118[[#This Row],[Composizione]], " - ", Tabella118[[#This Row],[Fornitore]])</f>
        <v/>
      </c>
      <c r="C876" s="943" t="n">
        <v>0.273</v>
      </c>
      <c r="D876" s="484" t="inlineStr">
        <is>
          <t>FEPA</t>
        </is>
      </c>
      <c r="E876" s="484">
        <f>IFERROR(IF(H876="BC",Tabella118[[#This Row],[composizione concatenata]],IF(H876="C",Tabella118[[#This Row],[composizione concatenata]],VLOOKUP(I876,$K$2:$O$7,5,FALSE))),+Tabella118[[#This Row],[composizione concatenata]])</f>
        <v/>
      </c>
      <c r="F876" s="944">
        <f>+_xlfn.IFNA(VLOOKUP(Tabella118[[#This Row],[Composizione alternativa per digitale]],Tabella118[[composizione concatenata]:[Euro/Mq]],2,FALSE),VLOOKUP(H876,digitale[[ONDA]:[Fornitore]],3,FALSE))</f>
        <v/>
      </c>
      <c r="H876" s="484">
        <f>IF(MID(A876, FIND("/", A876, FIND("/", A876) + 1) + 1, 2)="A","C",MID(A876, FIND("/", A876, FIND("/", A876) + 1) + 1, 2))</f>
        <v/>
      </c>
      <c r="I876" s="486">
        <f>TRIM(H876)</f>
        <v/>
      </c>
    </row>
    <row r="877" ht="15" customHeight="1">
      <c r="A877" s="484" t="inlineStr">
        <is>
          <t>TbSUT/343/B</t>
        </is>
      </c>
      <c r="B877" s="484">
        <f>+_xlfn.CONCAT(Tabella118[[#This Row],[Composizione]], " - ", Tabella118[[#This Row],[Fornitore]])</f>
        <v/>
      </c>
      <c r="C877" s="943" t="n">
        <v>0.272</v>
      </c>
      <c r="D877" s="484" t="inlineStr">
        <is>
          <t>FEPA</t>
        </is>
      </c>
      <c r="E877" s="484">
        <f>IFERROR(IF(H877="BC",Tabella118[[#This Row],[composizione concatenata]],IF(H877="C",Tabella118[[#This Row],[composizione concatenata]],VLOOKUP(I877,$K$2:$O$7,5,FALSE))),+Tabella118[[#This Row],[composizione concatenata]])</f>
        <v/>
      </c>
      <c r="F877" s="944">
        <f>+_xlfn.IFNA(VLOOKUP(Tabella118[[#This Row],[Composizione alternativa per digitale]],Tabella118[[composizione concatenata]:[Euro/Mq]],2,FALSE),VLOOKUP(H877,digitale[[ONDA]:[Fornitore]],3,FALSE))</f>
        <v/>
      </c>
      <c r="H877" s="484">
        <f>IF(MID(A877, FIND("/", A877, FIND("/", A877) + 1) + 1, 2)="A","C",MID(A877, FIND("/", A877, FIND("/", A877) + 1) + 1, 2))</f>
        <v/>
      </c>
      <c r="I877" s="486">
        <f>TRIM(H877)</f>
        <v/>
      </c>
    </row>
    <row r="878" ht="15" customHeight="1">
      <c r="A878" s="484" t="inlineStr">
        <is>
          <t>TbSUT/545/B</t>
        </is>
      </c>
      <c r="B878" s="484">
        <f>+_xlfn.CONCAT(Tabella118[[#This Row],[Composizione]], " - ", Tabella118[[#This Row],[Fornitore]])</f>
        <v/>
      </c>
      <c r="C878" s="943" t="n">
        <v>0.306</v>
      </c>
      <c r="D878" s="484" t="inlineStr">
        <is>
          <t>FEPA</t>
        </is>
      </c>
      <c r="E878" s="484">
        <f>IFERROR(IF(H878="BC",Tabella118[[#This Row],[composizione concatenata]],IF(H878="C",Tabella118[[#This Row],[composizione concatenata]],VLOOKUP(I878,$K$2:$O$7,5,FALSE))),+Tabella118[[#This Row],[composizione concatenata]])</f>
        <v/>
      </c>
      <c r="F878" s="944">
        <f>+_xlfn.IFNA(VLOOKUP(Tabella118[[#This Row],[Composizione alternativa per digitale]],Tabella118[[composizione concatenata]:[Euro/Mq]],2,FALSE),VLOOKUP(H878,digitale[[ONDA]:[Fornitore]],3,FALSE))</f>
        <v/>
      </c>
      <c r="H878" s="484">
        <f>IF(MID(A878, FIND("/", A878, FIND("/", A878) + 1) + 1, 2)="A","C",MID(A878, FIND("/", A878, FIND("/", A878) + 1) + 1, 2))</f>
        <v/>
      </c>
      <c r="I878" s="486">
        <f>TRIM(H878)</f>
        <v/>
      </c>
    </row>
    <row r="879" ht="15" customHeight="1">
      <c r="A879" s="490" t="inlineStr">
        <is>
          <t>TF/22/b</t>
        </is>
      </c>
      <c r="B879" s="484">
        <f>+_xlfn.CONCAT(Tabella118[[#This Row],[Composizione]], " - ", Tabella118[[#This Row],[Fornitore]])</f>
        <v/>
      </c>
      <c r="C879" s="943" t="n">
        <v>0.17</v>
      </c>
      <c r="D879" s="484" t="inlineStr">
        <is>
          <t>Italbox</t>
        </is>
      </c>
      <c r="E879" s="484">
        <f>IFERROR(IF(H879="BC",Tabella118[[#This Row],[composizione concatenata]],IF(H879="C",Tabella118[[#This Row],[composizione concatenata]],VLOOKUP(I879,$K$2:$O$7,5,FALSE))),+Tabella118[[#This Row],[composizione concatenata]])</f>
        <v/>
      </c>
      <c r="F879" s="944">
        <f>+_xlfn.IFNA(VLOOKUP(Tabella118[[#This Row],[Composizione alternativa per digitale]],Tabella118[[composizione concatenata]:[Euro/Mq]],2,FALSE),VLOOKUP(H879,digitale[[ONDA]:[Fornitore]],3,FALSE))</f>
        <v/>
      </c>
      <c r="H879" s="484">
        <f>IF(MID(A879, FIND("/", A879, FIND("/", A879) + 1) + 1, 2)="A","C",MID(A879, FIND("/", A879, FIND("/", A879) + 1) + 1, 2))</f>
        <v/>
      </c>
      <c r="I879" s="486">
        <f>TRIM(H879)</f>
        <v/>
      </c>
    </row>
    <row r="880" ht="15" customHeight="1">
      <c r="A880" s="491" t="inlineStr">
        <is>
          <t>TF/22/e</t>
        </is>
      </c>
      <c r="B880" s="484">
        <f>+_xlfn.CONCAT(Tabella118[[#This Row],[Composizione]], " - ", Tabella118[[#This Row],[Fornitore]])</f>
        <v/>
      </c>
      <c r="C880" s="943" t="n">
        <v>0.194</v>
      </c>
      <c r="D880" s="484" t="inlineStr">
        <is>
          <t>Santerno</t>
        </is>
      </c>
      <c r="E880" s="484">
        <f>IFERROR(IF(H880="BC",Tabella118[[#This Row],[composizione concatenata]],IF(H880="C",Tabella118[[#This Row],[composizione concatenata]],VLOOKUP(I880,$K$2:$O$7,5,FALSE))),+Tabella118[[#This Row],[composizione concatenata]])</f>
        <v/>
      </c>
      <c r="F880" s="943">
        <f>+_xlfn.IFNA(VLOOKUP(Tabella118[[#This Row],[Composizione alternativa per digitale]],Tabella118[[composizione concatenata]:[Euro/Mq]],2,FALSE),VLOOKUP(H880,digitale[[ONDA]:[Fornitore]],3,FALSE))</f>
        <v/>
      </c>
      <c r="H880" s="484">
        <f>IF(MID(A880, FIND("/", A880, FIND("/", A880) + 1) + 1, 2)="A","C",MID(A880, FIND("/", A880, FIND("/", A880) + 1) + 1, 2))</f>
        <v/>
      </c>
      <c r="I880" s="486">
        <f>TRIM(H880)</f>
        <v/>
      </c>
    </row>
    <row r="881" ht="15" customHeight="1">
      <c r="A881" s="490" t="inlineStr">
        <is>
          <t>TF/22/e</t>
        </is>
      </c>
      <c r="B881" s="484">
        <f>+_xlfn.CONCAT(Tabella118[[#This Row],[Composizione]], " - ", Tabella118[[#This Row],[Fornitore]])</f>
        <v/>
      </c>
      <c r="C881" s="943" t="n">
        <v>0.165</v>
      </c>
      <c r="D881" s="484" t="inlineStr">
        <is>
          <t>Italbox</t>
        </is>
      </c>
      <c r="E881" s="484">
        <f>IFERROR(IF(H881="BC",Tabella118[[#This Row],[composizione concatenata]],IF(H881="C",Tabella118[[#This Row],[composizione concatenata]],VLOOKUP(I881,$K$2:$O$7,5,FALSE))),+Tabella118[[#This Row],[composizione concatenata]])</f>
        <v/>
      </c>
      <c r="F881" s="944">
        <f>+_xlfn.IFNA(VLOOKUP(Tabella118[[#This Row],[Composizione alternativa per digitale]],Tabella118[[composizione concatenata]:[Euro/Mq]],2,FALSE),VLOOKUP(H881,digitale[[ONDA]:[Fornitore]],3,FALSE))</f>
        <v/>
      </c>
      <c r="H881" s="484">
        <f>IF(MID(A881, FIND("/", A881, FIND("/", A881) + 1) + 1, 2)="A","C",MID(A881, FIND("/", A881, FIND("/", A881) + 1) + 1, 2))</f>
        <v/>
      </c>
      <c r="I881" s="486">
        <f>TRIM(H881)</f>
        <v/>
      </c>
    </row>
    <row r="882" ht="15" customHeight="1">
      <c r="A882" s="491" t="inlineStr">
        <is>
          <t>TF/22/e + ACC.</t>
        </is>
      </c>
      <c r="B882" s="484">
        <f>+_xlfn.CONCAT(Tabella118[[#This Row],[Composizione]], " - ", Tabella118[[#This Row],[Fornitore]])</f>
        <v/>
      </c>
      <c r="C882" s="943" t="n">
        <v>0.249</v>
      </c>
      <c r="D882" s="484" t="inlineStr">
        <is>
          <t>Santerno</t>
        </is>
      </c>
      <c r="E882" s="484">
        <f>IFERROR(IF(H882="BC",Tabella118[[#This Row],[composizione concatenata]],IF(H882="C",Tabella118[[#This Row],[composizione concatenata]],VLOOKUP(I882,$K$2:$O$7,5,FALSE))),+Tabella118[[#This Row],[composizione concatenata]])</f>
        <v/>
      </c>
      <c r="F882" s="943">
        <f>+_xlfn.IFNA(VLOOKUP(Tabella118[[#This Row],[Composizione alternativa per digitale]],Tabella118[[composizione concatenata]:[Euro/Mq]],2,FALSE),VLOOKUP(H882,digitale[[ONDA]:[Fornitore]],3,FALSE))</f>
        <v/>
      </c>
      <c r="H882" s="484">
        <f>IF(MID(A882, FIND("/", A882, FIND("/", A882) + 1) + 1, 2)="A","C",MID(A882, FIND("/", A882, FIND("/", A882) + 1) + 1, 2))</f>
        <v/>
      </c>
      <c r="I882" s="486">
        <f>TRIM(H882)</f>
        <v/>
      </c>
    </row>
    <row r="883" ht="15" customHeight="1">
      <c r="A883" s="484" t="inlineStr">
        <is>
          <t>TFFFT/22222/BC</t>
        </is>
      </c>
      <c r="B883" s="484">
        <f>+_xlfn.CONCAT(Tabella118[[#This Row],[Composizione]], " - ", Tabella118[[#This Row],[Fornitore]])</f>
        <v/>
      </c>
      <c r="C883" s="943" t="n">
        <v>0.38</v>
      </c>
      <c r="D883" s="484" t="inlineStr">
        <is>
          <t xml:space="preserve">Ds Smith </t>
        </is>
      </c>
      <c r="E883" s="484">
        <f>IFERROR(IF(H883="BC",Tabella118[[#This Row],[composizione concatenata]],IF(H883="C",Tabella118[[#This Row],[composizione concatenata]],VLOOKUP(I883,$K$2:$O$7,5,FALSE))),+Tabella118[[#This Row],[composizione concatenata]])</f>
        <v/>
      </c>
      <c r="F883" s="943">
        <f>+_xlfn.IFNA(VLOOKUP(Tabella118[[#This Row],[Composizione alternativa per digitale]],Tabella118[[composizione concatenata]:[Euro/Mq]],2,FALSE),VLOOKUP(H883,digitale[[ONDA]:[Fornitore]],3,FALSE))</f>
        <v/>
      </c>
      <c r="H883" s="484">
        <f>IF(MID(A883, FIND("/", A883, FIND("/", A883) + 1) + 1, 2)="A","C",MID(A883, FIND("/", A883, FIND("/", A883) + 1) + 1, 2))</f>
        <v/>
      </c>
      <c r="I883" s="486">
        <f>TRIM(H883)</f>
        <v/>
      </c>
    </row>
    <row r="884" ht="15" customHeight="1">
      <c r="A884" s="484" t="inlineStr">
        <is>
          <t>TFFFT/22222/BC</t>
        </is>
      </c>
      <c r="B884" s="484">
        <f>+_xlfn.CONCAT(Tabella118[[#This Row],[Composizione]], " - ", Tabella118[[#This Row],[Fornitore]])</f>
        <v/>
      </c>
      <c r="C884" s="943" t="n">
        <v>0.38</v>
      </c>
      <c r="D884" s="484" t="inlineStr">
        <is>
          <t>Giusti</t>
        </is>
      </c>
      <c r="E884" s="484">
        <f>IFERROR(IF(H884="BC",Tabella118[[#This Row],[composizione concatenata]],IF(H884="C",Tabella118[[#This Row],[composizione concatenata]],VLOOKUP(I884,$K$2:$O$7,5,FALSE))),+Tabella118[[#This Row],[composizione concatenata]])</f>
        <v/>
      </c>
      <c r="F884" s="944">
        <f>+_xlfn.IFNA(VLOOKUP(Tabella118[[#This Row],[Composizione alternativa per digitale]],Tabella118[[composizione concatenata]:[Euro/Mq]],2,FALSE),VLOOKUP(H884,digitale[[ONDA]:[Fornitore]],3,FALSE))</f>
        <v/>
      </c>
      <c r="H884" s="484">
        <f>IF(MID(A884, FIND("/", A884, FIND("/", A884) + 1) + 1, 2)="A","C",MID(A884, FIND("/", A884, FIND("/", A884) + 1) + 1, 2))</f>
        <v/>
      </c>
      <c r="I884" s="486">
        <f>TRIM(H884)</f>
        <v/>
      </c>
    </row>
    <row r="885" ht="15" customHeight="1">
      <c r="A885" s="484" t="inlineStr">
        <is>
          <t>TFFFT/22222/BC</t>
        </is>
      </c>
      <c r="B885" s="484">
        <f>+_xlfn.CONCAT(Tabella118[[#This Row],[Composizione]], " - ", Tabella118[[#This Row],[Fornitore]])</f>
        <v/>
      </c>
      <c r="C885" s="943" t="n">
        <v>0.355</v>
      </c>
      <c r="D885" s="484" t="inlineStr">
        <is>
          <t>Ms Packaging</t>
        </is>
      </c>
      <c r="E885" s="484">
        <f>IFERROR(IF(H885="BC",Tabella118[[#This Row],[composizione concatenata]],IF(H885="C",Tabella118[[#This Row],[composizione concatenata]],VLOOKUP(I885,$K$2:$O$7,5,FALSE))),+Tabella118[[#This Row],[composizione concatenata]])</f>
        <v/>
      </c>
      <c r="F885" s="943">
        <f>+_xlfn.IFNA(VLOOKUP(Tabella118[[#This Row],[Composizione alternativa per digitale]],Tabella118[[composizione concatenata]:[Euro/Mq]],2,FALSE),VLOOKUP(H885,digitale[[ONDA]:[Fornitore]],3,FALSE))</f>
        <v/>
      </c>
      <c r="H885" s="484">
        <f>IF(MID(A885, FIND("/", A885, FIND("/", A885) + 1) + 1, 2)="A","C",MID(A885, FIND("/", A885, FIND("/", A885) + 1) + 1, 2))</f>
        <v/>
      </c>
      <c r="I885" s="486">
        <f>TRIM(H885)</f>
        <v/>
      </c>
    </row>
    <row r="886" ht="15" customHeight="1">
      <c r="A886" s="483" t="inlineStr">
        <is>
          <t>TFFFT/22222/BC</t>
        </is>
      </c>
      <c r="B886" s="484">
        <f>+_xlfn.CONCAT(Tabella118[[#This Row],[Composizione]], " - ", Tabella118[[#This Row],[Fornitore]])</f>
        <v/>
      </c>
      <c r="C886" s="950" t="n">
        <v>0.331</v>
      </c>
      <c r="D886" s="484" t="inlineStr">
        <is>
          <t>Cartstrong</t>
        </is>
      </c>
      <c r="E886" s="484">
        <f>IFERROR(IF(H886="BC",Tabella118[[#This Row],[composizione concatenata]],IF(H886="C",Tabella118[[#This Row],[composizione concatenata]],VLOOKUP(I886,$K$2:$O$7,5,FALSE))),+Tabella118[[#This Row],[composizione concatenata]])</f>
        <v/>
      </c>
      <c r="F886" s="943">
        <f>+_xlfn.IFNA(VLOOKUP(Tabella118[[#This Row],[Composizione alternativa per digitale]],Tabella118[[composizione concatenata]:[Euro/Mq]],2,FALSE),VLOOKUP(H886,digitale[[ONDA]:[Fornitore]],3,FALSE))</f>
        <v/>
      </c>
      <c r="H886" s="484">
        <f>IF(MID(A886, FIND("/", A886, FIND("/", A886) + 1) + 1, 2)="A","C",MID(A886, FIND("/", A886, FIND("/", A886) + 1) + 1, 2))</f>
        <v/>
      </c>
      <c r="I886" s="486">
        <f>TRIM(H886)</f>
        <v/>
      </c>
    </row>
    <row r="887" ht="15" customHeight="1">
      <c r="A887" s="484" t="inlineStr">
        <is>
          <t>TFFFT/22222/EB</t>
        </is>
      </c>
      <c r="B887" s="484">
        <f>+_xlfn.CONCAT(Tabella118[[#This Row],[Composizione]], " - ", Tabella118[[#This Row],[Fornitore]])</f>
        <v/>
      </c>
      <c r="C887" s="943" t="n">
        <v>0.365</v>
      </c>
      <c r="D887" s="484" t="inlineStr">
        <is>
          <t xml:space="preserve">Ds Smith </t>
        </is>
      </c>
      <c r="E887" s="484">
        <f>IFERROR(IF(H887="BC",Tabella118[[#This Row],[composizione concatenata]],IF(H887="C",Tabella118[[#This Row],[composizione concatenata]],VLOOKUP(I887,$K$2:$O$7,5,FALSE))),+Tabella118[[#This Row],[composizione concatenata]])</f>
        <v/>
      </c>
      <c r="F887" s="943">
        <f>+_xlfn.IFNA(VLOOKUP(Tabella118[[#This Row],[Composizione alternativa per digitale]],Tabella118[[composizione concatenata]:[Euro/Mq]],2,FALSE),VLOOKUP(H887,digitale[[ONDA]:[Fornitore]],3,FALSE))</f>
        <v/>
      </c>
      <c r="H887" s="484">
        <f>IF(MID(A887, FIND("/", A887, FIND("/", A887) + 1) + 1, 2)="A","C",MID(A887, FIND("/", A887, FIND("/", A887) + 1) + 1, 2))</f>
        <v/>
      </c>
      <c r="I887" s="486">
        <f>TRIM(H887)</f>
        <v/>
      </c>
    </row>
    <row r="888" ht="15" customHeight="1">
      <c r="A888" s="484" t="inlineStr">
        <is>
          <t>TFFFT/22222/EB</t>
        </is>
      </c>
      <c r="B888" s="484">
        <f>+_xlfn.CONCAT(Tabella118[[#This Row],[Composizione]], " - ", Tabella118[[#This Row],[Fornitore]])</f>
        <v/>
      </c>
      <c r="C888" s="943" t="n">
        <v>0.362</v>
      </c>
      <c r="D888" s="484" t="inlineStr">
        <is>
          <t>Giusti</t>
        </is>
      </c>
      <c r="E888" s="484">
        <f>IFERROR(IF(H888="BC",Tabella118[[#This Row],[composizione concatenata]],IF(H888="C",Tabella118[[#This Row],[composizione concatenata]],VLOOKUP(I888,$K$2:$O$7,5,FALSE))),+Tabella118[[#This Row],[composizione concatenata]])</f>
        <v/>
      </c>
      <c r="F888" s="944">
        <f>+_xlfn.IFNA(VLOOKUP(Tabella118[[#This Row],[Composizione alternativa per digitale]],Tabella118[[composizione concatenata]:[Euro/Mq]],2,FALSE),VLOOKUP(H888,digitale[[ONDA]:[Fornitore]],3,FALSE))</f>
        <v/>
      </c>
      <c r="H888" s="484">
        <f>IF(MID(A888, FIND("/", A888, FIND("/", A888) + 1) + 1, 2)="A","C",MID(A888, FIND("/", A888, FIND("/", A888) + 1) + 1, 2))</f>
        <v/>
      </c>
      <c r="I888" s="486">
        <f>TRIM(H888)</f>
        <v/>
      </c>
    </row>
    <row r="889" ht="15" customHeight="1">
      <c r="A889" s="484" t="inlineStr">
        <is>
          <t>TFFFT/22222/EB</t>
        </is>
      </c>
      <c r="B889" s="484">
        <f>+_xlfn.CONCAT(Tabella118[[#This Row],[Composizione]], " - ", Tabella118[[#This Row],[Fornitore]])</f>
        <v/>
      </c>
      <c r="C889" s="943" t="n">
        <v>0.332</v>
      </c>
      <c r="D889" s="484" t="inlineStr">
        <is>
          <t>FEPA</t>
        </is>
      </c>
      <c r="E889" s="484">
        <f>IFERROR(IF(H889="BC",Tabella118[[#This Row],[composizione concatenata]],IF(H889="C",Tabella118[[#This Row],[composizione concatenata]],VLOOKUP(I889,$K$2:$O$7,5,FALSE))),+Tabella118[[#This Row],[composizione concatenata]])</f>
        <v/>
      </c>
      <c r="F889" s="944">
        <f>+_xlfn.IFNA(VLOOKUP(Tabella118[[#This Row],[Composizione alternativa per digitale]],Tabella118[[composizione concatenata]:[Euro/Mq]],2,FALSE),VLOOKUP(H889,digitale[[ONDA]:[Fornitore]],3,FALSE))</f>
        <v/>
      </c>
      <c r="H889" s="484">
        <f>IF(MID(A889, FIND("/", A889, FIND("/", A889) + 1) + 1, 2)="A","C",MID(A889, FIND("/", A889, FIND("/", A889) + 1) + 1, 2))</f>
        <v/>
      </c>
      <c r="I889" s="486">
        <f>TRIM(H889)</f>
        <v/>
      </c>
    </row>
    <row r="890" ht="15" customHeight="1">
      <c r="A890" s="484" t="inlineStr">
        <is>
          <t>TFFFT/22222/EE</t>
        </is>
      </c>
      <c r="B890" s="484">
        <f>+_xlfn.CONCAT(Tabella118[[#This Row],[Composizione]], " - ", Tabella118[[#This Row],[Fornitore]])</f>
        <v/>
      </c>
      <c r="C890" s="943" t="n">
        <v>0.358</v>
      </c>
      <c r="D890" s="484" t="inlineStr">
        <is>
          <t>Giusti</t>
        </is>
      </c>
      <c r="E890" s="484">
        <f>IFERROR(IF(H890="BC",Tabella118[[#This Row],[composizione concatenata]],IF(H890="C",Tabella118[[#This Row],[composizione concatenata]],VLOOKUP(I890,$K$2:$O$7,5,FALSE))),+Tabella118[[#This Row],[composizione concatenata]])</f>
        <v/>
      </c>
      <c r="F890" s="944">
        <f>+_xlfn.IFNA(VLOOKUP(Tabella118[[#This Row],[Composizione alternativa per digitale]],Tabella118[[composizione concatenata]:[Euro/Mq]],2,FALSE),VLOOKUP(H890,digitale[[ONDA]:[Fornitore]],3,FALSE))</f>
        <v/>
      </c>
      <c r="H890" s="484">
        <f>IF(MID(A890, FIND("/", A890, FIND("/", A890) + 1) + 1, 2)="A","C",MID(A890, FIND("/", A890, FIND("/", A890) + 1) + 1, 2))</f>
        <v/>
      </c>
      <c r="I890" s="486">
        <f>TRIM(H890)</f>
        <v/>
      </c>
    </row>
    <row r="891" ht="15" customHeight="1">
      <c r="A891" s="484" t="inlineStr">
        <is>
          <t>TFFFT/32222/BC</t>
        </is>
      </c>
      <c r="B891" s="484">
        <f>+_xlfn.CONCAT(Tabella118[[#This Row],[Composizione]], " - ", Tabella118[[#This Row],[Fornitore]])</f>
        <v/>
      </c>
      <c r="C891" s="943" t="n">
        <v>0.425</v>
      </c>
      <c r="D891" s="484" t="inlineStr">
        <is>
          <t xml:space="preserve">Ds Smith </t>
        </is>
      </c>
      <c r="E891" s="484">
        <f>IFERROR(IF(H891="BC",Tabella118[[#This Row],[composizione concatenata]],IF(H891="C",Tabella118[[#This Row],[composizione concatenata]],VLOOKUP(I891,$K$2:$O$7,5,FALSE))),+Tabella118[[#This Row],[composizione concatenata]])</f>
        <v/>
      </c>
      <c r="F891" s="943">
        <f>+_xlfn.IFNA(VLOOKUP(Tabella118[[#This Row],[Composizione alternativa per digitale]],Tabella118[[composizione concatenata]:[Euro/Mq]],2,FALSE),VLOOKUP(H891,digitale[[ONDA]:[Fornitore]],3,FALSE))</f>
        <v/>
      </c>
      <c r="H891" s="484">
        <f>IF(MID(A891, FIND("/", A891, FIND("/", A891) + 1) + 1, 2)="A","C",MID(A891, FIND("/", A891, FIND("/", A891) + 1) + 1, 2))</f>
        <v/>
      </c>
      <c r="I891" s="486">
        <f>TRIM(H891)</f>
        <v/>
      </c>
    </row>
    <row r="892" ht="15" customHeight="1">
      <c r="A892" s="484" t="inlineStr">
        <is>
          <t>TFFFT/32222/EB</t>
        </is>
      </c>
      <c r="B892" s="484">
        <f>+_xlfn.CONCAT(Tabella118[[#This Row],[Composizione]], " - ", Tabella118[[#This Row],[Fornitore]])</f>
        <v/>
      </c>
      <c r="C892" s="943" t="n">
        <v>0.405</v>
      </c>
      <c r="D892" s="484" t="inlineStr">
        <is>
          <t xml:space="preserve">Ds Smith </t>
        </is>
      </c>
      <c r="E892" s="484">
        <f>IFERROR(IF(H892="BC",Tabella118[[#This Row],[composizione concatenata]],IF(H892="C",Tabella118[[#This Row],[composizione concatenata]],VLOOKUP(I892,$K$2:$O$7,5,FALSE))),+Tabella118[[#This Row],[composizione concatenata]])</f>
        <v/>
      </c>
      <c r="F892" s="943">
        <f>+_xlfn.IFNA(VLOOKUP(Tabella118[[#This Row],[Composizione alternativa per digitale]],Tabella118[[composizione concatenata]:[Euro/Mq]],2,FALSE),VLOOKUP(H892,digitale[[ONDA]:[Fornitore]],3,FALSE))</f>
        <v/>
      </c>
      <c r="H892" s="484">
        <f>IF(MID(A892, FIND("/", A892, FIND("/", A892) + 1) + 1, 2)="A","C",MID(A892, FIND("/", A892, FIND("/", A892) + 1) + 1, 2))</f>
        <v/>
      </c>
      <c r="I892" s="486">
        <f>TRIM(H892)</f>
        <v/>
      </c>
    </row>
    <row r="893" ht="15" customHeight="1">
      <c r="A893" s="484" t="inlineStr">
        <is>
          <t>TFFST/22242/BC</t>
        </is>
      </c>
      <c r="B893" s="484">
        <f>+_xlfn.CONCAT(Tabella118[[#This Row],[Composizione]], " - ", Tabella118[[#This Row],[Fornitore]])</f>
        <v/>
      </c>
      <c r="C893" s="943" t="n">
        <v>0.405</v>
      </c>
      <c r="D893" s="484" t="inlineStr">
        <is>
          <t>Giusti</t>
        </is>
      </c>
      <c r="E893" s="484">
        <f>IFERROR(IF(H893="BC",Tabella118[[#This Row],[composizione concatenata]],IF(H893="C",Tabella118[[#This Row],[composizione concatenata]],VLOOKUP(I893,$K$2:$O$7,5,FALSE))),+Tabella118[[#This Row],[composizione concatenata]])</f>
        <v/>
      </c>
      <c r="F893" s="944">
        <f>+_xlfn.IFNA(VLOOKUP(Tabella118[[#This Row],[Composizione alternativa per digitale]],Tabella118[[composizione concatenata]:[Euro/Mq]],2,FALSE),VLOOKUP(H893,digitale[[ONDA]:[Fornitore]],3,FALSE))</f>
        <v/>
      </c>
      <c r="H893" s="484">
        <f>IF(MID(A893, FIND("/", A893, FIND("/", A893) + 1) + 1, 2)="A","C",MID(A893, FIND("/", A893, FIND("/", A893) + 1) + 1, 2))</f>
        <v/>
      </c>
      <c r="I893" s="486">
        <f>TRIM(H893)</f>
        <v/>
      </c>
    </row>
    <row r="894" ht="15" customHeight="1">
      <c r="A894" s="490" t="inlineStr">
        <is>
          <t>TFT/222/B</t>
        </is>
      </c>
      <c r="B894" s="484">
        <f>+_xlfn.CONCAT(Tabella118[[#This Row],[Composizione]], " - ", Tabella118[[#This Row],[Fornitore]])</f>
        <v/>
      </c>
      <c r="C894" s="943" t="n">
        <v>0.25</v>
      </c>
      <c r="D894" s="484" t="inlineStr">
        <is>
          <t>Italbox</t>
        </is>
      </c>
      <c r="E894" s="484">
        <f>IFERROR(IF(H894="BC",Tabella118[[#This Row],[composizione concatenata]],IF(H894="C",Tabella118[[#This Row],[composizione concatenata]],VLOOKUP(I894,$K$2:$O$7,5,FALSE))),+Tabella118[[#This Row],[composizione concatenata]])</f>
        <v/>
      </c>
      <c r="F894" s="944">
        <f>+_xlfn.IFNA(VLOOKUP(Tabella118[[#This Row],[Composizione alternativa per digitale]],Tabella118[[composizione concatenata]:[Euro/Mq]],2,FALSE),VLOOKUP(H894,digitale[[ONDA]:[Fornitore]],3,FALSE))</f>
        <v/>
      </c>
      <c r="H894" s="484">
        <f>IF(MID(A894, FIND("/", A894, FIND("/", A894) + 1) + 1, 2)="A","C",MID(A894, FIND("/", A894, FIND("/", A894) + 1) + 1, 2))</f>
        <v/>
      </c>
      <c r="I894" s="486">
        <f>TRIM(H894)</f>
        <v/>
      </c>
    </row>
    <row r="895" ht="15" customHeight="1">
      <c r="A895" s="484" t="inlineStr">
        <is>
          <t>TFT/222/B</t>
        </is>
      </c>
      <c r="B895" s="484">
        <f>+_xlfn.CONCAT(Tabella118[[#This Row],[Composizione]], " - ", Tabella118[[#This Row],[Fornitore]])</f>
        <v/>
      </c>
      <c r="C895" s="943" t="n">
        <v>0.23</v>
      </c>
      <c r="D895" s="484" t="inlineStr">
        <is>
          <t>Giusti</t>
        </is>
      </c>
      <c r="E895" s="484">
        <f>IFERROR(IF(H895="BC",Tabella118[[#This Row],[composizione concatenata]],IF(H895="C",Tabella118[[#This Row],[composizione concatenata]],VLOOKUP(I895,$K$2:$O$7,5,FALSE))),+Tabella118[[#This Row],[composizione concatenata]])</f>
        <v/>
      </c>
      <c r="F895" s="944">
        <f>+_xlfn.IFNA(VLOOKUP(Tabella118[[#This Row],[Composizione alternativa per digitale]],Tabella118[[composizione concatenata]:[Euro/Mq]],2,FALSE),VLOOKUP(H895,digitale[[ONDA]:[Fornitore]],3,FALSE))</f>
        <v/>
      </c>
      <c r="H895" s="484">
        <f>IF(MID(A895, FIND("/", A895, FIND("/", A895) + 1) + 1, 2)="A","C",MID(A895, FIND("/", A895, FIND("/", A895) + 1) + 1, 2))</f>
        <v/>
      </c>
      <c r="I895" s="486">
        <f>TRIM(H895)</f>
        <v/>
      </c>
    </row>
    <row r="896" ht="15" customHeight="1">
      <c r="A896" s="483" t="inlineStr">
        <is>
          <t>TFT/222/B</t>
        </is>
      </c>
      <c r="B896" s="484">
        <f>+_xlfn.CONCAT(Tabella118[[#This Row],[Composizione]], " - ", Tabella118[[#This Row],[Fornitore]])</f>
        <v/>
      </c>
      <c r="C896" s="950" t="n">
        <v>0.216</v>
      </c>
      <c r="D896" s="484" t="inlineStr">
        <is>
          <t>Cartstrong</t>
        </is>
      </c>
      <c r="E896" s="484">
        <f>IFERROR(IF(H896="BC",Tabella118[[#This Row],[composizione concatenata]],IF(H896="C",Tabella118[[#This Row],[composizione concatenata]],VLOOKUP(I896,$K$2:$O$7,5,FALSE))),+Tabella118[[#This Row],[composizione concatenata]])</f>
        <v/>
      </c>
      <c r="F896" s="943">
        <f>+_xlfn.IFNA(VLOOKUP(Tabella118[[#This Row],[Composizione alternativa per digitale]],Tabella118[[composizione concatenata]:[Euro/Mq]],2,FALSE),VLOOKUP(H896,digitale[[ONDA]:[Fornitore]],3,FALSE))</f>
        <v/>
      </c>
      <c r="H896" s="484">
        <f>IF(MID(A896, FIND("/", A896, FIND("/", A896) + 1) + 1, 2)="A","C",MID(A896, FIND("/", A896, FIND("/", A896) + 1) + 1, 2))</f>
        <v/>
      </c>
      <c r="I896" s="486">
        <f>TRIM(H896)</f>
        <v/>
      </c>
    </row>
    <row r="897" ht="15" customHeight="1">
      <c r="A897" s="484" t="inlineStr">
        <is>
          <t>TFT/222/B</t>
        </is>
      </c>
      <c r="B897" s="484">
        <f>+_xlfn.CONCAT(Tabella118[[#This Row],[Composizione]], " - ", Tabella118[[#This Row],[Fornitore]])</f>
        <v/>
      </c>
      <c r="C897" s="943" t="n">
        <v>0.21</v>
      </c>
      <c r="D897" s="484" t="inlineStr">
        <is>
          <t>FEPA</t>
        </is>
      </c>
      <c r="E897" s="484">
        <f>IFERROR(IF(H897="BC",Tabella118[[#This Row],[composizione concatenata]],IF(H897="C",Tabella118[[#This Row],[composizione concatenata]],VLOOKUP(I897,$K$2:$O$7,5,FALSE))),+Tabella118[[#This Row],[composizione concatenata]])</f>
        <v/>
      </c>
      <c r="F897" s="944">
        <f>+_xlfn.IFNA(VLOOKUP(Tabella118[[#This Row],[Composizione alternativa per digitale]],Tabella118[[composizione concatenata]:[Euro/Mq]],2,FALSE),VLOOKUP(H897,digitale[[ONDA]:[Fornitore]],3,FALSE))</f>
        <v/>
      </c>
      <c r="H897" s="484">
        <f>IF(MID(A897, FIND("/", A897, FIND("/", A897) + 1) + 1, 2)="A","C",MID(A897, FIND("/", A897, FIND("/", A897) + 1) + 1, 2))</f>
        <v/>
      </c>
      <c r="I897" s="486">
        <f>TRIM(H897)</f>
        <v/>
      </c>
    </row>
    <row r="898" ht="15" customHeight="1">
      <c r="A898" s="490" t="inlineStr">
        <is>
          <t>TFT/222/E</t>
        </is>
      </c>
      <c r="B898" s="484">
        <f>+_xlfn.CONCAT(Tabella118[[#This Row],[Composizione]], " - ", Tabella118[[#This Row],[Fornitore]])</f>
        <v/>
      </c>
      <c r="C898" s="943" t="n">
        <v>0.25</v>
      </c>
      <c r="D898" s="484" t="inlineStr">
        <is>
          <t>Italbox</t>
        </is>
      </c>
      <c r="E898" s="484">
        <f>IFERROR(IF(H898="BC",Tabella118[[#This Row],[composizione concatenata]],IF(H898="C",Tabella118[[#This Row],[composizione concatenata]],VLOOKUP(I898,$K$2:$O$7,5,FALSE))),+Tabella118[[#This Row],[composizione concatenata]])</f>
        <v/>
      </c>
      <c r="F898" s="944">
        <f>+_xlfn.IFNA(VLOOKUP(Tabella118[[#This Row],[Composizione alternativa per digitale]],Tabella118[[composizione concatenata]:[Euro/Mq]],2,FALSE),VLOOKUP(H898,digitale[[ONDA]:[Fornitore]],3,FALSE))</f>
        <v/>
      </c>
      <c r="H898" s="484">
        <f>IF(MID(A898, FIND("/", A898, FIND("/", A898) + 1) + 1, 2)="A","C",MID(A898, FIND("/", A898, FIND("/", A898) + 1) + 1, 2))</f>
        <v/>
      </c>
      <c r="I898" s="486">
        <f>TRIM(H898)</f>
        <v/>
      </c>
    </row>
    <row r="899" ht="15" customHeight="1">
      <c r="A899" s="484" t="inlineStr">
        <is>
          <t>TFT/222/E</t>
        </is>
      </c>
      <c r="B899" s="484">
        <f>+_xlfn.CONCAT(Tabella118[[#This Row],[Composizione]], " - ", Tabella118[[#This Row],[Fornitore]])</f>
        <v/>
      </c>
      <c r="C899" s="943" t="n">
        <v>0.221</v>
      </c>
      <c r="D899" s="484" t="inlineStr">
        <is>
          <t>Giusti</t>
        </is>
      </c>
      <c r="E899" s="484">
        <f>IFERROR(IF(H899="BC",Tabella118[[#This Row],[composizione concatenata]],IF(H899="C",Tabella118[[#This Row],[composizione concatenata]],VLOOKUP(I899,$K$2:$O$7,5,FALSE))),+Tabella118[[#This Row],[composizione concatenata]])</f>
        <v/>
      </c>
      <c r="F899" s="944">
        <f>+_xlfn.IFNA(VLOOKUP(Tabella118[[#This Row],[Composizione alternativa per digitale]],Tabella118[[composizione concatenata]:[Euro/Mq]],2,FALSE),VLOOKUP(H899,digitale[[ONDA]:[Fornitore]],3,FALSE))</f>
        <v/>
      </c>
      <c r="H899" s="484">
        <f>IF(MID(A899, FIND("/", A899, FIND("/", A899) + 1) + 1, 2)="A","C",MID(A899, FIND("/", A899, FIND("/", A899) + 1) + 1, 2))</f>
        <v/>
      </c>
      <c r="I899" s="486">
        <f>TRIM(H899)</f>
        <v/>
      </c>
    </row>
    <row r="900" ht="15" customHeight="1">
      <c r="A900" s="489" t="inlineStr">
        <is>
          <t>TFT/222/E</t>
        </is>
      </c>
      <c r="B900" s="484">
        <f>+_xlfn.CONCAT(Tabella118[[#This Row],[Composizione]], " - ", Tabella118[[#This Row],[Fornitore]])</f>
        <v/>
      </c>
      <c r="C900" s="943" t="n">
        <v>0.207</v>
      </c>
      <c r="D900" s="484" t="inlineStr">
        <is>
          <t>FEPA</t>
        </is>
      </c>
      <c r="E900" s="484">
        <f>IFERROR(IF(H900="BC",Tabella118[[#This Row],[composizione concatenata]],IF(H900="C",Tabella118[[#This Row],[composizione concatenata]],VLOOKUP(I900,$K$2:$O$7,5,FALSE))),+Tabella118[[#This Row],[composizione concatenata]])</f>
        <v/>
      </c>
      <c r="F900" s="944">
        <f>+_xlfn.IFNA(VLOOKUP(Tabella118[[#This Row],[Composizione alternativa per digitale]],Tabella118[[composizione concatenata]:[Euro/Mq]],2,FALSE),VLOOKUP(H900,digitale[[ONDA]:[Fornitore]],3,FALSE))</f>
        <v/>
      </c>
      <c r="H900" s="484">
        <f>IF(MID(A900, FIND("/", A900, FIND("/", A900) + 1) + 1, 2)="A","C",MID(A900, FIND("/", A900, FIND("/", A900) + 1) + 1, 2))</f>
        <v/>
      </c>
      <c r="I900" s="486">
        <f>TRIM(H900)</f>
        <v/>
      </c>
    </row>
    <row r="901" ht="15" customHeight="1">
      <c r="A901" s="484" t="inlineStr">
        <is>
          <t>TFT/322/B</t>
        </is>
      </c>
      <c r="B901" s="484">
        <f>+_xlfn.CONCAT(Tabella118[[#This Row],[Composizione]], " - ", Tabella118[[#This Row],[Fornitore]])</f>
        <v/>
      </c>
      <c r="C901" s="943" t="n">
        <v>0.27</v>
      </c>
      <c r="D901" s="484" t="inlineStr">
        <is>
          <t xml:space="preserve">Ds Smith </t>
        </is>
      </c>
      <c r="E901" s="484">
        <f>IFERROR(IF(H901="BC",Tabella118[[#This Row],[composizione concatenata]],IF(H901="C",Tabella118[[#This Row],[composizione concatenata]],VLOOKUP(I901,$K$2:$O$7,5,FALSE))),+Tabella118[[#This Row],[composizione concatenata]])</f>
        <v/>
      </c>
      <c r="F901" s="943">
        <f>+_xlfn.IFNA(VLOOKUP(Tabella118[[#This Row],[Composizione alternativa per digitale]],Tabella118[[composizione concatenata]:[Euro/Mq]],2,FALSE),VLOOKUP(H901,digitale[[ONDA]:[Fornitore]],3,FALSE))</f>
        <v/>
      </c>
      <c r="H901" s="484">
        <f>IF(MID(A901, FIND("/", A901, FIND("/", A901) + 1) + 1, 2)="A","C",MID(A901, FIND("/", A901, FIND("/", A901) + 1) + 1, 2))</f>
        <v/>
      </c>
      <c r="I901" s="486">
        <f>TRIM(H901)</f>
        <v/>
      </c>
    </row>
    <row r="902" ht="15" customHeight="1">
      <c r="A902" s="484" t="inlineStr">
        <is>
          <t>TFT/322/E</t>
        </is>
      </c>
      <c r="B902" s="484">
        <f>+_xlfn.CONCAT(Tabella118[[#This Row],[Composizione]], " - ", Tabella118[[#This Row],[Fornitore]])</f>
        <v/>
      </c>
      <c r="C902" s="943" t="n">
        <v>0.285</v>
      </c>
      <c r="D902" s="484" t="inlineStr">
        <is>
          <t xml:space="preserve">Ds Smith </t>
        </is>
      </c>
      <c r="E902" s="484">
        <f>IFERROR(IF(H902="BC",Tabella118[[#This Row],[composizione concatenata]],IF(H902="C",Tabella118[[#This Row],[composizione concatenata]],VLOOKUP(I902,$K$2:$O$7,5,FALSE))),+Tabella118[[#This Row],[composizione concatenata]])</f>
        <v/>
      </c>
      <c r="F902" s="943">
        <f>+_xlfn.IFNA(VLOOKUP(Tabella118[[#This Row],[Composizione alternativa per digitale]],Tabella118[[composizione concatenata]:[Euro/Mq]],2,FALSE),VLOOKUP(H902,digitale[[ONDA]:[Fornitore]],3,FALSE))</f>
        <v/>
      </c>
      <c r="H902" s="484">
        <f>IF(MID(A902, FIND("/", A902, FIND("/", A902) + 1) + 1, 2)="A","C",MID(A902, FIND("/", A902, FIND("/", A902) + 1) + 1, 2))</f>
        <v/>
      </c>
      <c r="I902" s="486">
        <f>TRIM(H902)</f>
        <v/>
      </c>
    </row>
    <row r="903" ht="15" customHeight="1">
      <c r="A903" s="491" t="inlineStr">
        <is>
          <t>TM/24/b</t>
        </is>
      </c>
      <c r="B903" s="484">
        <f>+_xlfn.CONCAT(Tabella118[[#This Row],[Composizione]], " - ", Tabella118[[#This Row],[Fornitore]])</f>
        <v/>
      </c>
      <c r="C903" s="943" t="n">
        <v>0.214</v>
      </c>
      <c r="D903" s="484" t="inlineStr">
        <is>
          <t>Santerno</t>
        </is>
      </c>
      <c r="E903" s="484">
        <f>IFERROR(IF(H903="BC",Tabella118[[#This Row],[composizione concatenata]],IF(H903="C",Tabella118[[#This Row],[composizione concatenata]],VLOOKUP(I903,$K$2:$O$7,5,FALSE))),+Tabella118[[#This Row],[composizione concatenata]])</f>
        <v/>
      </c>
      <c r="F903" s="943">
        <f>+_xlfn.IFNA(VLOOKUP(Tabella118[[#This Row],[Composizione alternativa per digitale]],Tabella118[[composizione concatenata]:[Euro/Mq]],2,FALSE),VLOOKUP(H903,digitale[[ONDA]:[Fornitore]],3,FALSE))</f>
        <v/>
      </c>
      <c r="H903" s="484">
        <f>IF(MID(A903, FIND("/", A903, FIND("/", A903) + 1) + 1, 2)="A","C",MID(A903, FIND("/", A903, FIND("/", A903) + 1) + 1, 2))</f>
        <v/>
      </c>
      <c r="I903" s="486">
        <f>TRIM(H903)</f>
        <v/>
      </c>
    </row>
    <row r="904" ht="15" customHeight="1">
      <c r="A904" s="490" t="inlineStr">
        <is>
          <t>TM/24/b</t>
        </is>
      </c>
      <c r="B904" s="484">
        <f>+_xlfn.CONCAT(Tabella118[[#This Row],[Composizione]], " - ", Tabella118[[#This Row],[Fornitore]])</f>
        <v/>
      </c>
      <c r="C904" s="943" t="n">
        <v>0.185</v>
      </c>
      <c r="D904" s="484" t="inlineStr">
        <is>
          <t>Italbox</t>
        </is>
      </c>
      <c r="E904" s="484">
        <f>IFERROR(IF(H904="BC",Tabella118[[#This Row],[composizione concatenata]],IF(H904="C",Tabella118[[#This Row],[composizione concatenata]],VLOOKUP(I904,$K$2:$O$7,5,FALSE))),+Tabella118[[#This Row],[composizione concatenata]])</f>
        <v/>
      </c>
      <c r="F904" s="944">
        <f>+_xlfn.IFNA(VLOOKUP(Tabella118[[#This Row],[Composizione alternativa per digitale]],Tabella118[[composizione concatenata]:[Euro/Mq]],2,FALSE),VLOOKUP(H904,digitale[[ONDA]:[Fornitore]],3,FALSE))</f>
        <v/>
      </c>
      <c r="H904" s="484">
        <f>IF(MID(A904, FIND("/", A904, FIND("/", A904) + 1) + 1, 2)="A","C",MID(A904, FIND("/", A904, FIND("/", A904) + 1) + 1, 2))</f>
        <v/>
      </c>
      <c r="I904" s="486">
        <f>TRIM(H904)</f>
        <v/>
      </c>
    </row>
    <row r="905" ht="15" customHeight="1">
      <c r="A905" s="491" t="inlineStr">
        <is>
          <t>TM/24/b + ACC.</t>
        </is>
      </c>
      <c r="B905" s="484">
        <f>+_xlfn.CONCAT(Tabella118[[#This Row],[Composizione]], " - ", Tabella118[[#This Row],[Fornitore]])</f>
        <v/>
      </c>
      <c r="C905" s="943" t="n">
        <v>0.269</v>
      </c>
      <c r="D905" s="484" t="inlineStr">
        <is>
          <t>Santerno</t>
        </is>
      </c>
      <c r="E905" s="484">
        <f>IFERROR(IF(H905="BC",Tabella118[[#This Row],[composizione concatenata]],IF(H905="C",Tabella118[[#This Row],[composizione concatenata]],VLOOKUP(I905,$K$2:$O$7,5,FALSE))),+Tabella118[[#This Row],[composizione concatenata]])</f>
        <v/>
      </c>
      <c r="F905" s="943">
        <f>+_xlfn.IFNA(VLOOKUP(Tabella118[[#This Row],[Composizione alternativa per digitale]],Tabella118[[composizione concatenata]:[Euro/Mq]],2,FALSE),VLOOKUP(H905,digitale[[ONDA]:[Fornitore]],3,FALSE))</f>
        <v/>
      </c>
      <c r="H905" s="484">
        <f>IF(MID(A905, FIND("/", A905, FIND("/", A905) + 1) + 1, 2)="A","C",MID(A905, FIND("/", A905, FIND("/", A905) + 1) + 1, 2))</f>
        <v/>
      </c>
      <c r="I905" s="486">
        <f>TRIM(H905)</f>
        <v/>
      </c>
    </row>
    <row r="906" ht="15" customHeight="1">
      <c r="A906" s="491" t="inlineStr">
        <is>
          <t>TM/24/e</t>
        </is>
      </c>
      <c r="B906" s="484">
        <f>+_xlfn.CONCAT(Tabella118[[#This Row],[Composizione]], " - ", Tabella118[[#This Row],[Fornitore]])</f>
        <v/>
      </c>
      <c r="C906" s="943" t="n">
        <v>0.199</v>
      </c>
      <c r="D906" s="484" t="inlineStr">
        <is>
          <t>Santerno</t>
        </is>
      </c>
      <c r="E906" s="484">
        <f>IFERROR(IF(H906="BC",Tabella118[[#This Row],[composizione concatenata]],IF(H906="C",Tabella118[[#This Row],[composizione concatenata]],VLOOKUP(I906,$K$2:$O$7,5,FALSE))),+Tabella118[[#This Row],[composizione concatenata]])</f>
        <v/>
      </c>
      <c r="F906" s="943">
        <f>+_xlfn.IFNA(VLOOKUP(Tabella118[[#This Row],[Composizione alternativa per digitale]],Tabella118[[composizione concatenata]:[Euro/Mq]],2,FALSE),VLOOKUP(H906,digitale[[ONDA]:[Fornitore]],3,FALSE))</f>
        <v/>
      </c>
      <c r="H906" s="484">
        <f>IF(MID(A906, FIND("/", A906, FIND("/", A906) + 1) + 1, 2)="A","C",MID(A906, FIND("/", A906, FIND("/", A906) + 1) + 1, 2))</f>
        <v/>
      </c>
      <c r="I906" s="486">
        <f>TRIM(H906)</f>
        <v/>
      </c>
    </row>
    <row r="907" ht="15" customHeight="1">
      <c r="A907" s="490" t="inlineStr">
        <is>
          <t>TM/24/e</t>
        </is>
      </c>
      <c r="B907" s="484">
        <f>+_xlfn.CONCAT(Tabella118[[#This Row],[Composizione]], " - ", Tabella118[[#This Row],[Fornitore]])</f>
        <v/>
      </c>
      <c r="C907" s="943" t="n">
        <v>0.175</v>
      </c>
      <c r="D907" s="484" t="inlineStr">
        <is>
          <t>Italbox</t>
        </is>
      </c>
      <c r="E907" s="484">
        <f>IFERROR(IF(H907="BC",Tabella118[[#This Row],[composizione concatenata]],IF(H907="C",Tabella118[[#This Row],[composizione concatenata]],VLOOKUP(I907,$K$2:$O$7,5,FALSE))),+Tabella118[[#This Row],[composizione concatenata]])</f>
        <v/>
      </c>
      <c r="F907" s="944">
        <f>+_xlfn.IFNA(VLOOKUP(Tabella118[[#This Row],[Composizione alternativa per digitale]],Tabella118[[composizione concatenata]:[Euro/Mq]],2,FALSE),VLOOKUP(H907,digitale[[ONDA]:[Fornitore]],3,FALSE))</f>
        <v/>
      </c>
      <c r="H907" s="484">
        <f>IF(MID(A907, FIND("/", A907, FIND("/", A907) + 1) + 1, 2)="A","C",MID(A907, FIND("/", A907, FIND("/", A907) + 1) + 1, 2))</f>
        <v/>
      </c>
      <c r="I907" s="486">
        <f>TRIM(H907)</f>
        <v/>
      </c>
    </row>
    <row r="908" ht="15" customHeight="1">
      <c r="A908" s="491" t="inlineStr">
        <is>
          <t>TM/24/e + ACC.</t>
        </is>
      </c>
      <c r="B908" s="484">
        <f>+_xlfn.CONCAT(Tabella118[[#This Row],[Composizione]], " - ", Tabella118[[#This Row],[Fornitore]])</f>
        <v/>
      </c>
      <c r="C908" s="943" t="n">
        <v>0.254</v>
      </c>
      <c r="D908" s="484" t="inlineStr">
        <is>
          <t>Santerno</t>
        </is>
      </c>
      <c r="E908" s="484">
        <f>IFERROR(IF(H908="BC",Tabella118[[#This Row],[composizione concatenata]],IF(H908="C",Tabella118[[#This Row],[composizione concatenata]],VLOOKUP(I908,$K$2:$O$7,5,FALSE))),+Tabella118[[#This Row],[composizione concatenata]])</f>
        <v/>
      </c>
      <c r="F908" s="943">
        <f>+_xlfn.IFNA(VLOOKUP(Tabella118[[#This Row],[Composizione alternativa per digitale]],Tabella118[[composizione concatenata]:[Euro/Mq]],2,FALSE),VLOOKUP(H908,digitale[[ONDA]:[Fornitore]],3,FALSE))</f>
        <v/>
      </c>
      <c r="H908" s="484">
        <f>IF(MID(A908, FIND("/", A908, FIND("/", A908) + 1) + 1, 2)="A","C",MID(A908, FIND("/", A908, FIND("/", A908) + 1) + 1, 2))</f>
        <v/>
      </c>
      <c r="I908" s="486">
        <f>TRIM(H908)</f>
        <v/>
      </c>
    </row>
    <row r="909" ht="15" customHeight="1">
      <c r="A909" s="491" t="inlineStr">
        <is>
          <t>TM/26/b</t>
        </is>
      </c>
      <c r="B909" s="484">
        <f>+_xlfn.CONCAT(Tabella118[[#This Row],[Composizione]], " - ", Tabella118[[#This Row],[Fornitore]])</f>
        <v/>
      </c>
      <c r="C909" s="943" t="n">
        <v>0.226</v>
      </c>
      <c r="D909" s="484" t="inlineStr">
        <is>
          <t>Santerno</t>
        </is>
      </c>
      <c r="E909" s="484">
        <f>IFERROR(IF(H909="BC",Tabella118[[#This Row],[composizione concatenata]],IF(H909="C",Tabella118[[#This Row],[composizione concatenata]],VLOOKUP(I909,$K$2:$O$7,5,FALSE))),+Tabella118[[#This Row],[composizione concatenata]])</f>
        <v/>
      </c>
      <c r="F909" s="943">
        <f>+_xlfn.IFNA(VLOOKUP(Tabella118[[#This Row],[Composizione alternativa per digitale]],Tabella118[[composizione concatenata]:[Euro/Mq]],2,FALSE),VLOOKUP(H909,digitale[[ONDA]:[Fornitore]],3,FALSE))</f>
        <v/>
      </c>
      <c r="H909" s="484">
        <f>IF(MID(A909, FIND("/", A909, FIND("/", A909) + 1) + 1, 2)="A","C",MID(A909, FIND("/", A909, FIND("/", A909) + 1) + 1, 2))</f>
        <v/>
      </c>
      <c r="I909" s="486">
        <f>TRIM(H909)</f>
        <v/>
      </c>
    </row>
    <row r="910" ht="15" customHeight="1">
      <c r="A910" s="490" t="inlineStr">
        <is>
          <t>TM/26/b</t>
        </is>
      </c>
      <c r="B910" s="484">
        <f>+_xlfn.CONCAT(Tabella118[[#This Row],[Composizione]], " - ", Tabella118[[#This Row],[Fornitore]])</f>
        <v/>
      </c>
      <c r="C910" s="943" t="n">
        <v>0.195</v>
      </c>
      <c r="D910" s="484" t="inlineStr">
        <is>
          <t>Italbox</t>
        </is>
      </c>
      <c r="E910" s="484">
        <f>IFERROR(IF(H910="BC",Tabella118[[#This Row],[composizione concatenata]],IF(H910="C",Tabella118[[#This Row],[composizione concatenata]],VLOOKUP(I910,$K$2:$O$7,5,FALSE))),+Tabella118[[#This Row],[composizione concatenata]])</f>
        <v/>
      </c>
      <c r="F910" s="944">
        <f>+_xlfn.IFNA(VLOOKUP(Tabella118[[#This Row],[Composizione alternativa per digitale]],Tabella118[[composizione concatenata]:[Euro/Mq]],2,FALSE),VLOOKUP(H910,digitale[[ONDA]:[Fornitore]],3,FALSE))</f>
        <v/>
      </c>
      <c r="H910" s="484">
        <f>IF(MID(A910, FIND("/", A910, FIND("/", A910) + 1) + 1, 2)="A","C",MID(A910, FIND("/", A910, FIND("/", A910) + 1) + 1, 2))</f>
        <v/>
      </c>
      <c r="I910" s="486">
        <f>TRIM(H910)</f>
        <v/>
      </c>
    </row>
    <row r="911" ht="15" customHeight="1">
      <c r="A911" s="491" t="inlineStr">
        <is>
          <t>TM/26/b + ACC.</t>
        </is>
      </c>
      <c r="B911" s="484">
        <f>+_xlfn.CONCAT(Tabella118[[#This Row],[Composizione]], " - ", Tabella118[[#This Row],[Fornitore]])</f>
        <v/>
      </c>
      <c r="C911" s="943" t="n">
        <v>0.281</v>
      </c>
      <c r="D911" s="484" t="inlineStr">
        <is>
          <t>Santerno</t>
        </is>
      </c>
      <c r="E911" s="484">
        <f>IFERROR(IF(H911="BC",Tabella118[[#This Row],[composizione concatenata]],IF(H911="C",Tabella118[[#This Row],[composizione concatenata]],VLOOKUP(I911,$K$2:$O$7,5,FALSE))),+Tabella118[[#This Row],[composizione concatenata]])</f>
        <v/>
      </c>
      <c r="F911" s="943">
        <f>+_xlfn.IFNA(VLOOKUP(Tabella118[[#This Row],[Composizione alternativa per digitale]],Tabella118[[composizione concatenata]:[Euro/Mq]],2,FALSE),VLOOKUP(H911,digitale[[ONDA]:[Fornitore]],3,FALSE))</f>
        <v/>
      </c>
      <c r="H911" s="484">
        <f>IF(MID(A911, FIND("/", A911, FIND("/", A911) + 1) + 1, 2)="A","C",MID(A911, FIND("/", A911, FIND("/", A911) + 1) + 1, 2))</f>
        <v/>
      </c>
      <c r="I911" s="486">
        <f>TRIM(H911)</f>
        <v/>
      </c>
    </row>
    <row r="912" ht="15" customHeight="1">
      <c r="A912" s="491" t="inlineStr">
        <is>
          <t>TM/26/e</t>
        </is>
      </c>
      <c r="B912" s="484">
        <f>+_xlfn.CONCAT(Tabella118[[#This Row],[Composizione]], " - ", Tabella118[[#This Row],[Fornitore]])</f>
        <v/>
      </c>
      <c r="C912" s="943" t="n">
        <v>0.21</v>
      </c>
      <c r="D912" s="484" t="inlineStr">
        <is>
          <t>Santerno</t>
        </is>
      </c>
      <c r="E912" s="484">
        <f>IFERROR(IF(H912="BC",Tabella118[[#This Row],[composizione concatenata]],IF(H912="C",Tabella118[[#This Row],[composizione concatenata]],VLOOKUP(I912,$K$2:$O$7,5,FALSE))),+Tabella118[[#This Row],[composizione concatenata]])</f>
        <v/>
      </c>
      <c r="F912" s="943">
        <f>+_xlfn.IFNA(VLOOKUP(Tabella118[[#This Row],[Composizione alternativa per digitale]],Tabella118[[composizione concatenata]:[Euro/Mq]],2,FALSE),VLOOKUP(H912,digitale[[ONDA]:[Fornitore]],3,FALSE))</f>
        <v/>
      </c>
      <c r="H912" s="484">
        <f>IF(MID(#REF!, FIND("/",#REF!, FIND( "/",#REF!) + 1) + 1, 2)="A","C",MID(#REF!, FIND("/",#REF!, FIND( "/",#REF!) + 1) + 1, 2))</f>
        <v/>
      </c>
      <c r="I912" s="486">
        <f>TRIM(H912)</f>
        <v/>
      </c>
    </row>
    <row r="913" ht="15" customHeight="1">
      <c r="A913" s="490" t="inlineStr">
        <is>
          <t>TM/26/e</t>
        </is>
      </c>
      <c r="B913" s="484">
        <f>+_xlfn.CONCAT(Tabella118[[#This Row],[Composizione]], " - ", Tabella118[[#This Row],[Fornitore]])</f>
        <v/>
      </c>
      <c r="C913" s="943" t="n">
        <v>0.185</v>
      </c>
      <c r="D913" s="484" t="inlineStr">
        <is>
          <t>Italbox</t>
        </is>
      </c>
      <c r="E913" s="484">
        <f>IFERROR(IF(H913="BC",Tabella118[[#This Row],[composizione concatenata]],IF(H913="C",Tabella118[[#This Row],[composizione concatenata]],VLOOKUP(I913,$K$2:$O$7,5,FALSE))),+Tabella118[[#This Row],[composizione concatenata]])</f>
        <v/>
      </c>
      <c r="F913" s="944">
        <f>+_xlfn.IFNA(VLOOKUP(Tabella118[[#This Row],[Composizione alternativa per digitale]],Tabella118[[composizione concatenata]:[Euro/Mq]],2,FALSE),VLOOKUP(H913,digitale[[ONDA]:[Fornitore]],3,FALSE))</f>
        <v/>
      </c>
      <c r="H913" s="484">
        <f>IF(MID(A912, FIND("/", A912, FIND("/", A912) + 1) + 1, 2)="A","C",MID(A912, FIND("/", A912, FIND("/", A912) + 1) + 1, 2))</f>
        <v/>
      </c>
      <c r="I913" s="486">
        <f>TRIM(H913)</f>
        <v/>
      </c>
    </row>
    <row r="914" ht="15" customHeight="1">
      <c r="A914" s="491" t="inlineStr">
        <is>
          <t>TM/26/e + ACC.</t>
        </is>
      </c>
      <c r="B914" s="484">
        <f>+_xlfn.CONCAT(Tabella118[[#This Row],[Composizione]], " - ", Tabella118[[#This Row],[Fornitore]])</f>
        <v/>
      </c>
      <c r="C914" s="943" t="n">
        <v>0.265</v>
      </c>
      <c r="D914" s="484" t="inlineStr">
        <is>
          <t>Santerno</t>
        </is>
      </c>
      <c r="E914" s="484">
        <f>IFERROR(IF(H914="BC",Tabella118[[#This Row],[composizione concatenata]],IF(H914="C",Tabella118[[#This Row],[composizione concatenata]],VLOOKUP(I914,$K$2:$O$7,5,FALSE))),+Tabella118[[#This Row],[composizione concatenata]])</f>
        <v/>
      </c>
      <c r="F914" s="943">
        <f>+_xlfn.IFNA(VLOOKUP(Tabella118[[#This Row],[Composizione alternativa per digitale]],Tabella118[[composizione concatenata]:[Euro/Mq]],2,FALSE),VLOOKUP(H914,digitale[[ONDA]:[Fornitore]],3,FALSE))</f>
        <v/>
      </c>
      <c r="H914" s="484">
        <f>IF(MID(A914, FIND("/", A914, FIND("/", A914) + 1) + 1, 2)="A","C",MID(A914, FIND("/", A914, FIND("/", A914) + 1) + 1, 2))</f>
        <v/>
      </c>
      <c r="I914" s="486">
        <f>TRIM(H914)</f>
        <v/>
      </c>
    </row>
    <row r="915" ht="15" customHeight="1">
      <c r="A915" s="491" t="inlineStr">
        <is>
          <t>TMFM/2424/Be</t>
        </is>
      </c>
      <c r="B915" s="484">
        <f>+_xlfn.CONCAT(Tabella118[[#This Row],[Composizione]], " - ", Tabella118[[#This Row],[Fornitore]])</f>
        <v/>
      </c>
      <c r="C915" s="943" t="n">
        <v>0.394</v>
      </c>
      <c r="D915" s="484" t="inlineStr">
        <is>
          <t>Santerno</t>
        </is>
      </c>
      <c r="E915" s="484">
        <f>IFERROR(IF(H915="BC",Tabella118[[#This Row],[composizione concatenata]],IF(H915="C",Tabella118[[#This Row],[composizione concatenata]],VLOOKUP(I915,$K$2:$O$7,5,FALSE))),+Tabella118[[#This Row],[composizione concatenata]])</f>
        <v/>
      </c>
      <c r="F915" s="943">
        <f>+_xlfn.IFNA(VLOOKUP(Tabella118[[#This Row],[Composizione alternativa per digitale]],Tabella118[[composizione concatenata]:[Euro/Mq]],2,FALSE),VLOOKUP(H915,digitale[[ONDA]:[Fornitore]],3,FALSE))</f>
        <v/>
      </c>
      <c r="H915" s="484">
        <f>IF(MID(A915, FIND("/", A915, FIND("/", A915) + 1) + 1, 2)="A","C",MID(A915, FIND("/", A915, FIND("/", A915) + 1) + 1, 2))</f>
        <v/>
      </c>
      <c r="I915" s="486">
        <f>TRIM(H915)</f>
        <v/>
      </c>
    </row>
    <row r="916" ht="15" customHeight="1">
      <c r="A916" s="491" t="inlineStr">
        <is>
          <t>TMFM/2424/Be + ACC.</t>
        </is>
      </c>
      <c r="B916" s="484">
        <f>+_xlfn.CONCAT(Tabella118[[#This Row],[Composizione]], " - ", Tabella118[[#This Row],[Fornitore]])</f>
        <v/>
      </c>
      <c r="C916" s="943" t="n">
        <v>0.459</v>
      </c>
      <c r="D916" s="484" t="inlineStr">
        <is>
          <t>Santerno</t>
        </is>
      </c>
      <c r="E916" s="484">
        <f>IFERROR(IF(H916="BC",Tabella118[[#This Row],[composizione concatenata]],IF(H916="C",Tabella118[[#This Row],[composizione concatenata]],VLOOKUP(I916,$K$2:$O$7,5,FALSE))),+Tabella118[[#This Row],[composizione concatenata]])</f>
        <v/>
      </c>
      <c r="F916" s="943">
        <f>+_xlfn.IFNA(VLOOKUP(Tabella118[[#This Row],[Composizione alternativa per digitale]],Tabella118[[composizione concatenata]:[Euro/Mq]],2,FALSE),VLOOKUP(H916,digitale[[ONDA]:[Fornitore]],3,FALSE))</f>
        <v/>
      </c>
      <c r="H916" s="484">
        <f>IF(MID(A916, FIND("/", A916, FIND("/", A916) + 1) + 1, 2)="A","C",MID(A916, FIND("/", A916, FIND("/", A916) + 1) + 1, 2))</f>
        <v/>
      </c>
      <c r="I916" s="486">
        <f>TRIM(H916)</f>
        <v/>
      </c>
    </row>
    <row r="917" ht="15" customHeight="1">
      <c r="A917" s="484" t="inlineStr">
        <is>
          <t>TMFMT/24242/BC</t>
        </is>
      </c>
      <c r="B917" s="484">
        <f>+_xlfn.CONCAT(Tabella118[[#This Row],[Composizione]], " - ", Tabella118[[#This Row],[Fornitore]])</f>
        <v/>
      </c>
      <c r="C917" s="943" t="n">
        <v>0.401</v>
      </c>
      <c r="D917" s="484" t="inlineStr">
        <is>
          <t>Giusti</t>
        </is>
      </c>
      <c r="E917" s="484">
        <f>IFERROR(IF(H917="BC",Tabella118[[#This Row],[composizione concatenata]],IF(H917="C",Tabella118[[#This Row],[composizione concatenata]],VLOOKUP(I917,$K$2:$O$7,5,FALSE))),+Tabella118[[#This Row],[composizione concatenata]])</f>
        <v/>
      </c>
      <c r="F917" s="944">
        <f>+_xlfn.IFNA(VLOOKUP(Tabella118[[#This Row],[Composizione alternativa per digitale]],Tabella118[[composizione concatenata]:[Euro/Mq]],2,FALSE),VLOOKUP(H917,digitale[[ONDA]:[Fornitore]],3,FALSE))</f>
        <v/>
      </c>
      <c r="H917" s="484">
        <f>IF(MID(A917, FIND("/", A917, FIND("/", A917) + 1) + 1, 2)="A","C",MID(A917, FIND("/", A917, FIND("/", A917) + 1) + 1, 2))</f>
        <v/>
      </c>
      <c r="I917" s="486">
        <f>TRIM(H917)</f>
        <v/>
      </c>
    </row>
    <row r="918" ht="15" customHeight="1">
      <c r="A918" s="484" t="inlineStr">
        <is>
          <t>TMFMT/24242/BC</t>
        </is>
      </c>
      <c r="B918" s="484">
        <f>+_xlfn.CONCAT(Tabella118[[#This Row],[Composizione]], " - ", Tabella118[[#This Row],[Fornitore]])</f>
        <v/>
      </c>
      <c r="C918" s="943" t="n">
        <v>0.395</v>
      </c>
      <c r="D918" s="484" t="inlineStr">
        <is>
          <t xml:space="preserve">Ds Smith </t>
        </is>
      </c>
      <c r="E918" s="484">
        <f>IFERROR(IF(H918="BC",Tabella118[[#This Row],[composizione concatenata]],IF(H918="C",Tabella118[[#This Row],[composizione concatenata]],VLOOKUP(I918,$K$2:$O$7,5,FALSE))),+Tabella118[[#This Row],[composizione concatenata]])</f>
        <v/>
      </c>
      <c r="F918" s="943">
        <f>+_xlfn.IFNA(VLOOKUP(Tabella118[[#This Row],[Composizione alternativa per digitale]],Tabella118[[composizione concatenata]:[Euro/Mq]],2,FALSE),VLOOKUP(H918,digitale[[ONDA]:[Fornitore]],3,FALSE))</f>
        <v/>
      </c>
      <c r="H918" s="484">
        <f>IF(MID(A918, FIND("/", A918, FIND("/", A918) + 1) + 1, 2)="A","C",MID(A918, FIND("/", A918, FIND("/", A918) + 1) + 1, 2))</f>
        <v/>
      </c>
      <c r="I918" s="486">
        <f>TRIM(H918)</f>
        <v/>
      </c>
    </row>
    <row r="919" ht="15" customHeight="1">
      <c r="A919" s="484" t="inlineStr">
        <is>
          <t>TMFMT/24242/EB</t>
        </is>
      </c>
      <c r="B919" s="484">
        <f>+_xlfn.CONCAT(Tabella118[[#This Row],[Composizione]], " - ", Tabella118[[#This Row],[Fornitore]])</f>
        <v/>
      </c>
      <c r="C919" s="943" t="n">
        <v>0.387</v>
      </c>
      <c r="D919" s="484" t="inlineStr">
        <is>
          <t>Giusti</t>
        </is>
      </c>
      <c r="E919" s="484">
        <f>IFERROR(IF(H919="BC",Tabella118[[#This Row],[composizione concatenata]],IF(H919="C",Tabella118[[#This Row],[composizione concatenata]],VLOOKUP(I919,$K$2:$O$7,5,FALSE))),+Tabella118[[#This Row],[composizione concatenata]])</f>
        <v/>
      </c>
      <c r="F919" s="944">
        <f>+_xlfn.IFNA(VLOOKUP(Tabella118[[#This Row],[Composizione alternativa per digitale]],Tabella118[[composizione concatenata]:[Euro/Mq]],2,FALSE),VLOOKUP(H919,digitale[[ONDA]:[Fornitore]],3,FALSE))</f>
        <v/>
      </c>
      <c r="H919" s="484">
        <f>IF(MID(A919, FIND("/", A919, FIND("/", A919) + 1) + 1, 2)="A","C",MID(A919, FIND("/", A919, FIND("/", A919) + 1) + 1, 2))</f>
        <v/>
      </c>
      <c r="I919" s="486">
        <f>TRIM(H919)</f>
        <v/>
      </c>
    </row>
    <row r="920" ht="15" customHeight="1">
      <c r="A920" s="490" t="inlineStr">
        <is>
          <t>TMFMT/24242/EB</t>
        </is>
      </c>
      <c r="B920" s="484">
        <f>+_xlfn.CONCAT(Tabella118[[#This Row],[Composizione]], " - ", Tabella118[[#This Row],[Fornitore]])</f>
        <v/>
      </c>
      <c r="C920" s="943" t="n">
        <v>0.38</v>
      </c>
      <c r="D920" s="484" t="inlineStr">
        <is>
          <t>Italbox</t>
        </is>
      </c>
      <c r="E920" s="484">
        <f>IFERROR(IF(H920="BC",Tabella118[[#This Row],[composizione concatenata]],IF(H920="C",Tabella118[[#This Row],[composizione concatenata]],VLOOKUP(I920,$K$2:$O$7,5,FALSE))),+Tabella118[[#This Row],[composizione concatenata]])</f>
        <v/>
      </c>
      <c r="F920" s="944">
        <f>+_xlfn.IFNA(VLOOKUP(Tabella118[[#This Row],[Composizione alternativa per digitale]],Tabella118[[composizione concatenata]:[Euro/Mq]],2,FALSE),VLOOKUP(H920,digitale[[ONDA]:[Fornitore]],3,FALSE))</f>
        <v/>
      </c>
      <c r="H920" s="484">
        <f>IF(MID(A920, FIND("/", A920, FIND("/", A920) + 1) + 1, 2)="A","C",MID(A920, FIND("/", A920, FIND("/", A920) + 1) + 1, 2))</f>
        <v/>
      </c>
      <c r="I920" s="486">
        <f>TRIM(H920)</f>
        <v/>
      </c>
    </row>
    <row r="921" ht="15" customHeight="1">
      <c r="A921" s="491" t="inlineStr">
        <is>
          <t>TMFMT/24242/EE</t>
        </is>
      </c>
      <c r="B921" s="484">
        <f>+_xlfn.CONCAT(Tabella118[[#This Row],[Composizione]], " - ", Tabella118[[#This Row],[Fornitore]])</f>
        <v/>
      </c>
      <c r="C921" s="943" t="n">
        <v>0.438</v>
      </c>
      <c r="D921" s="484" t="inlineStr">
        <is>
          <t>Santerno</t>
        </is>
      </c>
      <c r="E921" s="484">
        <f>IFERROR(IF(H921="BC",Tabella118[[#This Row],[composizione concatenata]],IF(H921="C",Tabella118[[#This Row],[composizione concatenata]],VLOOKUP(I921,$K$2:$O$7,5,FALSE))),+Tabella118[[#This Row],[composizione concatenata]])</f>
        <v/>
      </c>
      <c r="F921" s="943">
        <f>+_xlfn.IFNA(VLOOKUP(Tabella118[[#This Row],[Composizione alternativa per digitale]],Tabella118[[composizione concatenata]:[Euro/Mq]],2,FALSE),VLOOKUP(H921,digitale[[ONDA]:[Fornitore]],3,FALSE))</f>
        <v/>
      </c>
      <c r="H921" s="484">
        <f>IF(MID(A921, FIND("/", A921, FIND("/", A921) + 1) + 1, 2)="A","C",MID(A921, FIND("/", A921, FIND("/", A921) + 1) + 1, 2))</f>
        <v/>
      </c>
      <c r="I921" s="486">
        <f>TRIM(H921)</f>
        <v/>
      </c>
    </row>
    <row r="922" ht="15" customHeight="1">
      <c r="A922" s="491" t="inlineStr">
        <is>
          <t>TMFMT/24242/EE + ACC.</t>
        </is>
      </c>
      <c r="B922" s="484">
        <f>+_xlfn.CONCAT(Tabella118[[#This Row],[Composizione]], " - ", Tabella118[[#This Row],[Fornitore]])</f>
        <v/>
      </c>
      <c r="C922" s="943" t="n">
        <v>0.508</v>
      </c>
      <c r="D922" s="484" t="inlineStr">
        <is>
          <t>Santerno</t>
        </is>
      </c>
      <c r="E922" s="484">
        <f>IFERROR(IF(H922="BC",Tabella118[[#This Row],[composizione concatenata]],IF(H922="C",Tabella118[[#This Row],[composizione concatenata]],VLOOKUP(I922,$K$2:$O$7,5,FALSE))),+Tabella118[[#This Row],[composizione concatenata]])</f>
        <v/>
      </c>
      <c r="F922" s="943">
        <f>+_xlfn.IFNA(VLOOKUP(Tabella118[[#This Row],[Composizione alternativa per digitale]],Tabella118[[composizione concatenata]:[Euro/Mq]],2,FALSE),VLOOKUP(H922,digitale[[ONDA]:[Fornitore]],3,FALSE))</f>
        <v/>
      </c>
      <c r="H922" s="484">
        <f>IF(MID(A922, FIND("/", A922, FIND("/", A922) + 1) + 1, 2)="A","C",MID(A922, FIND("/", A922, FIND("/", A922) + 1) + 1, 2))</f>
        <v/>
      </c>
      <c r="I922" s="486">
        <f>TRIM(H922)</f>
        <v/>
      </c>
    </row>
    <row r="923" ht="15" customHeight="1">
      <c r="A923" s="491" t="inlineStr">
        <is>
          <t>TMFMT/26262/EB</t>
        </is>
      </c>
      <c r="B923" s="484">
        <f>+_xlfn.CONCAT(Tabella118[[#This Row],[Composizione]], " - ", Tabella118[[#This Row],[Fornitore]])</f>
        <v/>
      </c>
      <c r="C923" s="943" t="n">
        <v>0.466</v>
      </c>
      <c r="D923" s="484" t="inlineStr">
        <is>
          <t>Santerno</t>
        </is>
      </c>
      <c r="E923" s="484">
        <f>IFERROR(IF(H923="BC",Tabella118[[#This Row],[composizione concatenata]],IF(H923="C",Tabella118[[#This Row],[composizione concatenata]],VLOOKUP(I923,$K$2:$O$7,5,FALSE))),+Tabella118[[#This Row],[composizione concatenata]])</f>
        <v/>
      </c>
      <c r="F923" s="943">
        <f>+_xlfn.IFNA(VLOOKUP(Tabella118[[#This Row],[Composizione alternativa per digitale]],Tabella118[[composizione concatenata]:[Euro/Mq]],2,FALSE),VLOOKUP(H923,digitale[[ONDA]:[Fornitore]],3,FALSE))</f>
        <v/>
      </c>
      <c r="H923" s="484">
        <f>IF(MID(A923, FIND("/", A923, FIND("/", A923) + 1) + 1, 2)="A","C",MID(A923, FIND("/", A923, FIND("/", A923) + 1) + 1, 2))</f>
        <v/>
      </c>
      <c r="I923" s="486">
        <f>TRIM(H923)</f>
        <v/>
      </c>
    </row>
    <row r="924" ht="15" customHeight="1">
      <c r="A924" s="491" t="inlineStr">
        <is>
          <t>TMFMT/26262/EB + ACC.</t>
        </is>
      </c>
      <c r="B924" s="484">
        <f>+_xlfn.CONCAT(Tabella118[[#This Row],[Composizione]], " - ", Tabella118[[#This Row],[Fornitore]])</f>
        <v/>
      </c>
      <c r="C924" s="943" t="n">
        <v>0.536</v>
      </c>
      <c r="D924" s="484" t="inlineStr">
        <is>
          <t>Santerno</t>
        </is>
      </c>
      <c r="E924" s="484">
        <f>IFERROR(IF(H924="BC",Tabella118[[#This Row],[composizione concatenata]],IF(H924="C",Tabella118[[#This Row],[composizione concatenata]],VLOOKUP(I924,$K$2:$O$7,5,FALSE))),+Tabella118[[#This Row],[composizione concatenata]])</f>
        <v/>
      </c>
      <c r="F924" s="943">
        <f>+_xlfn.IFNA(VLOOKUP(Tabella118[[#This Row],[Composizione alternativa per digitale]],Tabella118[[composizione concatenata]:[Euro/Mq]],2,FALSE),VLOOKUP(H924,digitale[[ONDA]:[Fornitore]],3,FALSE))</f>
        <v/>
      </c>
      <c r="H924" s="484">
        <f>IF(MID(A924, FIND("/", A924, FIND("/", A924) + 1) + 1, 2)="A","C",MID(A924, FIND("/", A924, FIND("/", A924) + 1) + 1, 2))</f>
        <v/>
      </c>
      <c r="I924" s="486">
        <f>TRIM(H924)</f>
        <v/>
      </c>
    </row>
    <row r="925" ht="15" customHeight="1">
      <c r="A925" s="491" t="inlineStr">
        <is>
          <t>TMFMT/26262/EE</t>
        </is>
      </c>
      <c r="B925" s="484">
        <f>+_xlfn.CONCAT(Tabella118[[#This Row],[Composizione]], " - ", Tabella118[[#This Row],[Fornitore]])</f>
        <v/>
      </c>
      <c r="C925" s="943" t="n">
        <v>0.46</v>
      </c>
      <c r="D925" s="484" t="inlineStr">
        <is>
          <t>Santerno</t>
        </is>
      </c>
      <c r="E925" s="484">
        <f>IFERROR(IF(H925="BC",Tabella118[[#This Row],[composizione concatenata]],IF(H925="C",Tabella118[[#This Row],[composizione concatenata]],VLOOKUP(I925,$K$2:$O$7,5,FALSE))),+Tabella118[[#This Row],[composizione concatenata]])</f>
        <v/>
      </c>
      <c r="F925" s="943">
        <f>+_xlfn.IFNA(VLOOKUP(Tabella118[[#This Row],[Composizione alternativa per digitale]],Tabella118[[composizione concatenata]:[Euro/Mq]],2,FALSE),VLOOKUP(H925,digitale[[ONDA]:[Fornitore]],3,FALSE))</f>
        <v/>
      </c>
      <c r="H925" s="484">
        <f>IF(MID(A925, FIND("/", A925, FIND("/", A925) + 1) + 1, 2)="A","C",MID(A925, FIND("/", A925, FIND("/", A925) + 1) + 1, 2))</f>
        <v/>
      </c>
      <c r="I925" s="486">
        <f>TRIM(H925)</f>
        <v/>
      </c>
    </row>
    <row r="926" ht="15" customHeight="1">
      <c r="A926" s="491" t="inlineStr">
        <is>
          <t>TMFMT/26262/EE + ACC.</t>
        </is>
      </c>
      <c r="B926" s="484">
        <f>+_xlfn.CONCAT(Tabella118[[#This Row],[Composizione]], " - ", Tabella118[[#This Row],[Fornitore]])</f>
        <v/>
      </c>
      <c r="C926" s="943" t="n">
        <v>0.53</v>
      </c>
      <c r="D926" s="484" t="inlineStr">
        <is>
          <t>Santerno</t>
        </is>
      </c>
      <c r="E926" s="484">
        <f>IFERROR(IF(H926="BC",Tabella118[[#This Row],[composizione concatenata]],IF(H926="C",Tabella118[[#This Row],[composizione concatenata]],VLOOKUP(I926,$K$2:$O$7,5,FALSE))),+Tabella118[[#This Row],[composizione concatenata]])</f>
        <v/>
      </c>
      <c r="F926" s="943">
        <f>+_xlfn.IFNA(VLOOKUP(Tabella118[[#This Row],[Composizione alternativa per digitale]],Tabella118[[composizione concatenata]:[Euro/Mq]],2,FALSE),VLOOKUP(H926,digitale[[ONDA]:[Fornitore]],3,FALSE))</f>
        <v/>
      </c>
      <c r="H926" s="484">
        <f>IF(MID(A926, FIND("/", A926, FIND("/", A926) + 1) + 1, 2)="A","C",MID(A926, FIND("/", A926, FIND("/", A926) + 1) + 1, 2))</f>
        <v/>
      </c>
      <c r="I926" s="486">
        <f>TRIM(H926)</f>
        <v/>
      </c>
    </row>
    <row r="927" ht="15" customHeight="1">
      <c r="A927" s="484" t="inlineStr">
        <is>
          <t>TMFMT/34242/BC</t>
        </is>
      </c>
      <c r="B927" s="484">
        <f>+_xlfn.CONCAT(Tabella118[[#This Row],[Composizione]], " - ", Tabella118[[#This Row],[Fornitore]])</f>
        <v/>
      </c>
      <c r="C927" s="943" t="n">
        <v>0.44</v>
      </c>
      <c r="D927" s="484" t="inlineStr">
        <is>
          <t xml:space="preserve">Ds Smith </t>
        </is>
      </c>
      <c r="E927" s="484">
        <f>IFERROR(IF(H927="BC",Tabella118[[#This Row],[composizione concatenata]],IF(H927="C",Tabella118[[#This Row],[composizione concatenata]],VLOOKUP(I927,$K$2:$O$7,5,FALSE))),+Tabella118[[#This Row],[composizione concatenata]])</f>
        <v/>
      </c>
      <c r="F927" s="943">
        <f>+_xlfn.IFNA(VLOOKUP(Tabella118[[#This Row],[Composizione alternativa per digitale]],Tabella118[[composizione concatenata]:[Euro/Mq]],2,FALSE),VLOOKUP(H927,digitale[[ONDA]:[Fornitore]],3,FALSE))</f>
        <v/>
      </c>
      <c r="H927" s="484">
        <f>IF(MID(A927, FIND("/", A927, FIND("/", A927) + 1) + 1, 2)="A","C",MID(A927, FIND("/", A927, FIND("/", A927) + 1) + 1, 2))</f>
        <v/>
      </c>
      <c r="I927" s="486">
        <f>TRIM(H927)</f>
        <v/>
      </c>
    </row>
    <row r="928" ht="15" customHeight="1">
      <c r="A928" s="484" t="inlineStr">
        <is>
          <t>TMFMT/34242/EB</t>
        </is>
      </c>
      <c r="B928" s="484">
        <f>+_xlfn.CONCAT(Tabella118[[#This Row],[Composizione]], " - ", Tabella118[[#This Row],[Fornitore]])</f>
        <v/>
      </c>
      <c r="C928" s="943" t="n">
        <v>0.395</v>
      </c>
      <c r="D928" s="484" t="inlineStr">
        <is>
          <t>Giusti</t>
        </is>
      </c>
      <c r="E928" s="484">
        <f>IFERROR(IF(H928="BC",Tabella118[[#This Row],[composizione concatenata]],IF(H928="C",Tabella118[[#This Row],[composizione concatenata]],VLOOKUP(I928,$K$2:$O$7,5,FALSE))),+Tabella118[[#This Row],[composizione concatenata]])</f>
        <v/>
      </c>
      <c r="F928" s="944">
        <f>+_xlfn.IFNA(VLOOKUP(Tabella118[[#This Row],[Composizione alternativa per digitale]],Tabella118[[composizione concatenata]:[Euro/Mq]],2,FALSE),VLOOKUP(H928,digitale[[ONDA]:[Fornitore]],3,FALSE))</f>
        <v/>
      </c>
      <c r="H928" s="484">
        <f>IF(MID(A928, FIND("/", A928, FIND("/", A928) + 1) + 1, 2)="A","C",MID(A928, FIND("/", A928, FIND("/", A928) + 1) + 1, 2))</f>
        <v/>
      </c>
      <c r="I928" s="486">
        <f>TRIM(H928)</f>
        <v/>
      </c>
    </row>
    <row r="929" ht="15" customHeight="1">
      <c r="A929" s="484" t="inlineStr">
        <is>
          <t>TMT/222/B</t>
        </is>
      </c>
      <c r="B929" s="484">
        <f>+_xlfn.CONCAT(Tabella118[[#This Row],[Composizione]], " - ", Tabella118[[#This Row],[Fornitore]])</f>
        <v/>
      </c>
      <c r="C929" s="943" t="n">
        <v>0.25</v>
      </c>
      <c r="D929" s="484" t="inlineStr">
        <is>
          <t xml:space="preserve">Ds Smith </t>
        </is>
      </c>
      <c r="E929" s="484">
        <f>IFERROR(IF(H929="BC",Tabella118[[#This Row],[composizione concatenata]],IF(H929="C",Tabella118[[#This Row],[composizione concatenata]],VLOOKUP(I929,$K$2:$O$7,5,FALSE))),+Tabella118[[#This Row],[composizione concatenata]])</f>
        <v/>
      </c>
      <c r="F929" s="943">
        <f>+_xlfn.IFNA(VLOOKUP(Tabella118[[#This Row],[Composizione alternativa per digitale]],Tabella118[[composizione concatenata]:[Euro/Mq]],2,FALSE),VLOOKUP(H929,digitale[[ONDA]:[Fornitore]],3,FALSE))</f>
        <v/>
      </c>
      <c r="H929" s="484">
        <f>IF(MID(A929, FIND("/", A929, FIND("/", A929) + 1) + 1, 2)="A","C",MID(A929, FIND("/", A929, FIND("/", A929) + 1) + 1, 2))</f>
        <v/>
      </c>
      <c r="I929" s="486">
        <f>TRIM(H929)</f>
        <v/>
      </c>
    </row>
    <row r="930" ht="15" customHeight="1">
      <c r="A930" s="484" t="inlineStr">
        <is>
          <t>TMT/242/A</t>
        </is>
      </c>
      <c r="B930" s="484">
        <f>+_xlfn.CONCAT(Tabella118[[#This Row],[Composizione]], " - ", Tabella118[[#This Row],[Fornitore]])</f>
        <v/>
      </c>
      <c r="C930" s="943" t="n">
        <v>0.228</v>
      </c>
      <c r="D930" s="484" t="inlineStr">
        <is>
          <t>FEPA</t>
        </is>
      </c>
      <c r="E930" s="484">
        <f>IFERROR(IF(H930="BC",Tabella118[[#This Row],[composizione concatenata]],IF(H930="C",Tabella118[[#This Row],[composizione concatenata]],VLOOKUP(I930,$K$2:$O$7,5,FALSE))),+Tabella118[[#This Row],[composizione concatenata]])</f>
        <v/>
      </c>
      <c r="F930" s="944">
        <f>+_xlfn.IFNA(VLOOKUP(Tabella118[[#This Row],[Composizione alternativa per digitale]],Tabella118[[composizione concatenata]:[Euro/Mq]],2,FALSE),VLOOKUP(H930,digitale[[ONDA]:[Fornitore]],3,FALSE))</f>
        <v/>
      </c>
      <c r="H930" s="484">
        <f>IF(MID(A930, FIND("/", A930, FIND("/", A930) + 1) + 1, 2)="A","C",MID(A930, FIND("/", A930, FIND("/", A930) + 1) + 1, 2))</f>
        <v/>
      </c>
      <c r="I930" s="486">
        <f>TRIM(H930)</f>
        <v/>
      </c>
    </row>
    <row r="931" ht="15" customHeight="1">
      <c r="A931" s="490" t="inlineStr">
        <is>
          <t>TMT/242/B</t>
        </is>
      </c>
      <c r="B931" s="484">
        <f>+_xlfn.CONCAT(Tabella118[[#This Row],[Composizione]], " - ", Tabella118[[#This Row],[Fornitore]])</f>
        <v/>
      </c>
      <c r="C931" s="943" t="n">
        <v>0.26</v>
      </c>
      <c r="D931" s="484" t="inlineStr">
        <is>
          <t>Italbox</t>
        </is>
      </c>
      <c r="E931" s="484">
        <f>IFERROR(IF(H931="BC",Tabella118[[#This Row],[composizione concatenata]],IF(H931="C",Tabella118[[#This Row],[composizione concatenata]],VLOOKUP(I931,$K$2:$O$7,5,FALSE))),+Tabella118[[#This Row],[composizione concatenata]])</f>
        <v/>
      </c>
      <c r="F931" s="944">
        <f>+_xlfn.IFNA(VLOOKUP(Tabella118[[#This Row],[Composizione alternativa per digitale]],Tabella118[[composizione concatenata]:[Euro/Mq]],2,FALSE),VLOOKUP(H931,digitale[[ONDA]:[Fornitore]],3,FALSE))</f>
        <v/>
      </c>
      <c r="H931" s="484">
        <f>IF(MID(A931, FIND("/", A931, FIND("/", A931) + 1) + 1, 2)="A","C",MID(A931, FIND("/", A931, FIND("/", A931) + 1) + 1, 2))</f>
        <v/>
      </c>
      <c r="I931" s="486">
        <f>TRIM(H931)</f>
        <v/>
      </c>
    </row>
    <row r="932" ht="15" customHeight="1">
      <c r="A932" s="484" t="inlineStr">
        <is>
          <t>TMT/242/B</t>
        </is>
      </c>
      <c r="B932" s="484">
        <f>+_xlfn.CONCAT(Tabella118[[#This Row],[Composizione]], " - ", Tabella118[[#This Row],[Fornitore]])</f>
        <v/>
      </c>
      <c r="C932" s="943" t="n">
        <v>0.255</v>
      </c>
      <c r="D932" s="484" t="inlineStr">
        <is>
          <t xml:space="preserve">Ds Smith </t>
        </is>
      </c>
      <c r="E932" s="484">
        <f>IFERROR(IF(H932="BC",Tabella118[[#This Row],[composizione concatenata]],IF(H932="C",Tabella118[[#This Row],[composizione concatenata]],VLOOKUP(I932,$K$2:$O$7,5,FALSE))),+Tabella118[[#This Row],[composizione concatenata]])</f>
        <v/>
      </c>
      <c r="F932" s="943">
        <f>+_xlfn.IFNA(VLOOKUP(Tabella118[[#This Row],[Composizione alternativa per digitale]],Tabella118[[composizione concatenata]:[Euro/Mq]],2,FALSE),VLOOKUP(H932,digitale[[ONDA]:[Fornitore]],3,FALSE))</f>
        <v/>
      </c>
      <c r="H932" s="484">
        <f>IF(MID(A932, FIND("/", A932, FIND("/", A932) + 1) + 1, 2)="A","C",MID(A932, FIND("/", A932, FIND("/", A932) + 1) + 1, 2))</f>
        <v/>
      </c>
      <c r="I932" s="486">
        <f>TRIM(H932)</f>
        <v/>
      </c>
    </row>
    <row r="933" ht="15" customHeight="1">
      <c r="A933" s="484" t="inlineStr">
        <is>
          <t>TMT/242/B</t>
        </is>
      </c>
      <c r="B933" s="484">
        <f>+_xlfn.CONCAT(Tabella118[[#This Row],[Composizione]], " - ", Tabella118[[#This Row],[Fornitore]])</f>
        <v/>
      </c>
      <c r="C933" s="943" t="n">
        <v>0.243</v>
      </c>
      <c r="D933" s="484" t="inlineStr">
        <is>
          <t>Giusti</t>
        </is>
      </c>
      <c r="E933" s="484">
        <f>IFERROR(IF(H933="BC",Tabella118[[#This Row],[composizione concatenata]],IF(H933="C",Tabella118[[#This Row],[composizione concatenata]],VLOOKUP(I933,$K$2:$O$7,5,FALSE))),+Tabella118[[#This Row],[composizione concatenata]])</f>
        <v/>
      </c>
      <c r="F933" s="944">
        <f>+_xlfn.IFNA(VLOOKUP(Tabella118[[#This Row],[Composizione alternativa per digitale]],Tabella118[[composizione concatenata]:[Euro/Mq]],2,FALSE),VLOOKUP(H933,digitale[[ONDA]:[Fornitore]],3,FALSE))</f>
        <v/>
      </c>
      <c r="H933" s="484">
        <f>IF(MID(A933, FIND("/", A933, FIND("/", A933) + 1) + 1, 2)="A","C",MID(A933, FIND("/", A933, FIND("/", A933) + 1) + 1, 2))</f>
        <v/>
      </c>
      <c r="I933" s="486">
        <f>TRIM(H933)</f>
        <v/>
      </c>
    </row>
    <row r="934" ht="15" customHeight="1">
      <c r="A934" s="483" t="inlineStr">
        <is>
          <t>TMT/242/B</t>
        </is>
      </c>
      <c r="B934" s="484">
        <f>+_xlfn.CONCAT(Tabella118[[#This Row],[Composizione]], " - ", Tabella118[[#This Row],[Fornitore]])</f>
        <v/>
      </c>
      <c r="C934" s="950" t="n">
        <v>0.227</v>
      </c>
      <c r="D934" s="484" t="inlineStr">
        <is>
          <t>Cartstrong</t>
        </is>
      </c>
      <c r="E934" s="484">
        <f>IFERROR(IF(H934="BC",Tabella118[[#This Row],[composizione concatenata]],IF(H934="C",Tabella118[[#This Row],[composizione concatenata]],VLOOKUP(I934,$K$2:$O$7,5,FALSE))),+Tabella118[[#This Row],[composizione concatenata]])</f>
        <v/>
      </c>
      <c r="F934" s="943">
        <f>+_xlfn.IFNA(VLOOKUP(Tabella118[[#This Row],[Composizione alternativa per digitale]],Tabella118[[composizione concatenata]:[Euro/Mq]],2,FALSE),VLOOKUP(H934,digitale[[ONDA]:[Fornitore]],3,FALSE))</f>
        <v/>
      </c>
      <c r="H934" s="484">
        <f>IF(MID(A934, FIND("/", A934, FIND("/", A934) + 1) + 1, 2)="A","C",MID(A934, FIND("/", A934, FIND("/", A934) + 1) + 1, 2))</f>
        <v/>
      </c>
      <c r="I934" s="486">
        <f>TRIM(H934)</f>
        <v/>
      </c>
    </row>
    <row r="935" ht="15" customHeight="1">
      <c r="A935" s="484" t="inlineStr">
        <is>
          <t>TMT/242/B</t>
        </is>
      </c>
      <c r="B935" s="484">
        <f>+_xlfn.CONCAT(Tabella118[[#This Row],[Composizione]], " - ", Tabella118[[#This Row],[Fornitore]])</f>
        <v/>
      </c>
      <c r="C935" s="943" t="n">
        <v>0.219</v>
      </c>
      <c r="D935" s="484" t="inlineStr">
        <is>
          <t>FEPA</t>
        </is>
      </c>
      <c r="E935" s="484">
        <f>IFERROR(IF(H935="BC",Tabella118[[#This Row],[composizione concatenata]],IF(H935="C",Tabella118[[#This Row],[composizione concatenata]],VLOOKUP(I935,$K$2:$O$7,5,FALSE))),+Tabella118[[#This Row],[composizione concatenata]])</f>
        <v/>
      </c>
      <c r="F935" s="944">
        <f>+_xlfn.IFNA(VLOOKUP(Tabella118[[#This Row],[Composizione alternativa per digitale]],Tabella118[[composizione concatenata]:[Euro/Mq]],2,FALSE),VLOOKUP(H935,digitale[[ONDA]:[Fornitore]],3,FALSE))</f>
        <v/>
      </c>
      <c r="H935" s="484">
        <f>IF(MID(A935, FIND("/", A935, FIND("/", A935) + 1) + 1, 2)="A","C",MID(A935, FIND("/", A935, FIND("/", A935) + 1) + 1, 2))</f>
        <v/>
      </c>
      <c r="I935" s="486">
        <f>TRIM(H935)</f>
        <v/>
      </c>
    </row>
    <row r="936" ht="15" customHeight="1">
      <c r="A936" s="484" t="inlineStr">
        <is>
          <t>TMT/242/C</t>
        </is>
      </c>
      <c r="B936" s="484">
        <f>+_xlfn.CONCAT(Tabella118[[#This Row],[Composizione]], " - ", Tabella118[[#This Row],[Fornitore]])</f>
        <v/>
      </c>
      <c r="C936" s="943" t="n">
        <v>0.265</v>
      </c>
      <c r="D936" s="484" t="inlineStr">
        <is>
          <t xml:space="preserve">Ds Smith </t>
        </is>
      </c>
      <c r="E936" s="484">
        <f>IFERROR(IF(H936="BC",Tabella118[[#This Row],[composizione concatenata]],IF(H936="C",Tabella118[[#This Row],[composizione concatenata]],VLOOKUP(I936,$K$2:$O$7,5,FALSE))),+Tabella118[[#This Row],[composizione concatenata]])</f>
        <v/>
      </c>
      <c r="F936" s="943">
        <f>+_xlfn.IFNA(VLOOKUP(Tabella118[[#This Row],[Composizione alternativa per digitale]],Tabella118[[composizione concatenata]:[Euro/Mq]],2,FALSE),VLOOKUP(H936,digitale[[ONDA]:[Fornitore]],3,FALSE))</f>
        <v/>
      </c>
      <c r="H936" s="484">
        <f>IF(MID(A936, FIND("/", A936, FIND("/", A936) + 1) + 1, 2)="A","C",MID(A936, FIND("/", A936, FIND("/", A936) + 1) + 1, 2))</f>
        <v/>
      </c>
      <c r="I936" s="486">
        <f>TRIM(H936)</f>
        <v/>
      </c>
    </row>
    <row r="937" ht="15" customHeight="1">
      <c r="A937" s="484" t="inlineStr">
        <is>
          <t>TMT/242/C</t>
        </is>
      </c>
      <c r="B937" s="484">
        <f>+_xlfn.CONCAT(Tabella118[[#This Row],[Composizione]], " - ", Tabella118[[#This Row],[Fornitore]])</f>
        <v/>
      </c>
      <c r="C937" s="943" t="n">
        <v>0.253</v>
      </c>
      <c r="D937" s="484" t="inlineStr">
        <is>
          <t>Giusti</t>
        </is>
      </c>
      <c r="E937" s="484">
        <f>IFERROR(IF(H937="BC",Tabella118[[#This Row],[composizione concatenata]],IF(H937="C",Tabella118[[#This Row],[composizione concatenata]],VLOOKUP(I937,$K$2:$O$7,5,FALSE))),+Tabella118[[#This Row],[composizione concatenata]])</f>
        <v/>
      </c>
      <c r="F937" s="944">
        <f>+_xlfn.IFNA(VLOOKUP(Tabella118[[#This Row],[Composizione alternativa per digitale]],Tabella118[[composizione concatenata]:[Euro/Mq]],2,FALSE),VLOOKUP(H937,digitale[[ONDA]:[Fornitore]],3,FALSE))</f>
        <v/>
      </c>
      <c r="H937" s="484">
        <f>IF(MID(A937, FIND("/", A937, FIND("/", A937) + 1) + 1, 2)="A","C",MID(A937, FIND("/", A937, FIND("/", A937) + 1) + 1, 2))</f>
        <v/>
      </c>
      <c r="I937" s="486">
        <f>TRIM(H937)</f>
        <v/>
      </c>
    </row>
    <row r="938" ht="15" customHeight="1">
      <c r="A938" s="483" t="inlineStr">
        <is>
          <t>TMT/242/C</t>
        </is>
      </c>
      <c r="B938" s="484">
        <f>+_xlfn.CONCAT(Tabella118[[#This Row],[Composizione]], " - ", Tabella118[[#This Row],[Fornitore]])</f>
        <v/>
      </c>
      <c r="C938" s="950" t="n">
        <v>0.232</v>
      </c>
      <c r="D938" s="484" t="inlineStr">
        <is>
          <t>Cartstrong</t>
        </is>
      </c>
      <c r="E938" s="484">
        <f>IFERROR(IF(H938="BC",Tabella118[[#This Row],[composizione concatenata]],IF(H938="C",Tabella118[[#This Row],[composizione concatenata]],VLOOKUP(I938,$K$2:$O$7,5,FALSE))),+Tabella118[[#This Row],[composizione concatenata]])</f>
        <v/>
      </c>
      <c r="F938" s="943">
        <f>+_xlfn.IFNA(VLOOKUP(Tabella118[[#This Row],[Composizione alternativa per digitale]],Tabella118[[composizione concatenata]:[Euro/Mq]],2,FALSE),VLOOKUP(H938,digitale[[ONDA]:[Fornitore]],3,FALSE))</f>
        <v/>
      </c>
      <c r="H938" s="484">
        <f>IF(MID(A938, FIND("/", A938, FIND("/", A938) + 1) + 1, 2)="A","C",MID(A938, FIND("/", A938, FIND("/", A938) + 1) + 1, 2))</f>
        <v/>
      </c>
      <c r="I938" s="486">
        <f>TRIM(H938)</f>
        <v/>
      </c>
    </row>
    <row r="939" ht="15" customHeight="1">
      <c r="A939" s="490" t="inlineStr">
        <is>
          <t>TMT/242/E</t>
        </is>
      </c>
      <c r="B939" s="484">
        <f>+_xlfn.CONCAT(Tabella118[[#This Row],[Composizione]], " - ", Tabella118[[#This Row],[Fornitore]])</f>
        <v/>
      </c>
      <c r="C939" s="943" t="n">
        <v>0.26</v>
      </c>
      <c r="D939" s="484" t="inlineStr">
        <is>
          <t>Italbox</t>
        </is>
      </c>
      <c r="E939" s="484">
        <f>IFERROR(IF(H939="BC",Tabella118[[#This Row],[composizione concatenata]],IF(H939="C",Tabella118[[#This Row],[composizione concatenata]],VLOOKUP(I939,$K$2:$O$7,5,FALSE))),+Tabella118[[#This Row],[composizione concatenata]])</f>
        <v/>
      </c>
      <c r="F939" s="944">
        <f>+_xlfn.IFNA(VLOOKUP(Tabella118[[#This Row],[Composizione alternativa per digitale]],Tabella118[[composizione concatenata]:[Euro/Mq]],2,FALSE),VLOOKUP(H939,digitale[[ONDA]:[Fornitore]],3,FALSE))</f>
        <v/>
      </c>
      <c r="H939" s="484">
        <f>IF(MID(A939, FIND("/", A939, FIND("/", A939) + 1) + 1, 2)="A","C",MID(A939, FIND("/", A939, FIND("/", A939) + 1) + 1, 2))</f>
        <v/>
      </c>
      <c r="I939" s="486">
        <f>TRIM(H939)</f>
        <v/>
      </c>
    </row>
    <row r="940" ht="15" customHeight="1">
      <c r="A940" s="484" t="inlineStr">
        <is>
          <t>TMT/242/E</t>
        </is>
      </c>
      <c r="B940" s="484">
        <f>+_xlfn.CONCAT(Tabella118[[#This Row],[Composizione]], " - ", Tabella118[[#This Row],[Fornitore]])</f>
        <v/>
      </c>
      <c r="C940" s="943" t="n">
        <v>0.24</v>
      </c>
      <c r="D940" s="484" t="inlineStr">
        <is>
          <t xml:space="preserve">Ds Smith </t>
        </is>
      </c>
      <c r="E940" s="484">
        <f>IFERROR(IF(H940="BC",Tabella118[[#This Row],[composizione concatenata]],IF(H940="C",Tabella118[[#This Row],[composizione concatenata]],VLOOKUP(I940,$K$2:$O$7,5,FALSE))),+Tabella118[[#This Row],[composizione concatenata]])</f>
        <v/>
      </c>
      <c r="F940" s="943">
        <f>+_xlfn.IFNA(VLOOKUP(Tabella118[[#This Row],[Composizione alternativa per digitale]],Tabella118[[composizione concatenata]:[Euro/Mq]],2,FALSE),VLOOKUP(H940,digitale[[ONDA]:[Fornitore]],3,FALSE))</f>
        <v/>
      </c>
      <c r="H940" s="484">
        <f>IF(MID(A940, FIND("/", A940, FIND("/", A940) + 1) + 1, 2)="A","C",MID(A940, FIND("/", A940, FIND("/", A940) + 1) + 1, 2))</f>
        <v/>
      </c>
      <c r="I940" s="486">
        <f>TRIM(H940)</f>
        <v/>
      </c>
    </row>
    <row r="941" ht="15" customHeight="1">
      <c r="A941" s="484" t="inlineStr">
        <is>
          <t>TMT/242/E</t>
        </is>
      </c>
      <c r="B941" s="484">
        <f>+_xlfn.CONCAT(Tabella118[[#This Row],[Composizione]], " - ", Tabella118[[#This Row],[Fornitore]])</f>
        <v/>
      </c>
      <c r="C941" s="943" t="n">
        <v>0.238</v>
      </c>
      <c r="D941" s="484" t="inlineStr">
        <is>
          <t>Giusti</t>
        </is>
      </c>
      <c r="E941" s="484">
        <f>IFERROR(IF(H941="BC",Tabella118[[#This Row],[composizione concatenata]],IF(H941="C",Tabella118[[#This Row],[composizione concatenata]],VLOOKUP(I941,$K$2:$O$7,5,FALSE))),+Tabella118[[#This Row],[composizione concatenata]])</f>
        <v/>
      </c>
      <c r="F941" s="944">
        <f>+_xlfn.IFNA(VLOOKUP(Tabella118[[#This Row],[Composizione alternativa per digitale]],Tabella118[[composizione concatenata]:[Euro/Mq]],2,FALSE),VLOOKUP(H941,digitale[[ONDA]:[Fornitore]],3,FALSE))</f>
        <v/>
      </c>
      <c r="H941" s="484">
        <f>IF(MID(A941, FIND("/", A941, FIND("/", A941) + 1) + 1, 2)="A","C",MID(A941, FIND("/", A941, FIND("/", A941) + 1) + 1, 2))</f>
        <v/>
      </c>
      <c r="I941" s="486">
        <f>TRIM(H941)</f>
        <v/>
      </c>
    </row>
    <row r="942" ht="15" customHeight="1">
      <c r="A942" s="489" t="inlineStr">
        <is>
          <t>TMT/242/E</t>
        </is>
      </c>
      <c r="B942" s="484">
        <f>+_xlfn.CONCAT(Tabella118[[#This Row],[Composizione]], " - ", Tabella118[[#This Row],[Fornitore]])</f>
        <v/>
      </c>
      <c r="C942" s="943" t="n">
        <v>0.216</v>
      </c>
      <c r="D942" s="484" t="inlineStr">
        <is>
          <t>FEPA</t>
        </is>
      </c>
      <c r="E942" s="484">
        <f>IFERROR(IF(H942="BC",Tabella118[[#This Row],[composizione concatenata]],IF(H942="C",Tabella118[[#This Row],[composizione concatenata]],VLOOKUP(I942,$K$2:$O$7,5,FALSE))),+Tabella118[[#This Row],[composizione concatenata]])</f>
        <v/>
      </c>
      <c r="F942" s="944">
        <f>+_xlfn.IFNA(VLOOKUP(Tabella118[[#This Row],[Composizione alternativa per digitale]],Tabella118[[composizione concatenata]:[Euro/Mq]],2,FALSE),VLOOKUP(H942,digitale[[ONDA]:[Fornitore]],3,FALSE))</f>
        <v/>
      </c>
      <c r="H942" s="484">
        <f>IF(MID(A942, FIND("/", A942, FIND("/", A942) + 1) + 1, 2)="A","C",MID(A942, FIND("/", A942, FIND("/", A942) + 1) + 1, 2))</f>
        <v/>
      </c>
      <c r="I942" s="486">
        <f>TRIM(H942)</f>
        <v/>
      </c>
    </row>
    <row r="943" ht="15" customHeight="1">
      <c r="A943" s="484" t="inlineStr">
        <is>
          <t>TMT/262/B</t>
        </is>
      </c>
      <c r="B943" s="484">
        <f>+_xlfn.CONCAT(Tabella118[[#This Row],[Composizione]], " - ", Tabella118[[#This Row],[Fornitore]])</f>
        <v/>
      </c>
      <c r="C943" s="943" t="n">
        <v>0.273</v>
      </c>
      <c r="D943" s="484" t="inlineStr">
        <is>
          <t>Giusti</t>
        </is>
      </c>
      <c r="E943" s="484">
        <f>IFERROR(IF(H943="BC",Tabella118[[#This Row],[composizione concatenata]],IF(H943="C",Tabella118[[#This Row],[composizione concatenata]],VLOOKUP(I943,$K$2:$O$7,5,FALSE))),+Tabella118[[#This Row],[composizione concatenata]])</f>
        <v/>
      </c>
      <c r="F943" s="944">
        <f>+_xlfn.IFNA(VLOOKUP(Tabella118[[#This Row],[Composizione alternativa per digitale]],Tabella118[[composizione concatenata]:[Euro/Mq]],2,FALSE),VLOOKUP(H943,digitale[[ONDA]:[Fornitore]],3,FALSE))</f>
        <v/>
      </c>
      <c r="H943" s="484">
        <f>IF(MID(A943, FIND("/", A943, FIND("/", A943) + 1) + 1, 2)="A","C",MID(A943, FIND("/", A943, FIND("/", A943) + 1) + 1, 2))</f>
        <v/>
      </c>
      <c r="I943" s="486">
        <f>TRIM(H943)</f>
        <v/>
      </c>
    </row>
    <row r="944" ht="15" customHeight="1">
      <c r="A944" s="484" t="inlineStr">
        <is>
          <t>TMT/262/B</t>
        </is>
      </c>
      <c r="B944" s="484">
        <f>+_xlfn.CONCAT(Tabella118[[#This Row],[Composizione]], " - ", Tabella118[[#This Row],[Fornitore]])</f>
        <v/>
      </c>
      <c r="C944" s="943" t="n">
        <v>0.265</v>
      </c>
      <c r="D944" s="484" t="inlineStr">
        <is>
          <t xml:space="preserve">Ds Smith </t>
        </is>
      </c>
      <c r="E944" s="484">
        <f>IFERROR(IF(H944="BC",Tabella118[[#This Row],[composizione concatenata]],IF(H944="C",Tabella118[[#This Row],[composizione concatenata]],VLOOKUP(I944,$K$2:$O$7,5,FALSE))),+Tabella118[[#This Row],[composizione concatenata]])</f>
        <v/>
      </c>
      <c r="F944" s="943">
        <f>+_xlfn.IFNA(VLOOKUP(Tabella118[[#This Row],[Composizione alternativa per digitale]],Tabella118[[composizione concatenata]:[Euro/Mq]],2,FALSE),VLOOKUP(H944,digitale[[ONDA]:[Fornitore]],3,FALSE))</f>
        <v/>
      </c>
      <c r="H944" s="484">
        <f>IF(MID(A944, FIND("/", A944, FIND("/", A944) + 1) + 1, 2)="A","C",MID(A944, FIND("/", A944, FIND("/", A944) + 1) + 1, 2))</f>
        <v/>
      </c>
      <c r="I944" s="486">
        <f>TRIM(H944)</f>
        <v/>
      </c>
    </row>
    <row r="945" ht="15" customHeight="1">
      <c r="A945" s="491" t="inlineStr">
        <is>
          <t>TMT/262/E</t>
        </is>
      </c>
      <c r="B945" s="484">
        <f>+_xlfn.CONCAT(Tabella118[[#This Row],[Composizione]], " - ", Tabella118[[#This Row],[Fornitore]])</f>
        <v/>
      </c>
      <c r="C945" s="943" t="n">
        <v>0.279</v>
      </c>
      <c r="D945" s="484" t="inlineStr">
        <is>
          <t>Santerno</t>
        </is>
      </c>
      <c r="E945" s="484">
        <f>IFERROR(IF(H945="BC",Tabella118[[#This Row],[composizione concatenata]],IF(H945="C",Tabella118[[#This Row],[composizione concatenata]],VLOOKUP(I945,$K$2:$O$7,5,FALSE))),+Tabella118[[#This Row],[composizione concatenata]])</f>
        <v/>
      </c>
      <c r="F945" s="943">
        <f>+_xlfn.IFNA(VLOOKUP(Tabella118[[#This Row],[Composizione alternativa per digitale]],Tabella118[[composizione concatenata]:[Euro/Mq]],2,FALSE),VLOOKUP(H945,digitale[[ONDA]:[Fornitore]],3,FALSE))</f>
        <v/>
      </c>
      <c r="H945" s="484">
        <f>IF(MID(A945, FIND("/", A945, FIND("/", A945) + 1) + 1, 2)="A","C",MID(A945, FIND("/", A945, FIND("/", A945) + 1) + 1, 2))</f>
        <v/>
      </c>
      <c r="I945" s="486">
        <f>TRIM(H945)</f>
        <v/>
      </c>
    </row>
    <row r="946" ht="15" customHeight="1">
      <c r="A946" s="491" t="inlineStr">
        <is>
          <t>TMT/262/E + ACC.</t>
        </is>
      </c>
      <c r="B946" s="484">
        <f>+_xlfn.CONCAT(Tabella118[[#This Row],[Composizione]], " - ", Tabella118[[#This Row],[Fornitore]])</f>
        <v/>
      </c>
      <c r="C946" s="943" t="n">
        <v>0.339</v>
      </c>
      <c r="D946" s="484" t="inlineStr">
        <is>
          <t>Santerno</t>
        </is>
      </c>
      <c r="E946" s="484">
        <f>IFERROR(IF(H946="BC",Tabella118[[#This Row],[composizione concatenata]],IF(H946="C",Tabella118[[#This Row],[composizione concatenata]],VLOOKUP(I946,$K$2:$O$7,5,FALSE))),+Tabella118[[#This Row],[composizione concatenata]])</f>
        <v/>
      </c>
      <c r="F946" s="943">
        <f>+_xlfn.IFNA(VLOOKUP(Tabella118[[#This Row],[Composizione alternativa per digitale]],Tabella118[[composizione concatenata]:[Euro/Mq]],2,FALSE),VLOOKUP(H946,digitale[[ONDA]:[Fornitore]],3,FALSE))</f>
        <v/>
      </c>
      <c r="H946" s="484">
        <f>IF(MID(A946, FIND("/", A946, FIND("/", A946) + 1) + 1, 2)="A","C",MID(A946, FIND("/", A946, FIND("/", A946) + 1) + 1, 2))</f>
        <v/>
      </c>
      <c r="I946" s="486">
        <f>TRIM(H946)</f>
        <v/>
      </c>
    </row>
    <row r="947" ht="15" customHeight="1">
      <c r="A947" s="484" t="inlineStr">
        <is>
          <t>TMT/322/E</t>
        </is>
      </c>
      <c r="B947" s="484">
        <f>+_xlfn.CONCAT(Tabella118[[#This Row],[Composizione]], " - ", Tabella118[[#This Row],[Fornitore]])</f>
        <v/>
      </c>
      <c r="C947" s="943" t="n">
        <v>0.29</v>
      </c>
      <c r="D947" s="484" t="inlineStr">
        <is>
          <t xml:space="preserve">Ds Smith </t>
        </is>
      </c>
      <c r="E947" s="484">
        <f>IFERROR(IF(H947="BC",Tabella118[[#This Row],[composizione concatenata]],IF(H947="C",Tabella118[[#This Row],[composizione concatenata]],VLOOKUP(I947,$K$2:$O$7,5,FALSE))),+Tabella118[[#This Row],[composizione concatenata]])</f>
        <v/>
      </c>
      <c r="F947" s="943">
        <f>+_xlfn.IFNA(VLOOKUP(Tabella118[[#This Row],[Composizione alternativa per digitale]],Tabella118[[composizione concatenata]:[Euro/Mq]],2,FALSE),VLOOKUP(H947,digitale[[ONDA]:[Fornitore]],3,FALSE))</f>
        <v/>
      </c>
      <c r="H947" s="484">
        <f>IF(MID(A947, FIND("/", A947, FIND("/", A947) + 1) + 1, 2)="A","C",MID(A947, FIND("/", A947, FIND("/", A947) + 1) + 1, 2))</f>
        <v/>
      </c>
      <c r="I947" s="486">
        <f>TRIM(H947)</f>
        <v/>
      </c>
    </row>
    <row r="948" ht="15" customHeight="1">
      <c r="A948" s="484" t="inlineStr">
        <is>
          <t>TMT/342/B</t>
        </is>
      </c>
      <c r="B948" s="484">
        <f>+_xlfn.CONCAT(Tabella118[[#This Row],[Composizione]], " - ", Tabella118[[#This Row],[Fornitore]])</f>
        <v/>
      </c>
      <c r="C948" s="943" t="n">
        <v>0.31</v>
      </c>
      <c r="D948" s="484" t="inlineStr">
        <is>
          <t xml:space="preserve">Ds Smith </t>
        </is>
      </c>
      <c r="E948" s="484">
        <f>IFERROR(IF(H948="BC",Tabella118[[#This Row],[composizione concatenata]],IF(H948="C",Tabella118[[#This Row],[composizione concatenata]],VLOOKUP(I948,$K$2:$O$7,5,FALSE))),+Tabella118[[#This Row],[composizione concatenata]])</f>
        <v/>
      </c>
      <c r="F948" s="943">
        <f>+_xlfn.IFNA(VLOOKUP(Tabella118[[#This Row],[Composizione alternativa per digitale]],Tabella118[[composizione concatenata]:[Euro/Mq]],2,FALSE),VLOOKUP(H948,digitale[[ONDA]:[Fornitore]],3,FALSE))</f>
        <v/>
      </c>
      <c r="H948" s="484">
        <f>IF(MID(A948, FIND("/", A948, FIND("/", A948) + 1) + 1, 2)="A","C",MID(A948, FIND("/", A948, FIND("/", A948) + 1) + 1, 2))</f>
        <v/>
      </c>
      <c r="I948" s="486">
        <f>TRIM(H948)</f>
        <v/>
      </c>
    </row>
    <row r="949" ht="15" customHeight="1">
      <c r="A949" s="484" t="inlineStr">
        <is>
          <t>TMT/342/B</t>
        </is>
      </c>
      <c r="B949" s="484">
        <f>+_xlfn.CONCAT(Tabella118[[#This Row],[Composizione]], " - ", Tabella118[[#This Row],[Fornitore]])</f>
        <v/>
      </c>
      <c r="C949" s="943" t="n">
        <v>0.26</v>
      </c>
      <c r="D949" s="484" t="inlineStr">
        <is>
          <t>Giusti</t>
        </is>
      </c>
      <c r="E949" s="484">
        <f>IFERROR(IF(H949="BC",Tabella118[[#This Row],[composizione concatenata]],IF(H949="C",Tabella118[[#This Row],[composizione concatenata]],VLOOKUP(I949,$K$2:$O$7,5,FALSE))),+Tabella118[[#This Row],[composizione concatenata]])</f>
        <v/>
      </c>
      <c r="F949" s="944">
        <f>+_xlfn.IFNA(VLOOKUP(Tabella118[[#This Row],[Composizione alternativa per digitale]],Tabella118[[composizione concatenata]:[Euro/Mq]],2,FALSE),VLOOKUP(H949,digitale[[ONDA]:[Fornitore]],3,FALSE))</f>
        <v/>
      </c>
      <c r="H949" s="484">
        <f>IF(MID(A949, FIND("/", A949, FIND("/", A949) + 1) + 1, 2)="A","C",MID(A949, FIND("/", A949, FIND("/", A949) + 1) + 1, 2))</f>
        <v/>
      </c>
      <c r="I949" s="486">
        <f>TRIM(H949)</f>
        <v/>
      </c>
    </row>
    <row r="950" ht="15" customHeight="1">
      <c r="A950" s="484" t="inlineStr">
        <is>
          <t>TMT/342/E</t>
        </is>
      </c>
      <c r="B950" s="484">
        <f>+_xlfn.CONCAT(Tabella118[[#This Row],[Composizione]], " - ", Tabella118[[#This Row],[Fornitore]])</f>
        <v/>
      </c>
      <c r="C950" s="943" t="n">
        <v>0.295</v>
      </c>
      <c r="D950" s="484" t="inlineStr">
        <is>
          <t xml:space="preserve">Ds Smith </t>
        </is>
      </c>
      <c r="E950" s="484">
        <f>IFERROR(IF(H950="BC",Tabella118[[#This Row],[composizione concatenata]],IF(H950="C",Tabella118[[#This Row],[composizione concatenata]],VLOOKUP(I950,$K$2:$O$7,5,FALSE))),+Tabella118[[#This Row],[composizione concatenata]])</f>
        <v/>
      </c>
      <c r="F950" s="943">
        <f>+_xlfn.IFNA(VLOOKUP(Tabella118[[#This Row],[Composizione alternativa per digitale]],Tabella118[[composizione concatenata]:[Euro/Mq]],2,FALSE),VLOOKUP(H950,digitale[[ONDA]:[Fornitore]],3,FALSE))</f>
        <v/>
      </c>
      <c r="H950" s="484">
        <f>IF(MID(A950, FIND("/", A950, FIND("/", A950) + 1) + 1, 2)="A","C",MID(A950, FIND("/", A950, FIND("/", A950) + 1) + 1, 2))</f>
        <v/>
      </c>
      <c r="I950" s="486">
        <f>TRIM(H950)</f>
        <v/>
      </c>
    </row>
    <row r="951" ht="15" customHeight="1">
      <c r="A951" s="484" t="inlineStr">
        <is>
          <t>TMT/343/B</t>
        </is>
      </c>
      <c r="B951" s="484">
        <f>+_xlfn.CONCAT(Tabella118[[#This Row],[Composizione]], " - ", Tabella118[[#This Row],[Fornitore]])</f>
        <v/>
      </c>
      <c r="C951" s="943" t="n">
        <v>0.278</v>
      </c>
      <c r="D951" s="484" t="inlineStr">
        <is>
          <t>Giusti</t>
        </is>
      </c>
      <c r="E951" s="484">
        <f>IFERROR(IF(H951="BC",Tabella118[[#This Row],[composizione concatenata]],IF(H951="C",Tabella118[[#This Row],[composizione concatenata]],VLOOKUP(I951,$K$2:$O$7,5,FALSE))),+Tabella118[[#This Row],[composizione concatenata]])</f>
        <v/>
      </c>
      <c r="F951" s="944">
        <f>+_xlfn.IFNA(VLOOKUP(Tabella118[[#This Row],[Composizione alternativa per digitale]],Tabella118[[composizione concatenata]:[Euro/Mq]],2,FALSE),VLOOKUP(H951,digitale[[ONDA]:[Fornitore]],3,FALSE))</f>
        <v/>
      </c>
      <c r="H951" s="484">
        <f>IF(MID(A951, FIND("/", A951, FIND("/", A951) + 1) + 1, 2)="A","C",MID(A951, FIND("/", A951, FIND("/", A951) + 1) + 1, 2))</f>
        <v/>
      </c>
      <c r="I951" s="486">
        <f>TRIM(H951)</f>
        <v/>
      </c>
    </row>
    <row r="952" ht="15" customHeight="1">
      <c r="A952" s="483" t="inlineStr">
        <is>
          <t>TMT/343/B</t>
        </is>
      </c>
      <c r="B952" s="484">
        <f>+_xlfn.CONCAT(Tabella118[[#This Row],[Composizione]], " - ", Tabella118[[#This Row],[Fornitore]])</f>
        <v/>
      </c>
      <c r="C952" s="950" t="n">
        <v>0.258</v>
      </c>
      <c r="D952" s="484" t="inlineStr">
        <is>
          <t>Cartstrong</t>
        </is>
      </c>
      <c r="E952" s="484">
        <f>IFERROR(IF(H952="BC",Tabella118[[#This Row],[composizione concatenata]],IF(H952="C",Tabella118[[#This Row],[composizione concatenata]],VLOOKUP(I952,$K$2:$O$7,5,FALSE))),+Tabella118[[#This Row],[composizione concatenata]])</f>
        <v/>
      </c>
      <c r="F952" s="943">
        <f>+_xlfn.IFNA(VLOOKUP(Tabella118[[#This Row],[Composizione alternativa per digitale]],Tabella118[[composizione concatenata]:[Euro/Mq]],2,FALSE),VLOOKUP(H952,digitale[[ONDA]:[Fornitore]],3,FALSE))</f>
        <v/>
      </c>
      <c r="H952" s="484">
        <f>IF(MID(A952, FIND("/", A952, FIND("/", A952) + 1) + 1, 2)="A","C",MID(A952, FIND("/", A952, FIND("/", A952) + 1) + 1, 2))</f>
        <v/>
      </c>
      <c r="I952" s="486">
        <f>TRIM(H952)</f>
        <v/>
      </c>
    </row>
    <row r="953" ht="15" customHeight="1">
      <c r="A953" s="484" t="inlineStr">
        <is>
          <t>TMT/362/B</t>
        </is>
      </c>
      <c r="B953" s="484">
        <f>+_xlfn.CONCAT(Tabella118[[#This Row],[Composizione]], " - ", Tabella118[[#This Row],[Fornitore]])</f>
        <v/>
      </c>
      <c r="C953" s="943" t="n">
        <v>0.32</v>
      </c>
      <c r="D953" s="484" t="inlineStr">
        <is>
          <t xml:space="preserve">Ds Smith </t>
        </is>
      </c>
      <c r="E953" s="484">
        <f>IFERROR(IF(H953="BC",Tabella118[[#This Row],[composizione concatenata]],IF(H953="C",Tabella118[[#This Row],[composizione concatenata]],VLOOKUP(I953,$K$2:$O$7,5,FALSE))),+Tabella118[[#This Row],[composizione concatenata]])</f>
        <v/>
      </c>
      <c r="F953" s="943">
        <f>+_xlfn.IFNA(VLOOKUP(Tabella118[[#This Row],[Composizione alternativa per digitale]],Tabella118[[composizione concatenata]:[Euro/Mq]],2,FALSE),VLOOKUP(H953,digitale[[ONDA]:[Fornitore]],3,FALSE))</f>
        <v/>
      </c>
      <c r="H953" s="484">
        <f>IF(MID(A953, FIND("/", A953, FIND("/", A953) + 1) + 1, 2)="A","C",MID(A953, FIND("/", A953, FIND("/", A953) + 1) + 1, 2))</f>
        <v/>
      </c>
      <c r="I953" s="486">
        <f>TRIM(H953)</f>
        <v/>
      </c>
    </row>
    <row r="954" ht="15" customHeight="1">
      <c r="A954" s="484" t="inlineStr">
        <is>
          <t>TMT/362/B</t>
        </is>
      </c>
      <c r="B954" s="484">
        <f>+_xlfn.CONCAT(Tabella118[[#This Row],[Composizione]], " - ", Tabella118[[#This Row],[Fornitore]])</f>
        <v/>
      </c>
      <c r="C954" s="943" t="n">
        <v>0.286</v>
      </c>
      <c r="D954" s="484" t="inlineStr">
        <is>
          <t>Giusti</t>
        </is>
      </c>
      <c r="E954" s="484">
        <f>IFERROR(IF(H954="BC",Tabella118[[#This Row],[composizione concatenata]],IF(H954="C",Tabella118[[#This Row],[composizione concatenata]],VLOOKUP(I954,$K$2:$O$7,5,FALSE))),+Tabella118[[#This Row],[composizione concatenata]])</f>
        <v/>
      </c>
      <c r="F954" s="944">
        <f>+_xlfn.IFNA(VLOOKUP(Tabella118[[#This Row],[Composizione alternativa per digitale]],Tabella118[[composizione concatenata]:[Euro/Mq]],2,FALSE),VLOOKUP(H954,digitale[[ONDA]:[Fornitore]],3,FALSE))</f>
        <v/>
      </c>
      <c r="H954" s="484">
        <f>IF(MID(A954, FIND("/", A954, FIND("/", A954) + 1) + 1, 2)="A","C",MID(A954, FIND("/", A954, FIND("/", A954) + 1) + 1, 2))</f>
        <v/>
      </c>
      <c r="I954" s="486">
        <f>TRIM(H954)</f>
        <v/>
      </c>
    </row>
    <row r="955" ht="15" customHeight="1">
      <c r="A955" s="484" t="inlineStr">
        <is>
          <t>TMT/363/B</t>
        </is>
      </c>
      <c r="B955" s="484">
        <f>+_xlfn.CONCAT(Tabella118[[#This Row],[Composizione]], " - ", Tabella118[[#This Row],[Fornitore]])</f>
        <v/>
      </c>
      <c r="C955" s="943" t="n">
        <v>0.299</v>
      </c>
      <c r="D955" s="484" t="inlineStr">
        <is>
          <t>Giusti</t>
        </is>
      </c>
      <c r="E955" s="484">
        <f>IFERROR(IF(H955="BC",Tabella118[[#This Row],[composizione concatenata]],IF(H955="C",Tabella118[[#This Row],[composizione concatenata]],VLOOKUP(I955,$K$2:$O$7,5,FALSE))),+Tabella118[[#This Row],[composizione concatenata]])</f>
        <v/>
      </c>
      <c r="F955" s="944">
        <f>+_xlfn.IFNA(VLOOKUP(Tabella118[[#This Row],[Composizione alternativa per digitale]],Tabella118[[composizione concatenata]:[Euro/Mq]],2,FALSE),VLOOKUP(H955,digitale[[ONDA]:[Fornitore]],3,FALSE))</f>
        <v/>
      </c>
      <c r="H955" s="484">
        <f>IF(MID(A955, FIND("/", A955, FIND("/", A955) + 1) + 1, 2)="A","C",MID(A955, FIND("/", A955, FIND("/", A955) + 1) + 1, 2))</f>
        <v/>
      </c>
      <c r="I955" s="486">
        <f>TRIM(H955)</f>
        <v/>
      </c>
    </row>
    <row r="956" ht="15" customHeight="1">
      <c r="A956" s="491" t="inlineStr">
        <is>
          <t>TS/42/e</t>
        </is>
      </c>
      <c r="B956" s="484">
        <f>+_xlfn.CONCAT(Tabella118[[#This Row],[Composizione]], " - ", Tabella118[[#This Row],[Fornitore]])</f>
        <v/>
      </c>
      <c r="C956" s="943" t="n">
        <v>0.273</v>
      </c>
      <c r="D956" s="484" t="inlineStr">
        <is>
          <t>Santerno</t>
        </is>
      </c>
      <c r="E956" s="484">
        <f>IFERROR(IF(H956="BC",Tabella118[[#This Row],[composizione concatenata]],IF(H956="C",Tabella118[[#This Row],[composizione concatenata]],VLOOKUP(I956,$K$2:$O$7,5,FALSE))),+Tabella118[[#This Row],[composizione concatenata]])</f>
        <v/>
      </c>
      <c r="F956" s="943">
        <f>+_xlfn.IFNA(VLOOKUP(Tabella118[[#This Row],[Composizione alternativa per digitale]],Tabella118[[composizione concatenata]:[Euro/Mq]],2,FALSE),VLOOKUP(H956,digitale[[ONDA]:[Fornitore]],3,FALSE))</f>
        <v/>
      </c>
      <c r="H956" s="484">
        <f>IF(MID(A956, FIND("/", A956, FIND("/", A956) + 1) + 1, 2)="A","C",MID(A956, FIND("/", A956, FIND("/", A956) + 1) + 1, 2))</f>
        <v/>
      </c>
      <c r="I956" s="486">
        <f>TRIM(H956)</f>
        <v/>
      </c>
    </row>
    <row r="957" ht="15" customHeight="1">
      <c r="A957" s="491" t="inlineStr">
        <is>
          <t>TS/42/e + ACC.</t>
        </is>
      </c>
      <c r="B957" s="484">
        <f>+_xlfn.CONCAT(Tabella118[[#This Row],[Composizione]], " - ", Tabella118[[#This Row],[Fornitore]])</f>
        <v/>
      </c>
      <c r="C957" s="943" t="n">
        <v>0.328</v>
      </c>
      <c r="D957" s="484" t="inlineStr">
        <is>
          <t>Santerno</t>
        </is>
      </c>
      <c r="E957" s="484">
        <f>IFERROR(IF(H957="BC",Tabella118[[#This Row],[composizione concatenata]],IF(H957="C",Tabella118[[#This Row],[composizione concatenata]],VLOOKUP(I957,$K$2:$O$7,5,FALSE))),+Tabella118[[#This Row],[composizione concatenata]])</f>
        <v/>
      </c>
      <c r="F957" s="943">
        <f>+_xlfn.IFNA(VLOOKUP(Tabella118[[#This Row],[Composizione alternativa per digitale]],Tabella118[[composizione concatenata]:[Euro/Mq]],2,FALSE),VLOOKUP(H957,digitale[[ONDA]:[Fornitore]],3,FALSE))</f>
        <v/>
      </c>
      <c r="H957" s="484">
        <f>IF(MID(A957, FIND("/", A957, FIND("/", A957) + 1) + 1, 2)="A","C",MID(A957, FIND("/", A957, FIND("/", A957) + 1) + 1, 2))</f>
        <v/>
      </c>
      <c r="I957" s="486">
        <f>TRIM(H957)</f>
        <v/>
      </c>
    </row>
    <row r="958" ht="15" customHeight="1">
      <c r="A958" s="484" t="inlineStr">
        <is>
          <t>TSFST/34242/BC</t>
        </is>
      </c>
      <c r="B958" s="484">
        <f>+_xlfn.CONCAT(Tabella118[[#This Row],[Composizione]], " - ", Tabella118[[#This Row],[Fornitore]])</f>
        <v/>
      </c>
      <c r="C958" s="943" t="n">
        <v>0.465</v>
      </c>
      <c r="D958" s="484" t="inlineStr">
        <is>
          <t xml:space="preserve">Ds Smith </t>
        </is>
      </c>
      <c r="E958" s="484">
        <f>IFERROR(IF(H958="BC",Tabella118[[#This Row],[composizione concatenata]],IF(H958="C",Tabella118[[#This Row],[composizione concatenata]],VLOOKUP(I958,$K$2:$O$7,5,FALSE))),+Tabella118[[#This Row],[composizione concatenata]])</f>
        <v/>
      </c>
      <c r="F958" s="943">
        <f>+_xlfn.IFNA(VLOOKUP(Tabella118[[#This Row],[Composizione alternativa per digitale]],Tabella118[[composizione concatenata]:[Euro/Mq]],2,FALSE),VLOOKUP(H958,digitale[[ONDA]:[Fornitore]],3,FALSE))</f>
        <v/>
      </c>
      <c r="H958" s="484">
        <f>IF(MID(A958, FIND("/", A958, FIND("/", A958) + 1) + 1, 2)="A","C",MID(A958, FIND("/", A958, FIND("/", A958) + 1) + 1, 2))</f>
        <v/>
      </c>
      <c r="I958" s="486">
        <f>TRIM(H958)</f>
        <v/>
      </c>
    </row>
    <row r="959" ht="15" customHeight="1">
      <c r="A959" s="484" t="inlineStr">
        <is>
          <t>TSFST/34242/BC</t>
        </is>
      </c>
      <c r="B959" s="484">
        <f>+_xlfn.CONCAT(Tabella118[[#This Row],[Composizione]], " - ", Tabella118[[#This Row],[Fornitore]])</f>
        <v/>
      </c>
      <c r="C959" s="943" t="n">
        <v>0.445</v>
      </c>
      <c r="D959" s="484" t="inlineStr">
        <is>
          <t>Giusti</t>
        </is>
      </c>
      <c r="E959" s="484">
        <f>IFERROR(IF(H959="BC",Tabella118[[#This Row],[composizione concatenata]],IF(H959="C",Tabella118[[#This Row],[composizione concatenata]],VLOOKUP(I959,$K$2:$O$7,5,FALSE))),+Tabella118[[#This Row],[composizione concatenata]])</f>
        <v/>
      </c>
      <c r="F959" s="944">
        <f>+_xlfn.IFNA(VLOOKUP(Tabella118[[#This Row],[Composizione alternativa per digitale]],Tabella118[[composizione concatenata]:[Euro/Mq]],2,FALSE),VLOOKUP(H959,digitale[[ONDA]:[Fornitore]],3,FALSE))</f>
        <v/>
      </c>
      <c r="H959" s="484">
        <f>IF(MID(A959, FIND("/", A959, FIND("/", A959) + 1) + 1, 2)="A","C",MID(A959, FIND("/", A959, FIND("/", A959) + 1) + 1, 2))</f>
        <v/>
      </c>
      <c r="I959" s="486">
        <f>TRIM(H959)</f>
        <v/>
      </c>
    </row>
    <row r="960" ht="15" customHeight="1">
      <c r="A960" s="483" t="inlineStr">
        <is>
          <t>TSFST/34242/BC</t>
        </is>
      </c>
      <c r="B960" s="484">
        <f>+_xlfn.CONCAT(Tabella118[[#This Row],[Composizione]], " - ", Tabella118[[#This Row],[Fornitore]])</f>
        <v/>
      </c>
      <c r="C960" s="950" t="n">
        <v>0.4</v>
      </c>
      <c r="D960" s="484" t="inlineStr">
        <is>
          <t>Cartstrong</t>
        </is>
      </c>
      <c r="E960" s="484">
        <f>IFERROR(IF(H960="BC",Tabella118[[#This Row],[composizione concatenata]],IF(H960="C",Tabella118[[#This Row],[composizione concatenata]],VLOOKUP(I960,$K$2:$O$7,5,FALSE))),+Tabella118[[#This Row],[composizione concatenata]])</f>
        <v/>
      </c>
      <c r="F960" s="943">
        <f>+_xlfn.IFNA(VLOOKUP(Tabella118[[#This Row],[Composizione alternativa per digitale]],Tabella118[[composizione concatenata]:[Euro/Mq]],2,FALSE),VLOOKUP(H960,digitale[[ONDA]:[Fornitore]],3,FALSE))</f>
        <v/>
      </c>
      <c r="H960" s="484">
        <f>IF(MID(A960, FIND("/", A960, FIND("/", A960) + 1) + 1, 2)="A","C",MID(A960, FIND("/", A960, FIND("/", A960) + 1) + 1, 2))</f>
        <v/>
      </c>
      <c r="I960" s="486">
        <f>TRIM(H960)</f>
        <v/>
      </c>
    </row>
    <row r="961" ht="15" customHeight="1">
      <c r="A961" s="484" t="inlineStr">
        <is>
          <t>TST/242/B</t>
        </is>
      </c>
      <c r="B961" s="484">
        <f>+_xlfn.CONCAT(Tabella118[[#This Row],[Composizione]], " - ", Tabella118[[#This Row],[Fornitore]])</f>
        <v/>
      </c>
      <c r="C961" s="943" t="n">
        <v>0.27</v>
      </c>
      <c r="D961" s="484" t="inlineStr">
        <is>
          <t xml:space="preserve">Ds Smith </t>
        </is>
      </c>
      <c r="E961" s="484">
        <f>IFERROR(IF(H961="BC",Tabella118[[#This Row],[composizione concatenata]],IF(H961="C",Tabella118[[#This Row],[composizione concatenata]],VLOOKUP(I961,$K$2:$O$7,5,FALSE))),+Tabella118[[#This Row],[composizione concatenata]])</f>
        <v/>
      </c>
      <c r="F961" s="943">
        <f>+_xlfn.IFNA(VLOOKUP(Tabella118[[#This Row],[Composizione alternativa per digitale]],Tabella118[[composizione concatenata]:[Euro/Mq]],2,FALSE),VLOOKUP(H961,digitale[[ONDA]:[Fornitore]],3,FALSE))</f>
        <v/>
      </c>
      <c r="H961" s="484">
        <f>IF(MID(A961, FIND("/", A961, FIND("/", A961) + 1) + 1, 2)="A","C",MID(A961, FIND("/", A961, FIND("/", A961) + 1) + 1, 2))</f>
        <v/>
      </c>
      <c r="I961" s="486">
        <f>TRIM(H961)</f>
        <v/>
      </c>
    </row>
    <row r="962" ht="15" customHeight="1">
      <c r="A962" s="484" t="inlineStr">
        <is>
          <t>TST/242/C</t>
        </is>
      </c>
      <c r="B962" s="484">
        <f>+_xlfn.CONCAT(Tabella118[[#This Row],[Composizione]], " - ", Tabella118[[#This Row],[Fornitore]])</f>
        <v/>
      </c>
      <c r="C962" s="943" t="n">
        <v>0.264</v>
      </c>
      <c r="D962" s="484" t="inlineStr">
        <is>
          <t>Giusti</t>
        </is>
      </c>
      <c r="E962" s="484">
        <f>IFERROR(IF(H962="BC",Tabella118[[#This Row],[composizione concatenata]],IF(H962="C",Tabella118[[#This Row],[composizione concatenata]],VLOOKUP(I962,$K$2:$O$7,5,FALSE))),+Tabella118[[#This Row],[composizione concatenata]])</f>
        <v/>
      </c>
      <c r="F962" s="944">
        <f>+_xlfn.IFNA(VLOOKUP(Tabella118[[#This Row],[Composizione alternativa per digitale]],Tabella118[[composizione concatenata]:[Euro/Mq]],2,FALSE),VLOOKUP(H962,digitale[[ONDA]:[Fornitore]],3,FALSE))</f>
        <v/>
      </c>
      <c r="H962" s="484">
        <f>IF(MID(A962, FIND("/", A962, FIND("/", A962) + 1) + 1, 2)="A","C",MID(A962, FIND("/", A962, FIND("/", A962) + 1) + 1, 2))</f>
        <v/>
      </c>
      <c r="I962" s="486">
        <f>TRIM(H962)</f>
        <v/>
      </c>
    </row>
    <row r="963" ht="15" customHeight="1">
      <c r="A963" s="484" t="inlineStr">
        <is>
          <t>TST/262/B</t>
        </is>
      </c>
      <c r="B963" s="484">
        <f>+_xlfn.CONCAT(Tabella118[[#This Row],[Composizione]], " - ", Tabella118[[#This Row],[Fornitore]])</f>
        <v/>
      </c>
      <c r="C963" s="943" t="n">
        <v>0.285</v>
      </c>
      <c r="D963" s="484" t="inlineStr">
        <is>
          <t xml:space="preserve">Ds Smith </t>
        </is>
      </c>
      <c r="E963" s="484">
        <f>IFERROR(IF(H963="BC",Tabella118[[#This Row],[composizione concatenata]],IF(H963="C",Tabella118[[#This Row],[composizione concatenata]],VLOOKUP(I963,$K$2:$O$7,5,FALSE))),+Tabella118[[#This Row],[composizione concatenata]])</f>
        <v/>
      </c>
      <c r="F963" s="943">
        <f>+_xlfn.IFNA(VLOOKUP(Tabella118[[#This Row],[Composizione alternativa per digitale]],Tabella118[[composizione concatenata]:[Euro/Mq]],2,FALSE),VLOOKUP(H963,digitale[[ONDA]:[Fornitore]],3,FALSE))</f>
        <v/>
      </c>
      <c r="H963" s="484">
        <f>IF(MID(A963, FIND("/", A963, FIND("/", A963) + 1) + 1, 2)="A","C",MID(A963, FIND("/", A963, FIND("/", A963) + 1) + 1, 2))</f>
        <v/>
      </c>
      <c r="I963" s="486">
        <f>TRIM(H963)</f>
        <v/>
      </c>
    </row>
    <row r="964" ht="15" customHeight="1">
      <c r="A964" s="484" t="inlineStr">
        <is>
          <t>TST/262/C</t>
        </is>
      </c>
      <c r="B964" s="484">
        <f>+_xlfn.CONCAT(Tabella118[[#This Row],[Composizione]], " - ", Tabella118[[#This Row],[Fornitore]])</f>
        <v/>
      </c>
      <c r="C964" s="943" t="n">
        <v>0.294</v>
      </c>
      <c r="D964" s="484" t="inlineStr">
        <is>
          <t>Giusti</t>
        </is>
      </c>
      <c r="E964" s="484">
        <f>IFERROR(IF(H964="BC",Tabella118[[#This Row],[composizione concatenata]],IF(H964="C",Tabella118[[#This Row],[composizione concatenata]],VLOOKUP(I964,$K$2:$O$7,5,FALSE))),+Tabella118[[#This Row],[composizione concatenata]])</f>
        <v/>
      </c>
      <c r="F964" s="944">
        <f>+_xlfn.IFNA(VLOOKUP(Tabella118[[#This Row],[Composizione alternativa per digitale]],Tabella118[[composizione concatenata]:[Euro/Mq]],2,FALSE),VLOOKUP(H964,digitale[[ONDA]:[Fornitore]],3,FALSE))</f>
        <v/>
      </c>
      <c r="H964" s="484">
        <f>IF(MID(A964, FIND("/", A964, FIND("/", A964) + 1) + 1, 2)="A","C",MID(A964, FIND("/", A964, FIND("/", A964) + 1) + 1, 2))</f>
        <v/>
      </c>
      <c r="I964" s="486">
        <f>TRIM(H964)</f>
        <v/>
      </c>
    </row>
    <row r="965" ht="15" customHeight="1">
      <c r="A965" s="484" t="inlineStr">
        <is>
          <t>TST/342/B</t>
        </is>
      </c>
      <c r="B965" s="484">
        <f>+_xlfn.CONCAT(Tabella118[[#This Row],[Composizione]], " - ", Tabella118[[#This Row],[Fornitore]])</f>
        <v/>
      </c>
      <c r="C965" s="943" t="n">
        <v>0.325</v>
      </c>
      <c r="D965" s="484" t="inlineStr">
        <is>
          <t xml:space="preserve">Ds Smith </t>
        </is>
      </c>
      <c r="E965" s="484">
        <f>IFERROR(IF(H965="BC",Tabella118[[#This Row],[composizione concatenata]],IF(H965="C",Tabella118[[#This Row],[composizione concatenata]],VLOOKUP(I965,$K$2:$O$7,5,FALSE))),+Tabella118[[#This Row],[composizione concatenata]])</f>
        <v/>
      </c>
      <c r="F965" s="943">
        <f>+_xlfn.IFNA(VLOOKUP(Tabella118[[#This Row],[Composizione alternativa per digitale]],Tabella118[[composizione concatenata]:[Euro/Mq]],2,FALSE),VLOOKUP(H965,digitale[[ONDA]:[Fornitore]],3,FALSE))</f>
        <v/>
      </c>
      <c r="H965" s="484">
        <f>IF(MID(A965, FIND("/", A965, FIND("/", A965) + 1) + 1, 2)="A","C",MID(A965, FIND("/", A965, FIND("/", A965) + 1) + 1, 2))</f>
        <v/>
      </c>
      <c r="I965" s="486">
        <f>TRIM(H965)</f>
        <v/>
      </c>
    </row>
    <row r="966" ht="15" customHeight="1">
      <c r="A966" s="484" t="inlineStr">
        <is>
          <t>TST/342/B</t>
        </is>
      </c>
      <c r="B966" s="484">
        <f>+_xlfn.CONCAT(Tabella118[[#This Row],[Composizione]], " - ", Tabella118[[#This Row],[Fornitore]])</f>
        <v/>
      </c>
      <c r="C966" s="943" t="n">
        <v>0.266</v>
      </c>
      <c r="D966" s="484" t="inlineStr">
        <is>
          <t>Giusti</t>
        </is>
      </c>
      <c r="E966" s="484">
        <f>IFERROR(IF(H966="BC",Tabella118[[#This Row],[composizione concatenata]],IF(H966="C",Tabella118[[#This Row],[composizione concatenata]],VLOOKUP(I966,$K$2:$O$7,5,FALSE))),+Tabella118[[#This Row],[composizione concatenata]])</f>
        <v/>
      </c>
      <c r="F966" s="944">
        <f>+_xlfn.IFNA(VLOOKUP(Tabella118[[#This Row],[Composizione alternativa per digitale]],Tabella118[[composizione concatenata]:[Euro/Mq]],2,FALSE),VLOOKUP(H966,digitale[[ONDA]:[Fornitore]],3,FALSE))</f>
        <v/>
      </c>
      <c r="H966" s="484">
        <f>IF(MID(A966, FIND("/", A966, FIND("/", A966) + 1) + 1, 2)="A","C",MID(A966, FIND("/", A966, FIND("/", A966) + 1) + 1, 2))</f>
        <v/>
      </c>
      <c r="I966" s="486">
        <f>TRIM(H966)</f>
        <v/>
      </c>
    </row>
    <row r="967" ht="15" customHeight="1">
      <c r="A967" s="484" t="inlineStr">
        <is>
          <t>TST/342/B</t>
        </is>
      </c>
      <c r="B967" s="484">
        <f>+_xlfn.CONCAT(Tabella118[[#This Row],[Composizione]], " - ", Tabella118[[#This Row],[Fornitore]])</f>
        <v/>
      </c>
      <c r="C967" s="943" t="n">
        <v>0.24</v>
      </c>
      <c r="D967" s="484" t="inlineStr">
        <is>
          <t>Ms Packaging</t>
        </is>
      </c>
      <c r="E967" s="484">
        <f>IFERROR(IF(H967="BC",Tabella118[[#This Row],[composizione concatenata]],IF(H967="C",Tabella118[[#This Row],[composizione concatenata]],VLOOKUP(I967,$K$2:$O$7,5,FALSE))),+Tabella118[[#This Row],[composizione concatenata]])</f>
        <v/>
      </c>
      <c r="F967" s="943">
        <f>+_xlfn.IFNA(VLOOKUP(Tabella118[[#This Row],[Composizione alternativa per digitale]],Tabella118[[composizione concatenata]:[Euro/Mq]],2,FALSE),VLOOKUP(H967,digitale[[ONDA]:[Fornitore]],3,FALSE))</f>
        <v/>
      </c>
      <c r="H967" s="484">
        <f>IF(MID(A967, FIND("/", A967, FIND("/", A967) + 1) + 1, 2)="A","C",MID(A967, FIND("/", A967, FIND("/", A967) + 1) + 1, 2))</f>
        <v/>
      </c>
      <c r="I967" s="486">
        <f>TRIM(H967)</f>
        <v/>
      </c>
    </row>
    <row r="968" ht="15" customHeight="1">
      <c r="A968" s="484" t="inlineStr">
        <is>
          <t>TST/362/B</t>
        </is>
      </c>
      <c r="B968" s="484">
        <f>+_xlfn.CONCAT(Tabella118[[#This Row],[Composizione]], " - ", Tabella118[[#This Row],[Fornitore]])</f>
        <v/>
      </c>
      <c r="C968" s="943" t="n">
        <v>0.33</v>
      </c>
      <c r="D968" s="484" t="inlineStr">
        <is>
          <t xml:space="preserve">Ds Smith </t>
        </is>
      </c>
      <c r="E968" s="484">
        <f>IFERROR(IF(H968="BC",Tabella118[[#This Row],[composizione concatenata]],IF(H968="C",Tabella118[[#This Row],[composizione concatenata]],VLOOKUP(I968,$K$2:$O$7,5,FALSE))),+Tabella118[[#This Row],[composizione concatenata]])</f>
        <v/>
      </c>
      <c r="F968" s="943">
        <f>+_xlfn.IFNA(VLOOKUP(Tabella118[[#This Row],[Composizione alternativa per digitale]],Tabella118[[composizione concatenata]:[Euro/Mq]],2,FALSE),VLOOKUP(H968,digitale[[ONDA]:[Fornitore]],3,FALSE))</f>
        <v/>
      </c>
      <c r="H968" s="484">
        <f>IF(MID(A968, FIND("/", A968, FIND("/", A968) + 1) + 1, 2)="A","C",MID(A968, FIND("/", A968, FIND("/", A968) + 1) + 1, 2))</f>
        <v/>
      </c>
      <c r="I968" s="486">
        <f>TRIM(H968)</f>
        <v/>
      </c>
    </row>
    <row r="969" ht="15" customHeight="1">
      <c r="A969" s="484" t="inlineStr">
        <is>
          <t>TST/363/B</t>
        </is>
      </c>
      <c r="B969" s="484">
        <f>+_xlfn.CONCAT(Tabella118[[#This Row],[Composizione]], " - ", Tabella118[[#This Row],[Fornitore]])</f>
        <v/>
      </c>
      <c r="C969" s="943" t="n">
        <v>0.318</v>
      </c>
      <c r="D969" s="484" t="inlineStr">
        <is>
          <t>Giusti</t>
        </is>
      </c>
      <c r="E969" s="484">
        <f>IFERROR(IF(H969="BC",Tabella118[[#This Row],[composizione concatenata]],IF(H969="C",Tabella118[[#This Row],[composizione concatenata]],VLOOKUP(I969,$K$2:$O$7,5,FALSE))),+Tabella118[[#This Row],[composizione concatenata]])</f>
        <v/>
      </c>
      <c r="F969" s="944">
        <f>+_xlfn.IFNA(VLOOKUP(Tabella118[[#This Row],[Composizione alternativa per digitale]],Tabella118[[composizione concatenata]:[Euro/Mq]],2,FALSE),VLOOKUP(H969,digitale[[ONDA]:[Fornitore]],3,FALSE))</f>
        <v/>
      </c>
      <c r="H969" s="484">
        <f>IF(MID(A969, FIND("/", A969, FIND("/", A969) + 1) + 1, 2)="A","C",MID(A969, FIND("/", A969, FIND("/", A969) + 1) + 1, 2))</f>
        <v/>
      </c>
      <c r="I969" s="486">
        <f>TRIM(H969)</f>
        <v/>
      </c>
    </row>
    <row r="970" ht="15" customHeight="1">
      <c r="A970" s="483" t="inlineStr">
        <is>
          <t>TST/363/B</t>
        </is>
      </c>
      <c r="B970" s="484">
        <f>+_xlfn.CONCAT(Tabella118[[#This Row],[Composizione]], " - ", Tabella118[[#This Row],[Fornitore]])</f>
        <v/>
      </c>
      <c r="C970" s="950" t="n">
        <v>0.284</v>
      </c>
      <c r="D970" s="484" t="inlineStr">
        <is>
          <t>Cartstrong</t>
        </is>
      </c>
      <c r="E970" s="484">
        <f>IFERROR(IF(H970="BC",Tabella118[[#This Row],[composizione concatenata]],IF(H970="C",Tabella118[[#This Row],[composizione concatenata]],VLOOKUP(I970,$K$2:$O$7,5,FALSE))),+Tabella118[[#This Row],[composizione concatenata]])</f>
        <v/>
      </c>
      <c r="F970" s="943">
        <f>+_xlfn.IFNA(VLOOKUP(Tabella118[[#This Row],[Composizione alternativa per digitale]],Tabella118[[composizione concatenata]:[Euro/Mq]],2,FALSE),VLOOKUP(H970,digitale[[ONDA]:[Fornitore]],3,FALSE))</f>
        <v/>
      </c>
      <c r="H970" s="484">
        <f>IF(MID(A970, FIND("/", A970, FIND("/", A970) + 1) + 1, 2)="A","C",MID(A970, FIND("/", A970, FIND("/", A970) + 1) + 1, 2))</f>
        <v/>
      </c>
      <c r="I970" s="486">
        <f>TRIM(H970)</f>
        <v/>
      </c>
    </row>
    <row r="971" ht="15" customHeight="1">
      <c r="A971" s="484" t="inlineStr">
        <is>
          <t>TST/363/C</t>
        </is>
      </c>
      <c r="B971" s="484">
        <f>+_xlfn.CONCAT(Tabella118[[#This Row],[Composizione]], " - ", Tabella118[[#This Row],[Fornitore]])</f>
        <v/>
      </c>
      <c r="C971" s="943" t="n">
        <v>0.31</v>
      </c>
      <c r="D971" s="484" t="inlineStr">
        <is>
          <t>Giusti</t>
        </is>
      </c>
      <c r="E971" s="484">
        <f>IFERROR(IF(H971="BC",Tabella118[[#This Row],[composizione concatenata]],IF(H971="C",Tabella118[[#This Row],[composizione concatenata]],VLOOKUP(I971,$K$2:$O$7,5,FALSE))),+Tabella118[[#This Row],[composizione concatenata]])</f>
        <v/>
      </c>
      <c r="F971" s="944">
        <f>+_xlfn.IFNA(VLOOKUP(Tabella118[[#This Row],[Composizione alternativa per digitale]],Tabella118[[composizione concatenata]:[Euro/Mq]],2,FALSE),VLOOKUP(H971,digitale[[ONDA]:[Fornitore]],3,FALSE))</f>
        <v/>
      </c>
      <c r="H971" s="484">
        <f>IF(MID(A971, FIND("/", A971, FIND("/", A971) + 1) + 1, 2)="A","C",MID(A971, FIND("/", A971, FIND("/", A971) + 1) + 1, 2))</f>
        <v/>
      </c>
      <c r="I971" s="486">
        <f>TRIM(H971)</f>
        <v/>
      </c>
    </row>
    <row r="972" ht="15" customHeight="1">
      <c r="A972" s="484" t="inlineStr">
        <is>
          <t>TSUFSUT/24242/EB</t>
        </is>
      </c>
      <c r="B972" s="484">
        <f>+_xlfn.CONCAT(Tabella118[[#This Row],[Composizione]], " - ", Tabella118[[#This Row],[Fornitore]])</f>
        <v/>
      </c>
      <c r="C972" s="943" t="n">
        <v>0.374</v>
      </c>
      <c r="D972" s="484" t="inlineStr">
        <is>
          <t>FEPA</t>
        </is>
      </c>
      <c r="E972" s="484">
        <f>IFERROR(IF(H972="BC",Tabella118[[#This Row],[composizione concatenata]],IF(H972="C",Tabella118[[#This Row],[composizione concatenata]],VLOOKUP(I972,$K$2:$O$7,5,FALSE))),+Tabella118[[#This Row],[composizione concatenata]])</f>
        <v/>
      </c>
      <c r="F972" s="944">
        <f>+_xlfn.IFNA(VLOOKUP(Tabella118[[#This Row],[Composizione alternativa per digitale]],Tabella118[[composizione concatenata]:[Euro/Mq]],2,FALSE),VLOOKUP(H972,digitale[[ONDA]:[Fornitore]],3,FALSE))</f>
        <v/>
      </c>
      <c r="H972" s="484">
        <f>IF(MID(A972, FIND("/", A972, FIND("/", A972) + 1) + 1, 2)="A","C",MID(A972, FIND("/", A972, FIND("/", A972) + 1) + 1, 2))</f>
        <v/>
      </c>
      <c r="I972" s="486">
        <f>TRIM(H972)</f>
        <v/>
      </c>
    </row>
    <row r="973" ht="15" customHeight="1">
      <c r="A973" s="484" t="inlineStr">
        <is>
          <t>TSUT/242/A</t>
        </is>
      </c>
      <c r="B973" s="484">
        <f>+_xlfn.CONCAT(Tabella118[[#This Row],[Composizione]], " - ", Tabella118[[#This Row],[Fornitore]])</f>
        <v/>
      </c>
      <c r="C973" s="943" t="n">
        <v>0.242</v>
      </c>
      <c r="D973" s="484" t="inlineStr">
        <is>
          <t>FEPA</t>
        </is>
      </c>
      <c r="E973" s="484">
        <f>IFERROR(IF(H973="BC",Tabella118[[#This Row],[composizione concatenata]],IF(H973="C",Tabella118[[#This Row],[composizione concatenata]],VLOOKUP(I973,$K$2:$O$7,5,FALSE))),+Tabella118[[#This Row],[composizione concatenata]])</f>
        <v/>
      </c>
      <c r="F973" s="944">
        <f>+_xlfn.IFNA(VLOOKUP(Tabella118[[#This Row],[Composizione alternativa per digitale]],Tabella118[[composizione concatenata]:[Euro/Mq]],2,FALSE),VLOOKUP(H973,digitale[[ONDA]:[Fornitore]],3,FALSE))</f>
        <v/>
      </c>
      <c r="H973" s="484">
        <f>IF(MID(A973, FIND("/", A973, FIND("/", A973) + 1) + 1, 2)="A","C",MID(A973, FIND("/", A973, FIND("/", A973) + 1) + 1, 2))</f>
        <v/>
      </c>
      <c r="I973" s="486">
        <f>TRIM(H973)</f>
        <v/>
      </c>
    </row>
    <row r="974" ht="15" customHeight="1">
      <c r="A974" s="484" t="inlineStr">
        <is>
          <t>TSUT/242/B</t>
        </is>
      </c>
      <c r="B974" s="484">
        <f>+_xlfn.CONCAT(Tabella118[[#This Row],[Composizione]], " - ", Tabella118[[#This Row],[Fornitore]])</f>
        <v/>
      </c>
      <c r="C974" s="943" t="n">
        <v>0.231</v>
      </c>
      <c r="D974" s="484" t="inlineStr">
        <is>
          <t>FEPA</t>
        </is>
      </c>
      <c r="E974" s="484">
        <f>IFERROR(IF(H974="BC",Tabella118[[#This Row],[composizione concatenata]],IF(H974="C",Tabella118[[#This Row],[composizione concatenata]],VLOOKUP(I974,$K$2:$O$7,5,FALSE))),+Tabella118[[#This Row],[composizione concatenata]])</f>
        <v/>
      </c>
      <c r="F974" s="944">
        <f>+_xlfn.IFNA(VLOOKUP(Tabella118[[#This Row],[Composizione alternativa per digitale]],Tabella118[[composizione concatenata]:[Euro/Mq]],2,FALSE),VLOOKUP(H974,digitale[[ONDA]:[Fornitore]],3,FALSE))</f>
        <v/>
      </c>
      <c r="H974" s="484">
        <f>IF(MID(A974, FIND("/", A974, FIND("/", A974) + 1) + 1, 2)="A","C",MID(A974, FIND("/", A974, FIND("/", A974) + 1) + 1, 2))</f>
        <v/>
      </c>
      <c r="I974" s="486">
        <f>TRIM(H974)</f>
        <v/>
      </c>
    </row>
    <row r="975" ht="15" customHeight="1">
      <c r="A975" s="489" t="inlineStr">
        <is>
          <t>TSUT/242/E</t>
        </is>
      </c>
      <c r="B975" s="484">
        <f>+_xlfn.CONCAT(Tabella118[[#This Row],[Composizione]], " - ", Tabella118[[#This Row],[Fornitore]])</f>
        <v/>
      </c>
      <c r="C975" s="943" t="n">
        <v>0.233</v>
      </c>
      <c r="D975" s="484" t="inlineStr">
        <is>
          <t>FEPA</t>
        </is>
      </c>
      <c r="E975" s="484">
        <f>IFERROR(IF(H975="BC",Tabella118[[#This Row],[composizione concatenata]],IF(H975="C",Tabella118[[#This Row],[composizione concatenata]],VLOOKUP(I975,$K$2:$O$7,5,FALSE))),+Tabella118[[#This Row],[composizione concatenata]])</f>
        <v/>
      </c>
      <c r="F975" s="944">
        <f>+_xlfn.IFNA(VLOOKUP(Tabella118[[#This Row],[Composizione alternativa per digitale]],Tabella118[[composizione concatenata]:[Euro/Mq]],2,FALSE),VLOOKUP(H975,digitale[[ONDA]:[Fornitore]],3,FALSE))</f>
        <v/>
      </c>
      <c r="H975" s="484">
        <f>IF(MID(A975, FIND("/", A975, FIND("/", A975) + 1) + 1, 2)="A","C",MID(A975, FIND("/", A975, FIND("/", A975) + 1) + 1, 2))</f>
        <v/>
      </c>
      <c r="I975" s="486">
        <f>TRIM(H975)</f>
        <v/>
      </c>
    </row>
    <row r="976" ht="15" customHeight="1">
      <c r="A976" s="484" t="inlineStr">
        <is>
          <t>TSUT/343/A</t>
        </is>
      </c>
      <c r="B976" s="484">
        <f>+_xlfn.CONCAT(Tabella118[[#This Row],[Composizione]], " - ", Tabella118[[#This Row],[Fornitore]])</f>
        <v/>
      </c>
      <c r="C976" s="943" t="n">
        <v>0.264</v>
      </c>
      <c r="D976" s="484" t="inlineStr">
        <is>
          <t>FEPA</t>
        </is>
      </c>
      <c r="E976" s="484">
        <f>IFERROR(IF(H976="BC",Tabella118[[#This Row],[composizione concatenata]],IF(H976="C",Tabella118[[#This Row],[composizione concatenata]],VLOOKUP(I976,$K$2:$O$7,5,FALSE))),+Tabella118[[#This Row],[composizione concatenata]])</f>
        <v/>
      </c>
      <c r="F976" s="944">
        <f>+_xlfn.IFNA(VLOOKUP(Tabella118[[#This Row],[Composizione alternativa per digitale]],Tabella118[[composizione concatenata]:[Euro/Mq]],2,FALSE),VLOOKUP(H976,digitale[[ONDA]:[Fornitore]],3,FALSE))</f>
        <v/>
      </c>
      <c r="H976" s="484">
        <f>IF(MID(A976, FIND("/", A976, FIND("/", A976) + 1) + 1, 2)="A","C",MID(A976, FIND("/", A976, FIND("/", A976) + 1) + 1, 2))</f>
        <v/>
      </c>
      <c r="I976" s="486">
        <f>TRIM(H976)</f>
        <v/>
      </c>
    </row>
    <row r="977" ht="15" customHeight="1">
      <c r="A977" s="484" t="inlineStr">
        <is>
          <t>TSUT/343/B</t>
        </is>
      </c>
      <c r="B977" s="484">
        <f>+_xlfn.CONCAT(Tabella118[[#This Row],[Composizione]], " - ", Tabella118[[#This Row],[Fornitore]])</f>
        <v/>
      </c>
      <c r="C977" s="943" t="n">
        <v>0.254</v>
      </c>
      <c r="D977" s="484" t="inlineStr">
        <is>
          <t>FEPA</t>
        </is>
      </c>
      <c r="E977" s="484">
        <f>IFERROR(IF(H977="BC",Tabella118[[#This Row],[composizione concatenata]],IF(H977="C",Tabella118[[#This Row],[composizione concatenata]],VLOOKUP(I977,$K$2:$O$7,5,FALSE))),+Tabella118[[#This Row],[composizione concatenata]])</f>
        <v/>
      </c>
      <c r="F977" s="944">
        <f>+_xlfn.IFNA(VLOOKUP(Tabella118[[#This Row],[Composizione alternativa per digitale]],Tabella118[[composizione concatenata]:[Euro/Mq]],2,FALSE),VLOOKUP(H977,digitale[[ONDA]:[Fornitore]],3,FALSE))</f>
        <v/>
      </c>
      <c r="H977" s="484">
        <f>IF(MID(A977, FIND("/", A977, FIND("/", A977) + 1) + 1, 2)="A","C",MID(A977, FIND("/", A977, FIND("/", A977) + 1) + 1, 2))</f>
        <v/>
      </c>
      <c r="I977" s="486">
        <f>TRIM(H977)</f>
        <v/>
      </c>
    </row>
    <row r="978" ht="15" customHeight="1">
      <c r="A978" s="484" t="inlineStr">
        <is>
          <t>TSUT/345/A</t>
        </is>
      </c>
      <c r="B978" s="484">
        <f>+_xlfn.CONCAT(Tabella118[[#This Row],[Composizione]], " - ", Tabella118[[#This Row],[Fornitore]])</f>
        <v/>
      </c>
      <c r="C978" s="943" t="n">
        <v>0.279</v>
      </c>
      <c r="D978" s="484" t="inlineStr">
        <is>
          <t>FEPA</t>
        </is>
      </c>
      <c r="E978" s="484">
        <f>IFERROR(IF(H978="BC",Tabella118[[#This Row],[composizione concatenata]],IF(H978="C",Tabella118[[#This Row],[composizione concatenata]],VLOOKUP(I978,$K$2:$O$7,5,FALSE))),+Tabella118[[#This Row],[composizione concatenata]])</f>
        <v/>
      </c>
      <c r="F978" s="944">
        <f>+_xlfn.IFNA(VLOOKUP(Tabella118[[#This Row],[Composizione alternativa per digitale]],Tabella118[[composizione concatenata]:[Euro/Mq]],2,FALSE),VLOOKUP(H978,digitale[[ONDA]:[Fornitore]],3,FALSE))</f>
        <v/>
      </c>
      <c r="H978" s="484">
        <f>IF(MID(A978, FIND("/", A978, FIND("/", A978) + 1) + 1, 2)="A","C",MID(A978, FIND("/", A978, FIND("/", A978) + 1) + 1, 2))</f>
        <v/>
      </c>
      <c r="I978" s="486">
        <f>TRIM(H978)</f>
        <v/>
      </c>
    </row>
    <row r="979" ht="15" customHeight="1">
      <c r="A979" s="484" t="inlineStr">
        <is>
          <t>TSUUK/344/A</t>
        </is>
      </c>
      <c r="B979" s="484">
        <f>+_xlfn.CONCAT(Tabella118[[#This Row],[Composizione]], " - ", Tabella118[[#This Row],[Fornitore]])</f>
        <v/>
      </c>
      <c r="C979" s="943" t="n">
        <v>0.293</v>
      </c>
      <c r="D979" s="484" t="inlineStr">
        <is>
          <t>FEPA</t>
        </is>
      </c>
      <c r="E979" s="484">
        <f>IFERROR(IF(H979="BC",Tabella118[[#This Row],[composizione concatenata]],IF(H979="C",Tabella118[[#This Row],[composizione concatenata]],VLOOKUP(I979,$K$2:$O$7,5,FALSE))),+Tabella118[[#This Row],[composizione concatenata]])</f>
        <v/>
      </c>
      <c r="F979" s="944">
        <f>+_xlfn.IFNA(VLOOKUP(Tabella118[[#This Row],[Composizione alternativa per digitale]],Tabella118[[composizione concatenata]:[Euro/Mq]],2,FALSE),VLOOKUP(H979,digitale[[ONDA]:[Fornitore]],3,FALSE))</f>
        <v/>
      </c>
      <c r="H979" s="484">
        <f>IF(MID(A979, FIND("/", A979, FIND("/", A979) + 1) + 1, 2)="A","C",MID(A979, FIND("/", A979, FIND("/", A979) + 1) + 1, 2))</f>
        <v/>
      </c>
      <c r="I979" s="486">
        <f>TRIM(H979)</f>
        <v/>
      </c>
    </row>
    <row r="980" ht="15" customHeight="1">
      <c r="A980" s="484" t="inlineStr">
        <is>
          <t>TSUUK/544/A</t>
        </is>
      </c>
      <c r="B980" s="484">
        <f>+_xlfn.CONCAT(Tabella118[[#This Row],[Composizione]], " - ", Tabella118[[#This Row],[Fornitore]])</f>
        <v/>
      </c>
      <c r="C980" s="943" t="n">
        <v>0.314</v>
      </c>
      <c r="D980" s="484" t="inlineStr">
        <is>
          <t>FEPA</t>
        </is>
      </c>
      <c r="E980" s="484">
        <f>IFERROR(IF(H980="BC",Tabella118[[#This Row],[composizione concatenata]],IF(H980="C",Tabella118[[#This Row],[composizione concatenata]],VLOOKUP(I980,$K$2:$O$7,5,FALSE))),+Tabella118[[#This Row],[composizione concatenata]])</f>
        <v/>
      </c>
      <c r="F980" s="944">
        <f>+_xlfn.IFNA(VLOOKUP(Tabella118[[#This Row],[Composizione alternativa per digitale]],Tabella118[[composizione concatenata]:[Euro/Mq]],2,FALSE),VLOOKUP(H980,digitale[[ONDA]:[Fornitore]],3,FALSE))</f>
        <v/>
      </c>
      <c r="H980" s="484">
        <f>IF(MID(A980, FIND("/", A980, FIND("/", A980) + 1) + 1, 2)="A","C",MID(A980, FIND("/", A980, FIND("/", A980) + 1) + 1, 2))</f>
        <v/>
      </c>
      <c r="I980" s="486">
        <f>TRIM(H980)</f>
        <v/>
      </c>
    </row>
    <row r="981" ht="15" customHeight="1">
      <c r="A981" s="484" t="inlineStr">
        <is>
          <t>TWMT/343/B</t>
        </is>
      </c>
      <c r="B981" s="484">
        <f>+_xlfn.CONCAT(Tabella118[[#This Row],[Composizione]], " - ", Tabella118[[#This Row],[Fornitore]])</f>
        <v/>
      </c>
      <c r="C981" s="943" t="n">
        <v>0.252</v>
      </c>
      <c r="D981" s="484" t="inlineStr">
        <is>
          <t>FEPA</t>
        </is>
      </c>
      <c r="E981" s="484">
        <f>IFERROR(IF(H981="BC",Tabella118[[#This Row],[composizione concatenata]],IF(H981="C",Tabella118[[#This Row],[composizione concatenata]],VLOOKUP(I981,$K$2:$O$7,5,FALSE))),+Tabella118[[#This Row],[composizione concatenata]])</f>
        <v/>
      </c>
      <c r="F981" s="944">
        <f>+_xlfn.IFNA(VLOOKUP(Tabella118[[#This Row],[Composizione alternativa per digitale]],Tabella118[[composizione concatenata]:[Euro/Mq]],2,FALSE),VLOOKUP(H981,digitale[[ONDA]:[Fornitore]],3,FALSE))</f>
        <v/>
      </c>
      <c r="H981" s="484">
        <f>IF(MID(A981, FIND("/", A981, FIND("/", A981) + 1) + 1, 2)="A","C",MID(A981, FIND("/", A981, FIND("/", A981) + 1) + 1, 2))</f>
        <v/>
      </c>
      <c r="I981" s="486">
        <f>TRIM(H981)</f>
        <v/>
      </c>
    </row>
    <row r="982" ht="15" customHeight="1">
      <c r="A982" s="484" t="inlineStr">
        <is>
          <t>TWSUT/343/B</t>
        </is>
      </c>
      <c r="B982" s="484">
        <f>+_xlfn.CONCAT(Tabella118[[#This Row],[Composizione]], " - ", Tabella118[[#This Row],[Fornitore]])</f>
        <v/>
      </c>
      <c r="C982" s="943" t="n">
        <v>0.274</v>
      </c>
      <c r="D982" s="484" t="inlineStr">
        <is>
          <t>FEPA</t>
        </is>
      </c>
      <c r="E982" s="484">
        <f>IFERROR(IF(H982="BC",Tabella118[[#This Row],[composizione concatenata]],IF(H982="C",Tabella118[[#This Row],[composizione concatenata]],VLOOKUP(I982,$K$2:$O$7,5,FALSE))),+Tabella118[[#This Row],[composizione concatenata]])</f>
        <v/>
      </c>
      <c r="F982" s="944">
        <f>+_xlfn.IFNA(VLOOKUP(Tabella118[[#This Row],[Composizione alternativa per digitale]],Tabella118[[composizione concatenata]:[Euro/Mq]],2,FALSE),VLOOKUP(H982,digitale[[ONDA]:[Fornitore]],3,FALSE))</f>
        <v/>
      </c>
      <c r="H982" s="484">
        <f>IF(MID(A982, FIND("/", A982, FIND("/", A982) + 1) + 1, 2)="A","C",MID(A982, FIND("/", A982, FIND("/", A982) + 1) + 1, 2))</f>
        <v/>
      </c>
      <c r="I982" s="486">
        <f>TRIM(H982)</f>
        <v/>
      </c>
    </row>
    <row r="983" ht="15" customHeight="1">
      <c r="A983" s="484" t="inlineStr">
        <is>
          <t>TWSUT/345/B</t>
        </is>
      </c>
      <c r="B983" s="484">
        <f>+_xlfn.CONCAT(Tabella118[[#This Row],[Composizione]], " - ", Tabella118[[#This Row],[Fornitore]])</f>
        <v/>
      </c>
      <c r="C983" s="943" t="n">
        <v>0.289</v>
      </c>
      <c r="D983" s="484" t="inlineStr">
        <is>
          <t>FEPA</t>
        </is>
      </c>
      <c r="E983" s="484">
        <f>IFERROR(IF(H983="BC",Tabella118[[#This Row],[composizione concatenata]],IF(H983="C",Tabella118[[#This Row],[composizione concatenata]],VLOOKUP(I983,$K$2:$O$7,5,FALSE))),+Tabella118[[#This Row],[composizione concatenata]])</f>
        <v/>
      </c>
      <c r="F983" s="944">
        <f>+_xlfn.IFNA(VLOOKUP(Tabella118[[#This Row],[Composizione alternativa per digitale]],Tabella118[[composizione concatenata]:[Euro/Mq]],2,FALSE),VLOOKUP(H983,digitale[[ONDA]:[Fornitore]],3,FALSE))</f>
        <v/>
      </c>
      <c r="H983" s="484">
        <f>IF(MID(A983, FIND("/", A983, FIND("/", A983) + 1) + 1, 2)="A","C",MID(A983, FIND("/", A983, FIND("/", A983) + 1) + 1, 2))</f>
        <v/>
      </c>
      <c r="I983" s="486">
        <f>TRIM(H983)</f>
        <v/>
      </c>
    </row>
    <row r="984" ht="15" customHeight="1">
      <c r="A984" s="484" t="inlineStr">
        <is>
          <t>UKFFFT/22222/EB</t>
        </is>
      </c>
      <c r="B984" s="484">
        <f>+_xlfn.CONCAT(Tabella118[[#This Row],[Composizione]], " - ", Tabella118[[#This Row],[Fornitore]])</f>
        <v/>
      </c>
      <c r="C984" s="943" t="n">
        <v>0.348</v>
      </c>
      <c r="D984" s="484" t="inlineStr">
        <is>
          <t>FEPA</t>
        </is>
      </c>
      <c r="E984" s="484">
        <f>IFERROR(IF(H984="BC",Tabella118[[#This Row],[composizione concatenata]],IF(H984="C",Tabella118[[#This Row],[composizione concatenata]],VLOOKUP(I984,$K$2:$O$7,5,FALSE))),+Tabella118[[#This Row],[composizione concatenata]])</f>
        <v/>
      </c>
      <c r="F984" s="944">
        <f>+_xlfn.IFNA(VLOOKUP(Tabella118[[#This Row],[Composizione alternativa per digitale]],Tabella118[[composizione concatenata]:[Euro/Mq]],2,FALSE),VLOOKUP(H984,digitale[[ONDA]:[Fornitore]],3,FALSE))</f>
        <v/>
      </c>
      <c r="H984" s="484">
        <f>IF(MID(A984, FIND("/", A984, FIND("/", A984) + 1) + 1, 2)="A","C",MID(A984, FIND("/", A984, FIND("/", A984) + 1) + 1, 2))</f>
        <v/>
      </c>
      <c r="I984" s="486">
        <f>TRIM(H984)</f>
        <v/>
      </c>
    </row>
    <row r="985" ht="15" customHeight="1">
      <c r="A985" s="484" t="inlineStr">
        <is>
          <t>UKFFFT/22222/EE</t>
        </is>
      </c>
      <c r="B985" s="484">
        <f>+_xlfn.CONCAT(Tabella118[[#This Row],[Composizione]], " - ", Tabella118[[#This Row],[Fornitore]])</f>
        <v/>
      </c>
      <c r="C985" s="943" t="n">
        <v>0.351</v>
      </c>
      <c r="D985" s="484" t="inlineStr">
        <is>
          <t>FEPA</t>
        </is>
      </c>
      <c r="E985" s="484">
        <f>IFERROR(IF(H985="BC",Tabella118[[#This Row],[composizione concatenata]],IF(H985="C",Tabella118[[#This Row],[composizione concatenata]],VLOOKUP(I985,$K$2:$O$7,5,FALSE))),+Tabella118[[#This Row],[composizione concatenata]])</f>
        <v/>
      </c>
      <c r="F985" s="944">
        <f>+_xlfn.IFNA(VLOOKUP(Tabella118[[#This Row],[Composizione alternativa per digitale]],Tabella118[[composizione concatenata]:[Euro/Mq]],2,FALSE),VLOOKUP(H985,digitale[[ONDA]:[Fornitore]],3,FALSE))</f>
        <v/>
      </c>
      <c r="H985" s="484">
        <f>IF(MID(A985, FIND("/", A985, FIND("/", A985) + 1) + 1, 2)="A","C",MID(A985, FIND("/", A985, FIND("/", A985) + 1) + 1, 2))</f>
        <v/>
      </c>
      <c r="I985" s="486">
        <f>TRIM(H985)</f>
        <v/>
      </c>
    </row>
    <row r="986" ht="15" customHeight="1">
      <c r="A986" s="489" t="inlineStr">
        <is>
          <t>UKFFFUK/22222/EB</t>
        </is>
      </c>
      <c r="B986" s="484">
        <f>+_xlfn.CONCAT(Tabella118[[#This Row],[Composizione]], " - ", Tabella118[[#This Row],[Fornitore]])</f>
        <v/>
      </c>
      <c r="C986" s="943" t="n">
        <v>0.365</v>
      </c>
      <c r="D986" s="484" t="inlineStr">
        <is>
          <t>FEPA</t>
        </is>
      </c>
      <c r="E986" s="484">
        <f>IFERROR(IF(H986="BC",Tabella118[[#This Row],[composizione concatenata]],IF(H986="C",Tabella118[[#This Row],[composizione concatenata]],VLOOKUP(I986,$K$2:$O$7,5,FALSE))),+Tabella118[[#This Row],[composizione concatenata]])</f>
        <v/>
      </c>
      <c r="F986" s="944">
        <f>+_xlfn.IFNA(VLOOKUP(Tabella118[[#This Row],[Composizione alternativa per digitale]],Tabella118[[composizione concatenata]:[Euro/Mq]],2,FALSE),VLOOKUP(H986,digitale[[ONDA]:[Fornitore]],3,FALSE))</f>
        <v/>
      </c>
      <c r="H986" s="484">
        <f>IF(MID(A986, FIND("/", A986, FIND("/", A986) + 1) + 1, 2)="A","C",MID(A986, FIND("/", A986, FIND("/", A986) + 1) + 1, 2))</f>
        <v/>
      </c>
      <c r="I986" s="486">
        <f>TRIM(H986)</f>
        <v/>
      </c>
    </row>
    <row r="987" ht="15" customHeight="1">
      <c r="A987" s="484" t="inlineStr">
        <is>
          <t>UKFFFUK/22222/EE</t>
        </is>
      </c>
      <c r="B987" s="484">
        <f>+_xlfn.CONCAT(Tabella118[[#This Row],[Composizione]], " - ", Tabella118[[#This Row],[Fornitore]])</f>
        <v/>
      </c>
      <c r="C987" s="943" t="n">
        <v>0.367</v>
      </c>
      <c r="D987" s="484" t="inlineStr">
        <is>
          <t>FEPA</t>
        </is>
      </c>
      <c r="E987" s="484">
        <f>IFERROR(IF(H987="BC",Tabella118[[#This Row],[composizione concatenata]],IF(H987="C",Tabella118[[#This Row],[composizione concatenata]],VLOOKUP(I987,$K$2:$O$7,5,FALSE))),+Tabella118[[#This Row],[composizione concatenata]])</f>
        <v/>
      </c>
      <c r="F987" s="944">
        <f>+_xlfn.IFNA(VLOOKUP(Tabella118[[#This Row],[Composizione alternativa per digitale]],Tabella118[[composizione concatenata]:[Euro/Mq]],2,FALSE),VLOOKUP(H987,digitale[[ONDA]:[Fornitore]],3,FALSE))</f>
        <v/>
      </c>
      <c r="H987" s="484">
        <f>IF(MID(A987, FIND("/", A987, FIND("/", A987) + 1) + 1, 2)="A","C",MID(A987, FIND("/", A987, FIND("/", A987) + 1) + 1, 2))</f>
        <v/>
      </c>
      <c r="I987" s="486">
        <f>TRIM(H987)</f>
        <v/>
      </c>
    </row>
    <row r="988" ht="15" customHeight="1">
      <c r="A988" s="484" t="inlineStr">
        <is>
          <t>UKFFSUT/22242/EB</t>
        </is>
      </c>
      <c r="B988" s="484">
        <f>+_xlfn.CONCAT(Tabella118[[#This Row],[Composizione]], " - ", Tabella118[[#This Row],[Fornitore]])</f>
        <v/>
      </c>
      <c r="C988" s="943" t="n">
        <v>0.37</v>
      </c>
      <c r="D988" s="484" t="inlineStr">
        <is>
          <t>FEPA</t>
        </is>
      </c>
      <c r="E988" s="484">
        <f>IFERROR(IF(H988="BC",Tabella118[[#This Row],[composizione concatenata]],IF(H988="C",Tabella118[[#This Row],[composizione concatenata]],VLOOKUP(I988,$K$2:$O$7,5,FALSE))),+Tabella118[[#This Row],[composizione concatenata]])</f>
        <v/>
      </c>
      <c r="F988" s="944">
        <f>+_xlfn.IFNA(VLOOKUP(Tabella118[[#This Row],[Composizione alternativa per digitale]],Tabella118[[composizione concatenata]:[Euro/Mq]],2,FALSE),VLOOKUP(H988,digitale[[ONDA]:[Fornitore]],3,FALSE))</f>
        <v/>
      </c>
      <c r="H988" s="484">
        <f>IF(MID(A988, FIND("/", A988, FIND("/", A988) + 1) + 1, 2)="A","C",MID(A988, FIND("/", A988, FIND("/", A988) + 1) + 1, 2))</f>
        <v/>
      </c>
      <c r="I988" s="486">
        <f>TRIM(H988)</f>
        <v/>
      </c>
    </row>
    <row r="989" ht="15" customHeight="1">
      <c r="A989" s="489" t="inlineStr">
        <is>
          <t>UKMFMUK/24242/EB</t>
        </is>
      </c>
      <c r="B989" s="484">
        <f>+_xlfn.CONCAT(Tabella118[[#This Row],[Composizione]], " - ", Tabella118[[#This Row],[Fornitore]])</f>
        <v/>
      </c>
      <c r="C989" s="943" t="n">
        <v>0.393</v>
      </c>
      <c r="D989" s="484" t="inlineStr">
        <is>
          <t>FEPA</t>
        </is>
      </c>
      <c r="E989" s="484">
        <f>IFERROR(IF(H989="BC",Tabella118[[#This Row],[composizione concatenata]],IF(H989="C",Tabella118[[#This Row],[composizione concatenata]],VLOOKUP(I989,$K$2:$O$7,5,FALSE))),+Tabella118[[#This Row],[composizione concatenata]])</f>
        <v/>
      </c>
      <c r="F989" s="944">
        <f>+_xlfn.IFNA(VLOOKUP(Tabella118[[#This Row],[Composizione alternativa per digitale]],Tabella118[[composizione concatenata]:[Euro/Mq]],2,FALSE),VLOOKUP(H989,digitale[[ONDA]:[Fornitore]],3,FALSE))</f>
        <v/>
      </c>
      <c r="H989" s="484">
        <f>IF(MID(A989, FIND("/", A989, FIND("/", A989) + 1) + 1, 2)="A","C",MID(A989, FIND("/", A989, FIND("/", A989) + 1) + 1, 2))</f>
        <v/>
      </c>
      <c r="I989" s="486">
        <f>TRIM(H989)</f>
        <v/>
      </c>
    </row>
    <row r="990" ht="15" customHeight="1">
      <c r="A990" s="484" t="inlineStr">
        <is>
          <t>UKMT/242/B</t>
        </is>
      </c>
      <c r="B990" s="484">
        <f>+_xlfn.CONCAT(Tabella118[[#This Row],[Composizione]], " - ", Tabella118[[#This Row],[Fornitore]])</f>
        <v/>
      </c>
      <c r="C990" s="943" t="n">
        <v>0.235</v>
      </c>
      <c r="D990" s="484" t="inlineStr">
        <is>
          <t>FEPA</t>
        </is>
      </c>
      <c r="E990" s="484">
        <f>IFERROR(IF(H990="BC",Tabella118[[#This Row],[composizione concatenata]],IF(H990="C",Tabella118[[#This Row],[composizione concatenata]],VLOOKUP(I990,$K$2:$O$7,5,FALSE))),+Tabella118[[#This Row],[composizione concatenata]])</f>
        <v/>
      </c>
      <c r="F990" s="944">
        <f>+_xlfn.IFNA(VLOOKUP(Tabella118[[#This Row],[Composizione alternativa per digitale]],Tabella118[[composizione concatenata]:[Euro/Mq]],2,FALSE),VLOOKUP(H990,digitale[[ONDA]:[Fornitore]],3,FALSE))</f>
        <v/>
      </c>
      <c r="H990" s="484">
        <f>IF(MID(A990, FIND("/", A990, FIND("/", A990) + 1) + 1, 2)="A","C",MID(A990, FIND("/", A990, FIND("/", A990) + 1) + 1, 2))</f>
        <v/>
      </c>
      <c r="I990" s="486">
        <f>TRIM(H990)</f>
        <v/>
      </c>
    </row>
    <row r="991" ht="15" customHeight="1">
      <c r="A991" s="489" t="inlineStr">
        <is>
          <t>UKMUK/242/B</t>
        </is>
      </c>
      <c r="B991" s="484">
        <f>+_xlfn.CONCAT(Tabella118[[#This Row],[Composizione]], " - ", Tabella118[[#This Row],[Fornitore]])</f>
        <v/>
      </c>
      <c r="C991" s="943" t="n">
        <v>0.257</v>
      </c>
      <c r="D991" s="484" t="inlineStr">
        <is>
          <t>FEPA</t>
        </is>
      </c>
      <c r="E991" s="484">
        <f>IFERROR(IF(H991="BC",Tabella118[[#This Row],[composizione concatenata]],IF(H991="C",Tabella118[[#This Row],[composizione concatenata]],VLOOKUP(I991,$K$2:$O$7,5,FALSE))),+Tabella118[[#This Row],[composizione concatenata]])</f>
        <v/>
      </c>
      <c r="F991" s="944">
        <f>+_xlfn.IFNA(VLOOKUP(Tabella118[[#This Row],[Composizione alternativa per digitale]],Tabella118[[composizione concatenata]:[Euro/Mq]],2,FALSE),VLOOKUP(H991,digitale[[ONDA]:[Fornitore]],3,FALSE))</f>
        <v/>
      </c>
      <c r="H991" s="484">
        <f>IF(MID(A991, FIND("/", A991, FIND("/", A991) + 1) + 1, 2)="A","C",MID(A991, FIND("/", A991, FIND("/", A991) + 1) + 1, 2))</f>
        <v/>
      </c>
      <c r="I991" s="486">
        <f>TRIM(H991)</f>
        <v/>
      </c>
    </row>
    <row r="992" ht="15" customHeight="1">
      <c r="A992" s="484" t="inlineStr">
        <is>
          <t>UKMUK/242/E</t>
        </is>
      </c>
      <c r="B992" s="484">
        <f>+_xlfn.CONCAT(Tabella118[[#This Row],[Composizione]], " - ", Tabella118[[#This Row],[Fornitore]])</f>
        <v/>
      </c>
      <c r="C992" s="943" t="n">
        <v>0.254</v>
      </c>
      <c r="D992" s="484" t="inlineStr">
        <is>
          <t>FEPA</t>
        </is>
      </c>
      <c r="E992" s="484">
        <f>IFERROR(IF(H992="BC",Tabella118[[#This Row],[composizione concatenata]],IF(H992="C",Tabella118[[#This Row],[composizione concatenata]],VLOOKUP(I992,$K$2:$O$7,5,FALSE))),+Tabella118[[#This Row],[composizione concatenata]])</f>
        <v/>
      </c>
      <c r="F992" s="944">
        <f>+_xlfn.IFNA(VLOOKUP(Tabella118[[#This Row],[Composizione alternativa per digitale]],Tabella118[[composizione concatenata]:[Euro/Mq]],2,FALSE),VLOOKUP(H992,digitale[[ONDA]:[Fornitore]],3,FALSE))</f>
        <v/>
      </c>
      <c r="H992" s="484">
        <f>IF(MID(A992, FIND("/", A992, FIND("/", A992) + 1) + 1, 2)="A","C",MID(A992, FIND("/", A992, FIND("/", A992) + 1) + 1, 2))</f>
        <v/>
      </c>
      <c r="I992" s="486">
        <f>TRIM(H992)</f>
        <v/>
      </c>
    </row>
    <row r="993" ht="15" customHeight="1">
      <c r="A993" s="484" t="inlineStr">
        <is>
          <t>UKMUK/442/E</t>
        </is>
      </c>
      <c r="B993" s="484">
        <f>+_xlfn.CONCAT(Tabella118[[#This Row],[Composizione]], " - ", Tabella118[[#This Row],[Fornitore]])</f>
        <v/>
      </c>
      <c r="C993" s="943" t="n">
        <v>0.275</v>
      </c>
      <c r="D993" s="484" t="inlineStr">
        <is>
          <t>FEPA</t>
        </is>
      </c>
      <c r="E993" s="484">
        <f>IFERROR(IF(H993="BC",Tabella118[[#This Row],[composizione concatenata]],IF(H993="C",Tabella118[[#This Row],[composizione concatenata]],VLOOKUP(I993,$K$2:$O$7,5,FALSE))),+Tabella118[[#This Row],[composizione concatenata]])</f>
        <v/>
      </c>
      <c r="F993" s="944">
        <f>+_xlfn.IFNA(VLOOKUP(Tabella118[[#This Row],[Composizione alternativa per digitale]],Tabella118[[composizione concatenata]:[Euro/Mq]],2,FALSE),VLOOKUP(H993,digitale[[ONDA]:[Fornitore]],3,FALSE))</f>
        <v/>
      </c>
      <c r="H993" s="484">
        <f>IF(MID(A993, FIND("/", A993, FIND("/", A993) + 1) + 1, 2)="A","C",MID(A993, FIND("/", A993, FIND("/", A993) + 1) + 1, 2))</f>
        <v/>
      </c>
      <c r="I993" s="486">
        <f>TRIM(H993)</f>
        <v/>
      </c>
    </row>
    <row r="994" ht="15" customHeight="1">
      <c r="A994" s="484" t="inlineStr">
        <is>
          <t>UKMUK/444/E</t>
        </is>
      </c>
      <c r="B994" s="484">
        <f>+_xlfn.CONCAT(Tabella118[[#This Row],[Composizione]], " - ", Tabella118[[#This Row],[Fornitore]])</f>
        <v/>
      </c>
      <c r="C994" s="943" t="n">
        <v>0.3</v>
      </c>
      <c r="D994" s="484" t="inlineStr">
        <is>
          <t>FEPA</t>
        </is>
      </c>
      <c r="E994" s="484">
        <f>IFERROR(IF(H994="BC",Tabella118[[#This Row],[composizione concatenata]],IF(H994="C",Tabella118[[#This Row],[composizione concatenata]],VLOOKUP(I994,$K$2:$O$7,5,FALSE))),+Tabella118[[#This Row],[composizione concatenata]])</f>
        <v/>
      </c>
      <c r="F994" s="944">
        <f>+_xlfn.IFNA(VLOOKUP(Tabella118[[#This Row],[Composizione alternativa per digitale]],Tabella118[[composizione concatenata]:[Euro/Mq]],2,FALSE),VLOOKUP(H994,digitale[[ONDA]:[Fornitore]],3,FALSE))</f>
        <v/>
      </c>
      <c r="H994" s="484">
        <f>IF(MID(A994, FIND("/", A994, FIND("/", A994) + 1) + 1, 2)="A","C",MID(A994, FIND("/", A994, FIND("/", A994) + 1) + 1, 2))</f>
        <v/>
      </c>
      <c r="I994" s="486">
        <f>TRIM(H994)</f>
        <v/>
      </c>
    </row>
    <row r="995" ht="15" customHeight="1">
      <c r="A995" s="484" t="inlineStr">
        <is>
          <t>UKSET/262/A</t>
        </is>
      </c>
      <c r="B995" s="484">
        <f>+_xlfn.CONCAT(Tabella118[[#This Row],[Composizione]], " - ", Tabella118[[#This Row],[Fornitore]])</f>
        <v/>
      </c>
      <c r="C995" s="943" t="n">
        <v>0.284</v>
      </c>
      <c r="D995" s="484" t="inlineStr">
        <is>
          <t>FEPA</t>
        </is>
      </c>
      <c r="E995" s="484">
        <f>IFERROR(IF(H995="BC",Tabella118[[#This Row],[composizione concatenata]],IF(H995="C",Tabella118[[#This Row],[composizione concatenata]],VLOOKUP(I995,$K$2:$O$7,5,FALSE))),+Tabella118[[#This Row],[composizione concatenata]])</f>
        <v/>
      </c>
      <c r="F995" s="944">
        <f>+_xlfn.IFNA(VLOOKUP(Tabella118[[#This Row],[Composizione alternativa per digitale]],Tabella118[[composizione concatenata]:[Euro/Mq]],2,FALSE),VLOOKUP(H995,digitale[[ONDA]:[Fornitore]],3,FALSE))</f>
        <v/>
      </c>
      <c r="H995" s="484">
        <f>IF(MID(A995, FIND("/", A995, FIND("/", A995) + 1) + 1, 2)="A","C",MID(A995, FIND("/", A995, FIND("/", A995) + 1) + 1, 2))</f>
        <v/>
      </c>
      <c r="I995" s="486">
        <f>TRIM(H995)</f>
        <v/>
      </c>
    </row>
    <row r="996" ht="15" customHeight="1">
      <c r="A996" s="484" t="inlineStr">
        <is>
          <t>UKSEUK/464/A</t>
        </is>
      </c>
      <c r="B996" s="484">
        <f>+_xlfn.CONCAT(Tabella118[[#This Row],[Composizione]], " - ", Tabella118[[#This Row],[Fornitore]])</f>
        <v/>
      </c>
      <c r="C996" s="943" t="n">
        <v>0.349</v>
      </c>
      <c r="D996" s="484" t="inlineStr">
        <is>
          <t>FEPA</t>
        </is>
      </c>
      <c r="E996" s="484">
        <f>IFERROR(IF(H996="BC",Tabella118[[#This Row],[composizione concatenata]],IF(H996="C",Tabella118[[#This Row],[composizione concatenata]],VLOOKUP(I996,$K$2:$O$7,5,FALSE))),+Tabella118[[#This Row],[composizione concatenata]])</f>
        <v/>
      </c>
      <c r="F996" s="944">
        <f>+_xlfn.IFNA(VLOOKUP(Tabella118[[#This Row],[Composizione alternativa per digitale]],Tabella118[[composizione concatenata]:[Euro/Mq]],2,FALSE),VLOOKUP(H996,digitale[[ONDA]:[Fornitore]],3,FALSE))</f>
        <v/>
      </c>
      <c r="H996" s="484">
        <f>IF(MID(A996, FIND("/", A996, FIND("/", A996) + 1) + 1, 2)="A","C",MID(A996, FIND("/", A996, FIND("/", A996) + 1) + 1, 2))</f>
        <v/>
      </c>
      <c r="I996" s="486">
        <f>TRIM(H996)</f>
        <v/>
      </c>
    </row>
    <row r="997" ht="15" customHeight="1">
      <c r="A997" s="489" t="inlineStr">
        <is>
          <t>UKSEUK/464/B</t>
        </is>
      </c>
      <c r="B997" s="484">
        <f>+_xlfn.CONCAT(Tabella118[[#This Row],[Composizione]], " - ", Tabella118[[#This Row],[Fornitore]])</f>
        <v/>
      </c>
      <c r="C997" s="943" t="n">
        <v>0.337</v>
      </c>
      <c r="D997" s="484" t="inlineStr">
        <is>
          <t>FEPA</t>
        </is>
      </c>
      <c r="E997" s="484">
        <f>IFERROR(IF(H997="BC",Tabella118[[#This Row],[composizione concatenata]],IF(H997="C",Tabella118[[#This Row],[composizione concatenata]],VLOOKUP(I997,$K$2:$O$7,5,FALSE))),+Tabella118[[#This Row],[composizione concatenata]])</f>
        <v/>
      </c>
      <c r="F997" s="944">
        <f>+_xlfn.IFNA(VLOOKUP(Tabella118[[#This Row],[Composizione alternativa per digitale]],Tabella118[[composizione concatenata]:[Euro/Mq]],2,FALSE),VLOOKUP(H997,digitale[[ONDA]:[Fornitore]],3,FALSE))</f>
        <v/>
      </c>
      <c r="H997" s="484">
        <f>IF(MID(A997, FIND("/", A997, FIND("/", A997) + 1) + 1, 2)="A","C",MID(A997, FIND("/", A997, FIND("/", A997) + 1) + 1, 2))</f>
        <v/>
      </c>
      <c r="I997" s="486">
        <f>TRIM(H997)</f>
        <v/>
      </c>
    </row>
    <row r="998" ht="15" customHeight="1">
      <c r="A998" s="489" t="inlineStr">
        <is>
          <t>UKSEUK/565/A</t>
        </is>
      </c>
      <c r="B998" s="484">
        <f>+_xlfn.CONCAT(Tabella118[[#This Row],[Composizione]], " - ", Tabella118[[#This Row],[Fornitore]])</f>
        <v/>
      </c>
      <c r="C998" s="943" t="n">
        <v>0.386</v>
      </c>
      <c r="D998" s="484" t="inlineStr">
        <is>
          <t>FEPA</t>
        </is>
      </c>
      <c r="E998" s="484">
        <f>IFERROR(IF(H998="BC",Tabella118[[#This Row],[composizione concatenata]],IF(H998="C",Tabella118[[#This Row],[composizione concatenata]],VLOOKUP(I998,$K$2:$O$7,5,FALSE))),+Tabella118[[#This Row],[composizione concatenata]])</f>
        <v/>
      </c>
      <c r="F998" s="944">
        <f>+_xlfn.IFNA(VLOOKUP(Tabella118[[#This Row],[Composizione alternativa per digitale]],Tabella118[[composizione concatenata]:[Euro/Mq]],2,FALSE),VLOOKUP(H998,digitale[[ONDA]:[Fornitore]],3,FALSE))</f>
        <v/>
      </c>
    </row>
    <row r="999" ht="15" customHeight="1">
      <c r="A999" s="489" t="inlineStr">
        <is>
          <t>UKSUT/242/A</t>
        </is>
      </c>
      <c r="B999" s="484">
        <f>+_xlfn.CONCAT(Tabella118[[#This Row],[Composizione]], " - ", Tabella118[[#This Row],[Fornitore]])</f>
        <v/>
      </c>
      <c r="C999" s="943" t="n">
        <v>0.263</v>
      </c>
      <c r="D999" s="484" t="inlineStr">
        <is>
          <t>FEPA</t>
        </is>
      </c>
      <c r="E999" s="484">
        <f>IFERROR(IF(H999="BC",Tabella118[[#This Row],[composizione concatenata]],IF(H999="C",Tabella118[[#This Row],[composizione concatenata]],VLOOKUP(I999,$K$2:$O$7,5,FALSE))),+Tabella118[[#This Row],[composizione concatenata]])</f>
        <v/>
      </c>
      <c r="F999" s="944">
        <f>+_xlfn.IFNA(VLOOKUP(Tabella118[[#This Row],[Composizione alternativa per digitale]],Tabella118[[composizione concatenata]:[Euro/Mq]],2,FALSE),VLOOKUP(H999,digitale[[ONDA]:[Fornitore]],3,FALSE))</f>
        <v/>
      </c>
    </row>
    <row r="1000" ht="15" customHeight="1">
      <c r="A1000" s="489" t="inlineStr">
        <is>
          <t>UKSUT/242/B</t>
        </is>
      </c>
      <c r="B1000" s="484">
        <f>+_xlfn.CONCAT(Tabella118[[#This Row],[Composizione]], " - ", Tabella118[[#This Row],[Fornitore]])</f>
        <v/>
      </c>
      <c r="C1000" s="943" t="n">
        <v>0.253</v>
      </c>
      <c r="D1000" s="484" t="inlineStr">
        <is>
          <t>FEPA</t>
        </is>
      </c>
      <c r="E1000" s="484">
        <f>IFERROR(IF(H1000="BC",Tabella118[[#This Row],[composizione concatenata]],IF(H1000="C",Tabella118[[#This Row],[composizione concatenata]],VLOOKUP(I1000,$K$2:$O$7,5,FALSE))),+Tabella118[[#This Row],[composizione concatenata]])</f>
        <v/>
      </c>
      <c r="F1000" s="944">
        <f>+_xlfn.IFNA(VLOOKUP(Tabella118[[#This Row],[Composizione alternativa per digitale]],Tabella118[[composizione concatenata]:[Euro/Mq]],2,FALSE),VLOOKUP(H1000,digitale[[ONDA]:[Fornitore]],3,FALSE))</f>
        <v/>
      </c>
    </row>
    <row r="1001" ht="15" customHeight="1">
      <c r="A1001" s="484" t="inlineStr">
        <is>
          <t>UKSUT/443/B</t>
        </is>
      </c>
      <c r="B1001" s="484">
        <f>+_xlfn.CONCAT(Tabella118[[#This Row],[Composizione]], " - ", Tabella118[[#This Row],[Fornitore]])</f>
        <v/>
      </c>
      <c r="C1001" s="943" t="n">
        <v>0.288</v>
      </c>
      <c r="D1001" s="484" t="inlineStr">
        <is>
          <t>FEPA</t>
        </is>
      </c>
      <c r="E1001" s="484">
        <f>IFERROR(IF(H1001="BC",Tabella118[[#This Row],[composizione concatenata]],IF(H1001="C",Tabella118[[#This Row],[composizione concatenata]],VLOOKUP(I1001,$K$2:$O$7,5,FALSE))),+Tabella118[[#This Row],[composizione concatenata]])</f>
        <v/>
      </c>
      <c r="F1001" s="944">
        <f>+_xlfn.IFNA(VLOOKUP(Tabella118[[#This Row],[Composizione alternativa per digitale]],Tabella118[[composizione concatenata]:[Euro/Mq]],2,FALSE),VLOOKUP(H1001,digitale[[ONDA]:[Fornitore]],3,FALSE))</f>
        <v/>
      </c>
    </row>
    <row r="1002" ht="15" customHeight="1">
      <c r="A1002" s="484" t="inlineStr">
        <is>
          <t>UKSUT/445/B</t>
        </is>
      </c>
      <c r="B1002" s="484">
        <f>+_xlfn.CONCAT(Tabella118[[#This Row],[Composizione]], " - ", Tabella118[[#This Row],[Fornitore]])</f>
        <v/>
      </c>
      <c r="C1002" s="943" t="n">
        <v>0.303</v>
      </c>
      <c r="D1002" s="484" t="inlineStr">
        <is>
          <t>FEPA</t>
        </is>
      </c>
      <c r="E1002" s="484">
        <f>IFERROR(IF(H1002="BC",Tabella118[[#This Row],[composizione concatenata]],IF(H1002="C",Tabella118[[#This Row],[composizione concatenata]],VLOOKUP(I1002,$K$2:$O$7,5,FALSE))),+Tabella118[[#This Row],[composizione concatenata]])</f>
        <v/>
      </c>
      <c r="F1002" s="944">
        <f>+_xlfn.IFNA(VLOOKUP(Tabella118[[#This Row],[Composizione alternativa per digitale]],Tabella118[[composizione concatenata]:[Euro/Mq]],2,FALSE),VLOOKUP(H1002,digitale[[ONDA]:[Fornitore]],3,FALSE))</f>
        <v/>
      </c>
    </row>
    <row r="1003" ht="15" customHeight="1">
      <c r="A1003" s="484" t="inlineStr">
        <is>
          <t>UKSUTSUUK/24242/EB</t>
        </is>
      </c>
      <c r="B1003" s="484">
        <f>+_xlfn.CONCAT(Tabella118[[#This Row],[Composizione]], " - ", Tabella118[[#This Row],[Fornitore]])</f>
        <v/>
      </c>
      <c r="C1003" s="943" t="n">
        <v>0.425</v>
      </c>
      <c r="D1003" s="484" t="inlineStr">
        <is>
          <t>FEPA</t>
        </is>
      </c>
      <c r="E1003" s="484">
        <f>IFERROR(IF(H1003="BC",Tabella118[[#This Row],[composizione concatenata]],IF(H1003="C",Tabella118[[#This Row],[composizione concatenata]],VLOOKUP(I1003,$K$2:$O$7,5,FALSE))),+Tabella118[[#This Row],[composizione concatenata]])</f>
        <v/>
      </c>
      <c r="F1003" s="944">
        <f>+_xlfn.IFNA(VLOOKUP(Tabella118[[#This Row],[Composizione alternativa per digitale]],Tabella118[[composizione concatenata]:[Euro/Mq]],2,FALSE),VLOOKUP(H1003,digitale[[ONDA]:[Fornitore]],3,FALSE))</f>
        <v/>
      </c>
    </row>
    <row r="1004" ht="15" customHeight="1">
      <c r="A1004" s="484" t="inlineStr">
        <is>
          <t>UKSUUK/242/A</t>
        </is>
      </c>
      <c r="B1004" s="484">
        <f>+_xlfn.CONCAT(Tabella118[[#This Row],[Composizione]], " - ", Tabella118[[#This Row],[Fornitore]])</f>
        <v/>
      </c>
      <c r="C1004" s="943" t="n">
        <v>0.279</v>
      </c>
      <c r="D1004" s="484" t="inlineStr">
        <is>
          <t>FEPA</t>
        </is>
      </c>
      <c r="E1004" s="484">
        <f>IFERROR(IF(H1004="BC",Tabella118[[#This Row],[composizione concatenata]],IF(H1004="C",Tabella118[[#This Row],[composizione concatenata]],VLOOKUP(I1004,$K$2:$O$7,5,FALSE))),+Tabella118[[#This Row],[composizione concatenata]])</f>
        <v/>
      </c>
      <c r="F1004" s="944">
        <f>+_xlfn.IFNA(VLOOKUP(Tabella118[[#This Row],[Composizione alternativa per digitale]],Tabella118[[composizione concatenata]:[Euro/Mq]],2,FALSE),VLOOKUP(H1004,digitale[[ONDA]:[Fornitore]],3,FALSE))</f>
        <v/>
      </c>
    </row>
    <row r="1005" ht="15" customHeight="1">
      <c r="A1005" s="484" t="inlineStr">
        <is>
          <t>UKSUUK/242/B</t>
        </is>
      </c>
      <c r="B1005" s="484">
        <f>+_xlfn.CONCAT(Tabella118[[#This Row],[Composizione]], " - ", Tabella118[[#This Row],[Fornitore]])</f>
        <v/>
      </c>
      <c r="C1005" s="943" t="n">
        <v>0.269</v>
      </c>
      <c r="D1005" s="484" t="inlineStr">
        <is>
          <t>FEPA</t>
        </is>
      </c>
      <c r="E1005" s="484">
        <f>IFERROR(IF(H1005="BC",Tabella118[[#This Row],[composizione concatenata]],IF(H1005="C",Tabella118[[#This Row],[composizione concatenata]],VLOOKUP(I1005,$K$2:$O$7,5,FALSE))),+Tabella118[[#This Row],[composizione concatenata]])</f>
        <v/>
      </c>
      <c r="F1005" s="944">
        <f>+_xlfn.IFNA(VLOOKUP(Tabella118[[#This Row],[Composizione alternativa per digitale]],Tabella118[[composizione concatenata]:[Euro/Mq]],2,FALSE),VLOOKUP(H1005,digitale[[ONDA]:[Fornitore]],3,FALSE))</f>
        <v/>
      </c>
    </row>
    <row r="1006" ht="15" customHeight="1">
      <c r="A1006" s="484" t="inlineStr">
        <is>
          <t>UKSUUK/444/A</t>
        </is>
      </c>
      <c r="B1006" s="484">
        <f>+_xlfn.CONCAT(Tabella118[[#This Row],[Composizione]], " - ", Tabella118[[#This Row],[Fornitore]])</f>
        <v/>
      </c>
      <c r="C1006" s="943" t="n">
        <v>0.328</v>
      </c>
      <c r="D1006" s="484" t="inlineStr">
        <is>
          <t>FEPA</t>
        </is>
      </c>
      <c r="E1006" s="484">
        <f>IFERROR(IF(H1006="BC",Tabella118[[#This Row],[composizione concatenata]],IF(H1006="C",Tabella118[[#This Row],[composizione concatenata]],VLOOKUP(I1006,$K$2:$O$7,5,FALSE))),+Tabella118[[#This Row],[composizione concatenata]])</f>
        <v/>
      </c>
      <c r="F1006" s="944">
        <f>+_xlfn.IFNA(VLOOKUP(Tabella118[[#This Row],[Composizione alternativa per digitale]],Tabella118[[composizione concatenata]:[Euro/Mq]],2,FALSE),VLOOKUP(H1006,digitale[[ONDA]:[Fornitore]],3,FALSE))</f>
        <v/>
      </c>
    </row>
    <row r="1007" ht="15" customHeight="1">
      <c r="A1007" s="489" t="inlineStr">
        <is>
          <t>UKSUUK/444/B</t>
        </is>
      </c>
      <c r="B1007" s="484">
        <f>+_xlfn.CONCAT(Tabella118[[#This Row],[Composizione]], " - ", Tabella118[[#This Row],[Fornitore]])</f>
        <v/>
      </c>
      <c r="C1007" s="943" t="n">
        <v>0.318</v>
      </c>
      <c r="D1007" s="484" t="inlineStr">
        <is>
          <t>FEPA</t>
        </is>
      </c>
      <c r="E1007" s="484">
        <f>IFERROR(IF(H1007="BC",Tabella118[[#This Row],[composizione concatenata]],IF(H1007="C",Tabella118[[#This Row],[composizione concatenata]],VLOOKUP(I1007,$K$2:$O$7,5,FALSE))),+Tabella118[[#This Row],[composizione concatenata]])</f>
        <v/>
      </c>
      <c r="F1007" s="944">
        <f>+_xlfn.IFNA(VLOOKUP(Tabella118[[#This Row],[Composizione alternativa per digitale]],Tabella118[[composizione concatenata]:[Euro/Mq]],2,FALSE),VLOOKUP(H1007,digitale[[ONDA]:[Fornitore]],3,FALSE))</f>
        <v/>
      </c>
    </row>
    <row r="1008" ht="15" customHeight="1">
      <c r="A1008" s="484" t="inlineStr">
        <is>
          <t>VBSEVB/222/E</t>
        </is>
      </c>
      <c r="B1008" s="484">
        <f>+_xlfn.CONCAT(Tabella118[[#This Row],[Composizione]], " - ", Tabella118[[#This Row],[Fornitore]])</f>
        <v/>
      </c>
      <c r="C1008" s="943" t="n">
        <v>0.447</v>
      </c>
      <c r="D1008" s="484" t="inlineStr">
        <is>
          <t>FEPA</t>
        </is>
      </c>
      <c r="E1008" s="484">
        <f>IFERROR(IF(H1008="BC",Tabella118[[#This Row],[composizione concatenata]],IF(H1008="C",Tabella118[[#This Row],[composizione concatenata]],VLOOKUP(I1008,$K$2:$O$7,5,FALSE))),+Tabella118[[#This Row],[composizione concatenata]])</f>
        <v/>
      </c>
      <c r="F1008" s="944">
        <f>+_xlfn.IFNA(VLOOKUP(Tabella118[[#This Row],[Composizione alternativa per digitale]],Tabella118[[composizione concatenata]:[Euro/Mq]],2,FALSE),VLOOKUP(H1008,digitale[[ONDA]:[Fornitore]],3,FALSE))</f>
        <v/>
      </c>
    </row>
    <row r="1009" ht="15" customHeight="1">
      <c r="A1009" s="484" t="inlineStr">
        <is>
          <t>VBVBVB/222/E</t>
        </is>
      </c>
      <c r="B1009" s="484">
        <f>+_xlfn.CONCAT(Tabella118[[#This Row],[Composizione]], " - ", Tabella118[[#This Row],[Fornitore]])</f>
        <v/>
      </c>
      <c r="C1009" s="943" t="n">
        <v>0.496</v>
      </c>
      <c r="D1009" s="484" t="inlineStr">
        <is>
          <t>FEPA</t>
        </is>
      </c>
      <c r="E1009" s="484">
        <f>IFERROR(IF(H1009="BC",Tabella118[[#This Row],[composizione concatenata]],IF(H1009="C",Tabella118[[#This Row],[composizione concatenata]],VLOOKUP(I1009,$K$2:$O$7,5,FALSE))),+Tabella118[[#This Row],[composizione concatenata]])</f>
        <v/>
      </c>
      <c r="F1009" s="944">
        <f>+_xlfn.IFNA(VLOOKUP(Tabella118[[#This Row],[Composizione alternativa per digitale]],Tabella118[[composizione concatenata]:[Euro/Mq]],2,FALSE),VLOOKUP(H1009,digitale[[ONDA]:[Fornitore]],3,FALSE))</f>
        <v/>
      </c>
    </row>
    <row r="1010" ht="15" customHeight="1">
      <c r="A1010" s="484" t="inlineStr">
        <is>
          <t>WSMFMK/34242/EE</t>
        </is>
      </c>
      <c r="B1010" s="484">
        <f>+_xlfn.CONCAT(Tabella118[[#This Row],[Composizione]], " - ", Tabella118[[#This Row],[Fornitore]])</f>
        <v/>
      </c>
      <c r="C1010" s="943" t="n">
        <v>0.508</v>
      </c>
      <c r="D1010" s="484" t="inlineStr">
        <is>
          <t>FEPA</t>
        </is>
      </c>
      <c r="E1010" s="484">
        <f>IFERROR(IF(H1010="BC",Tabella118[[#This Row],[composizione concatenata]],IF(H1010="C",Tabella118[[#This Row],[composizione concatenata]],VLOOKUP(I1010,$K$2:$O$7,5,FALSE))),+Tabella118[[#This Row],[composizione concatenata]])</f>
        <v/>
      </c>
      <c r="F1010" s="944">
        <f>+_xlfn.IFNA(VLOOKUP(Tabella118[[#This Row],[Composizione alternativa per digitale]],Tabella118[[composizione concatenata]:[Euro/Mq]],2,FALSE),VLOOKUP(H1010,digitale[[ONDA]:[Fornitore]],3,FALSE))</f>
        <v/>
      </c>
    </row>
    <row r="1011" ht="15" customHeight="1">
      <c r="A1011" s="484" t="inlineStr">
        <is>
          <t>XPFFFT/22222/EB</t>
        </is>
      </c>
      <c r="B1011" s="484">
        <f>+_xlfn.CONCAT(Tabella118[[#This Row],[Composizione]], " - ", Tabella118[[#This Row],[Fornitore]])</f>
        <v/>
      </c>
      <c r="C1011" s="943" t="n">
        <v>0.398</v>
      </c>
      <c r="D1011" s="484" t="inlineStr">
        <is>
          <t>FEPA</t>
        </is>
      </c>
      <c r="E1011" s="484">
        <f>IFERROR(IF(H1011="BC",Tabella118[[#This Row],[composizione concatenata]],IF(H1011="C",Tabella118[[#This Row],[composizione concatenata]],VLOOKUP(I1011,$K$2:$O$7,5,FALSE))),+Tabella118[[#This Row],[composizione concatenata]])</f>
        <v/>
      </c>
      <c r="F1011" s="944">
        <f>+_xlfn.IFNA(VLOOKUP(Tabella118[[#This Row],[Composizione alternativa per digitale]],Tabella118[[composizione concatenata]:[Euro/Mq]],2,FALSE),VLOOKUP(H1011,digitale[[ONDA]:[Fornitore]],3,FALSE))</f>
        <v/>
      </c>
    </row>
    <row r="1012" ht="15" customHeight="1">
      <c r="A1012" s="484" t="inlineStr">
        <is>
          <t>XPFFFT/22222/EE</t>
        </is>
      </c>
      <c r="B1012" s="484">
        <f>+_xlfn.CONCAT(Tabella118[[#This Row],[Composizione]], " - ", Tabella118[[#This Row],[Fornitore]])</f>
        <v/>
      </c>
      <c r="C1012" s="943" t="n">
        <v>0.386</v>
      </c>
      <c r="D1012" s="484" t="inlineStr">
        <is>
          <t>FEPA</t>
        </is>
      </c>
      <c r="E1012" s="484">
        <f>IFERROR(IF(H1012="BC",Tabella118[[#This Row],[composizione concatenata]],IF(H1012="C",Tabella118[[#This Row],[composizione concatenata]],VLOOKUP(I1012,$K$2:$O$7,5,FALSE))),+Tabella118[[#This Row],[composizione concatenata]])</f>
        <v/>
      </c>
      <c r="F1012" s="944">
        <f>+_xlfn.IFNA(VLOOKUP(Tabella118[[#This Row],[Composizione alternativa per digitale]],Tabella118[[composizione concatenata]:[Euro/Mq]],2,FALSE),VLOOKUP(H1012,digitale[[ONDA]:[Fornitore]],3,FALSE))</f>
        <v/>
      </c>
    </row>
    <row r="1013" ht="15" customHeight="1">
      <c r="A1013" s="484" t="inlineStr">
        <is>
          <t>XPFFSUTb/22243/EB</t>
        </is>
      </c>
      <c r="B1013" s="484">
        <f>+_xlfn.CONCAT(Tabella118[[#This Row],[Composizione]], " - ", Tabella118[[#This Row],[Fornitore]])</f>
        <v/>
      </c>
      <c r="C1013" s="943" t="n">
        <v>0.442</v>
      </c>
      <c r="D1013" s="484" t="inlineStr">
        <is>
          <t>FEPA</t>
        </is>
      </c>
      <c r="E1013" s="484">
        <f>IFERROR(IF(H1013="BC",Tabella118[[#This Row],[composizione concatenata]],IF(H1013="C",Tabella118[[#This Row],[composizione concatenata]],VLOOKUP(I1013,$K$2:$O$7,5,FALSE))),+Tabella118[[#This Row],[composizione concatenata]])</f>
        <v/>
      </c>
      <c r="F1013" s="944">
        <f>+_xlfn.IFNA(VLOOKUP(Tabella118[[#This Row],[Composizione alternativa per digitale]],Tabella118[[composizione concatenata]:[Euro/Mq]],2,FALSE),VLOOKUP(H1013,digitale[[ONDA]:[Fornitore]],3,FALSE))</f>
        <v/>
      </c>
    </row>
    <row r="1014" ht="15" customHeight="1">
      <c r="A1014" s="484" t="inlineStr">
        <is>
          <t>XPFFSUTb/52243/EB</t>
        </is>
      </c>
      <c r="B1014" s="484">
        <f>+_xlfn.CONCAT(Tabella118[[#This Row],[Composizione]], " - ", Tabella118[[#This Row],[Fornitore]])</f>
        <v/>
      </c>
      <c r="C1014" s="943" t="n">
        <v>0.48</v>
      </c>
      <c r="D1014" s="484" t="inlineStr">
        <is>
          <t>FEPA</t>
        </is>
      </c>
      <c r="E1014" s="484">
        <f>IFERROR(IF(H1014="BC",Tabella118[[#This Row],[composizione concatenata]],IF(H1014="C",Tabella118[[#This Row],[composizione concatenata]],VLOOKUP(I1014,$K$2:$O$7,5,FALSE))),+Tabella118[[#This Row],[composizione concatenata]])</f>
        <v/>
      </c>
      <c r="F1014" s="944">
        <f>+_xlfn.IFNA(VLOOKUP(Tabella118[[#This Row],[Composizione alternativa per digitale]],Tabella118[[composizione concatenata]:[Euro/Mq]],2,FALSE),VLOOKUP(H1014,digitale[[ONDA]:[Fornitore]],3,FALSE))</f>
        <v/>
      </c>
    </row>
    <row r="1015" ht="15" customHeight="1">
      <c r="A1015" s="484" t="inlineStr">
        <is>
          <t>XPFFSUUK/52242/EB</t>
        </is>
      </c>
      <c r="B1015" s="484">
        <f>+_xlfn.CONCAT(Tabella118[[#This Row],[Composizione]], " - ", Tabella118[[#This Row],[Fornitore]])</f>
        <v/>
      </c>
      <c r="C1015" s="943" t="n">
        <v>0.474</v>
      </c>
      <c r="D1015" s="484" t="inlineStr">
        <is>
          <t>FEPA</t>
        </is>
      </c>
      <c r="E1015" s="484">
        <f>IFERROR(IF(H1015="BC",Tabella118[[#This Row],[composizione concatenata]],IF(H1015="C",Tabella118[[#This Row],[composizione concatenata]],VLOOKUP(I1015,$K$2:$O$7,5,FALSE))),+Tabella118[[#This Row],[composizione concatenata]])</f>
        <v/>
      </c>
      <c r="F1015" s="944">
        <f>+_xlfn.IFNA(VLOOKUP(Tabella118[[#This Row],[Composizione alternativa per digitale]],Tabella118[[composizione concatenata]:[Euro/Mq]],2,FALSE),VLOOKUP(H1015,digitale[[ONDA]:[Fornitore]],3,FALSE))</f>
        <v/>
      </c>
    </row>
    <row r="1016" ht="15" customHeight="1">
      <c r="A1016" s="484" t="inlineStr">
        <is>
          <t>XPMUK/242/E</t>
        </is>
      </c>
      <c r="B1016" s="484">
        <f>+_xlfn.CONCAT(Tabella118[[#This Row],[Composizione]], " - ", Tabella118[[#This Row],[Fornitore]])</f>
        <v/>
      </c>
      <c r="C1016" s="943" t="n">
        <v>0.299</v>
      </c>
      <c r="D1016" s="484" t="inlineStr">
        <is>
          <t>FEPA</t>
        </is>
      </c>
      <c r="E1016" s="484">
        <f>IFERROR(IF(H1016="BC",Tabella118[[#This Row],[composizione concatenata]],IF(H1016="C",Tabella118[[#This Row],[composizione concatenata]],VLOOKUP(I1016,$K$2:$O$7,5,FALSE))),+Tabella118[[#This Row],[composizione concatenata]])</f>
        <v/>
      </c>
      <c r="F1016" s="944">
        <f>+_xlfn.IFNA(VLOOKUP(Tabella118[[#This Row],[Composizione alternativa per digitale]],Tabella118[[composizione concatenata]:[Euro/Mq]],2,FALSE),VLOOKUP(H1016,digitale[[ONDA]:[Fornitore]],3,FALSE))</f>
        <v/>
      </c>
    </row>
    <row r="1017" ht="15" customHeight="1">
      <c r="A1017" s="489" t="inlineStr">
        <is>
          <t>XPMUK/542/E</t>
        </is>
      </c>
      <c r="B1017" s="484">
        <f>+_xlfn.CONCAT(Tabella118[[#This Row],[Composizione]], " - ", Tabella118[[#This Row],[Fornitore]])</f>
        <v/>
      </c>
      <c r="C1017" s="943" t="n">
        <v>0.337</v>
      </c>
      <c r="D1017" s="484" t="inlineStr">
        <is>
          <t>FEPA</t>
        </is>
      </c>
      <c r="E1017" s="484">
        <f>IFERROR(IF(H1017="BC",Tabella118[[#This Row],[composizione concatenata]],IF(H1017="C",Tabella118[[#This Row],[composizione concatenata]],VLOOKUP(I1017,$K$2:$O$7,5,FALSE))),+Tabella118[[#This Row],[composizione concatenata]])</f>
        <v/>
      </c>
      <c r="F1017" s="944">
        <f>+_xlfn.IFNA(VLOOKUP(Tabella118[[#This Row],[Composizione alternativa per digitale]],Tabella118[[composizione concatenata]:[Euro/Mq]],2,FALSE),VLOOKUP(H1017,digitale[[ONDA]:[Fornitore]],3,FALSE))</f>
        <v/>
      </c>
    </row>
    <row r="1018" ht="15" customHeight="1">
      <c r="A1018" s="484" t="inlineStr">
        <is>
          <t>XPSEKb/562/B</t>
        </is>
      </c>
      <c r="B1018" s="484">
        <f>+_xlfn.CONCAT(Tabella118[[#This Row],[Composizione]], " - ", Tabella118[[#This Row],[Fornitore]])</f>
        <v/>
      </c>
      <c r="C1018" s="943" t="n">
        <v>0.421</v>
      </c>
      <c r="D1018" s="484" t="inlineStr">
        <is>
          <t>FEPA</t>
        </is>
      </c>
      <c r="E1018" s="484">
        <f>IFERROR(IF(H1018="BC",Tabella118[[#This Row],[composizione concatenata]],IF(H1018="C",Tabella118[[#This Row],[composizione concatenata]],VLOOKUP(I1018,$K$2:$O$7,5,FALSE))),+Tabella118[[#This Row],[composizione concatenata]])</f>
        <v/>
      </c>
      <c r="F1018" s="944">
        <f>+_xlfn.IFNA(VLOOKUP(Tabella118[[#This Row],[Composizione alternativa per digitale]],Tabella118[[composizione concatenata]:[Euro/Mq]],2,FALSE),VLOOKUP(H1018,digitale[[ONDA]:[Fornitore]],3,FALSE))</f>
        <v/>
      </c>
    </row>
    <row r="1019" ht="15" customHeight="1">
      <c r="A1019" s="484" t="inlineStr">
        <is>
          <t>XPSETb/565/A</t>
        </is>
      </c>
      <c r="B1019" s="484">
        <f>+_xlfn.CONCAT(Tabella118[[#This Row],[Composizione]], " - ", Tabella118[[#This Row],[Fornitore]])</f>
        <v/>
      </c>
      <c r="C1019" s="943" t="n">
        <v>0.392</v>
      </c>
      <c r="D1019" s="484" t="inlineStr">
        <is>
          <t>FEPA</t>
        </is>
      </c>
      <c r="E1019" s="484">
        <f>IFERROR(IF(H1019="BC",Tabella118[[#This Row],[composizione concatenata]],IF(H1019="C",Tabella118[[#This Row],[composizione concatenata]],VLOOKUP(I1019,$K$2:$O$7,5,FALSE))),+Tabella118[[#This Row],[composizione concatenata]])</f>
        <v/>
      </c>
      <c r="F1019" s="944">
        <f>+_xlfn.IFNA(VLOOKUP(Tabella118[[#This Row],[Composizione alternativa per digitale]],Tabella118[[composizione concatenata]:[Euro/Mq]],2,FALSE),VLOOKUP(H1019,digitale[[ONDA]:[Fornitore]],3,FALSE))</f>
        <v/>
      </c>
    </row>
    <row r="1020" ht="15" customHeight="1">
      <c r="A1020" s="484" t="inlineStr">
        <is>
          <t>XPSUFSUTb/54243/EE</t>
        </is>
      </c>
      <c r="B1020" s="484">
        <f>+_xlfn.CONCAT(Tabella118[[#This Row],[Composizione]], " - ", Tabella118[[#This Row],[Fornitore]])</f>
        <v/>
      </c>
      <c r="C1020" s="943" t="n">
        <v>0.487</v>
      </c>
      <c r="D1020" s="484" t="inlineStr">
        <is>
          <t>FEPA</t>
        </is>
      </c>
      <c r="E1020" s="484">
        <f>IFERROR(IF(H1020="BC",Tabella118[[#This Row],[composizione concatenata]],IF(H1020="C",Tabella118[[#This Row],[composizione concatenata]],VLOOKUP(I1020,$K$2:$O$7,5,FALSE))),+Tabella118[[#This Row],[composizione concatenata]])</f>
        <v/>
      </c>
      <c r="F1020" s="944">
        <f>+_xlfn.IFNA(VLOOKUP(Tabella118[[#This Row],[Composizione alternativa per digitale]],Tabella118[[composizione concatenata]:[Euro/Mq]],2,FALSE),VLOOKUP(H1020,digitale[[ONDA]:[Fornitore]],3,FALSE))</f>
        <v/>
      </c>
    </row>
    <row r="1021" ht="15" customHeight="1">
      <c r="A1021" s="484" t="inlineStr">
        <is>
          <t>XPSUFSUUK/54242/EB</t>
        </is>
      </c>
      <c r="B1021" s="484">
        <f>+_xlfn.CONCAT(Tabella118[[#This Row],[Composizione]], " - ", Tabella118[[#This Row],[Fornitore]])</f>
        <v/>
      </c>
      <c r="C1021" s="943" t="n">
        <v>0.495</v>
      </c>
      <c r="D1021" s="484" t="inlineStr">
        <is>
          <t>FEPA</t>
        </is>
      </c>
      <c r="E1021" s="484">
        <f>IFERROR(IF(H1021="BC",Tabella118[[#This Row],[composizione concatenata]],IF(H1021="C",Tabella118[[#This Row],[composizione concatenata]],VLOOKUP(I1021,$K$2:$O$7,5,FALSE))),+Tabella118[[#This Row],[composizione concatenata]])</f>
        <v/>
      </c>
      <c r="F1021" s="944">
        <f>+_xlfn.IFNA(VLOOKUP(Tabella118[[#This Row],[Composizione alternativa per digitale]],Tabella118[[composizione concatenata]:[Euro/Mq]],2,FALSE),VLOOKUP(H1021,digitale[[ONDA]:[Fornitore]],3,FALSE))</f>
        <v/>
      </c>
    </row>
    <row r="1022" ht="15" customHeight="1">
      <c r="A1022" s="484" t="inlineStr">
        <is>
          <t>XPSUT/542/B</t>
        </is>
      </c>
      <c r="B1022" s="484">
        <f>+_xlfn.CONCAT(Tabella118[[#This Row],[Composizione]], " - ", Tabella118[[#This Row],[Fornitore]])</f>
        <v/>
      </c>
      <c r="C1022" s="943" t="n">
        <v>0.346</v>
      </c>
      <c r="D1022" s="484" t="inlineStr">
        <is>
          <t>FEPA</t>
        </is>
      </c>
      <c r="E1022" s="484">
        <f>IFERROR(IF(H1022="BC",Tabella118[[#This Row],[composizione concatenata]],IF(H1022="C",Tabella118[[#This Row],[composizione concatenata]],VLOOKUP(I1022,$K$2:$O$7,5,FALSE))),+Tabella118[[#This Row],[composizione concatenata]])</f>
        <v/>
      </c>
      <c r="F1022" s="944">
        <f>+_xlfn.IFNA(VLOOKUP(Tabella118[[#This Row],[Composizione alternativa per digitale]],Tabella118[[composizione concatenata]:[Euro/Mq]],2,FALSE),VLOOKUP(H1022,digitale[[ONDA]:[Fornitore]],3,FALSE))</f>
        <v/>
      </c>
    </row>
    <row r="1023" ht="15" customHeight="1">
      <c r="A1023" s="484" t="inlineStr">
        <is>
          <t>XPSUTb/243/B</t>
        </is>
      </c>
      <c r="B1023" s="484">
        <f>+_xlfn.CONCAT(Tabella118[[#This Row],[Composizione]], " - ", Tabella118[[#This Row],[Fornitore]])</f>
        <v/>
      </c>
      <c r="C1023" s="943" t="n">
        <v>0.33</v>
      </c>
      <c r="D1023" s="484" t="inlineStr">
        <is>
          <t>FEPA</t>
        </is>
      </c>
      <c r="E1023" s="484">
        <f>IFERROR(IF(H1023="BC",Tabella118[[#This Row],[composizione concatenata]],IF(H1023="C",Tabella118[[#This Row],[composizione concatenata]],VLOOKUP(I1023,$K$2:$O$7,5,FALSE))),+Tabella118[[#This Row],[composizione concatenata]])</f>
        <v/>
      </c>
      <c r="F1023" s="944">
        <f>+_xlfn.IFNA(VLOOKUP(Tabella118[[#This Row],[Composizione alternativa per digitale]],Tabella118[[composizione concatenata]:[Euro/Mq]],2,FALSE),VLOOKUP(H1023,digitale[[ONDA]:[Fornitore]],3,FALSE))</f>
        <v/>
      </c>
    </row>
    <row r="1024" ht="15" customHeight="1">
      <c r="A1024" s="489" t="inlineStr">
        <is>
          <t>XPSUTb/243/E</t>
        </is>
      </c>
      <c r="B1024" s="484">
        <f>+_xlfn.CONCAT(Tabella118[[#This Row],[Composizione]], " - ", Tabella118[[#This Row],[Fornitore]])</f>
        <v/>
      </c>
      <c r="C1024" s="943" t="n">
        <v>0.317</v>
      </c>
      <c r="D1024" s="484" t="inlineStr">
        <is>
          <t>FEPA</t>
        </is>
      </c>
      <c r="E1024" s="484">
        <f>IFERROR(IF(H1024="BC",Tabella118[[#This Row],[composizione concatenata]],IF(H1024="C",Tabella118[[#This Row],[composizione concatenata]],VLOOKUP(I1024,$K$2:$O$7,5,FALSE))),+Tabella118[[#This Row],[composizione concatenata]])</f>
        <v/>
      </c>
      <c r="F1024" s="944">
        <f>+_xlfn.IFNA(VLOOKUP(Tabella118[[#This Row],[Composizione alternativa per digitale]],Tabella118[[composizione concatenata]:[Euro/Mq]],2,FALSE),VLOOKUP(H1024,digitale[[ONDA]:[Fornitore]],3,FALSE))</f>
        <v/>
      </c>
    </row>
    <row r="1025" ht="15" customHeight="1">
      <c r="A1025" s="484" t="inlineStr">
        <is>
          <t>XPSUTb/543/B</t>
        </is>
      </c>
      <c r="B1025" s="484">
        <f>+_xlfn.CONCAT(Tabella118[[#This Row],[Composizione]], " - ", Tabella118[[#This Row],[Fornitore]])</f>
        <v/>
      </c>
      <c r="C1025" s="943" t="n">
        <v>0.368</v>
      </c>
      <c r="D1025" s="484" t="inlineStr">
        <is>
          <t>FEPA</t>
        </is>
      </c>
      <c r="E1025" s="484">
        <f>IFERROR(IF(H1025="BC",Tabella118[[#This Row],[composizione concatenata]],IF(H1025="C",Tabella118[[#This Row],[composizione concatenata]],VLOOKUP(I1025,$K$2:$O$7,5,FALSE))),+Tabella118[[#This Row],[composizione concatenata]])</f>
        <v/>
      </c>
      <c r="F1025" s="944">
        <f>+_xlfn.IFNA(VLOOKUP(Tabella118[[#This Row],[Composizione alternativa per digitale]],Tabella118[[composizione concatenata]:[Euro/Mq]],2,FALSE),VLOOKUP(H1025,digitale[[ONDA]:[Fornitore]],3,FALSE))</f>
        <v/>
      </c>
    </row>
    <row r="1026" ht="15" customHeight="1">
      <c r="A1026" s="484" t="inlineStr">
        <is>
          <t>XPSUTb/543/E</t>
        </is>
      </c>
      <c r="B1026" s="484">
        <f>+_xlfn.CONCAT(Tabella118[[#This Row],[Composizione]], " - ", Tabella118[[#This Row],[Fornitore]])</f>
        <v/>
      </c>
      <c r="C1026" s="943" t="n">
        <v>0.354</v>
      </c>
      <c r="D1026" s="484" t="inlineStr">
        <is>
          <t>FEPA</t>
        </is>
      </c>
      <c r="E1026" s="484">
        <f>IFERROR(IF(H1026="BC",Tabella118[[#This Row],[composizione concatenata]],IF(H1026="C",Tabella118[[#This Row],[composizione concatenata]],VLOOKUP(I1026,$K$2:$O$7,5,FALSE))),+Tabella118[[#This Row],[composizione concatenata]])</f>
        <v/>
      </c>
      <c r="F1026" s="944">
        <f>+_xlfn.IFNA(VLOOKUP(Tabella118[[#This Row],[Composizione alternativa per digitale]],Tabella118[[composizione concatenata]:[Euro/Mq]],2,FALSE),VLOOKUP(H1026,digitale[[ONDA]:[Fornitore]],3,FALSE))</f>
        <v/>
      </c>
    </row>
    <row r="1027" ht="15" customHeight="1">
      <c r="A1027" s="484" t="inlineStr">
        <is>
          <t>XPSUUK/242/B</t>
        </is>
      </c>
      <c r="B1027" s="484">
        <f>+_xlfn.CONCAT(Tabella118[[#This Row],[Composizione]], " - ", Tabella118[[#This Row],[Fornitore]])</f>
        <v/>
      </c>
      <c r="C1027" s="943" t="n">
        <v>0.324</v>
      </c>
      <c r="D1027" s="484" t="inlineStr">
        <is>
          <t>FEPA</t>
        </is>
      </c>
      <c r="E1027" s="484">
        <f>IFERROR(IF(H1027="BC",Tabella118[[#This Row],[composizione concatenata]],IF(H1027="C",Tabella118[[#This Row],[composizione concatenata]],VLOOKUP(I1027,$K$2:$O$7,5,FALSE))),+Tabella118[[#This Row],[composizione concatenata]])</f>
        <v/>
      </c>
      <c r="F1027" s="944">
        <f>+_xlfn.IFNA(VLOOKUP(Tabella118[[#This Row],[Composizione alternativa per digitale]],Tabella118[[composizione concatenata]:[Euro/Mq]],2,FALSE),VLOOKUP(H1027,digitale[[ONDA]:[Fornitore]],3,FALSE))</f>
        <v/>
      </c>
    </row>
  </sheetData>
  <mergeCells count="1">
    <mergeCell ref="Q1:Z1"/>
  </mergeCells>
  <pageMargins left="0.7480314960629921" right="0.7480314960629921" top="0.984251968503937" bottom="0.984251968503937" header="0.5118110236220472" footer="0.5118110236220472"/>
  <pageSetup orientation="landscape" paperSize="9" fitToHeight="0"/>
  <headerFooter>
    <oddHeader>&amp;R&amp;D - &amp;T&amp;LPROD&amp;CSK13501</oddHeader>
    <oddFooter>&amp;L&amp;C&amp;R</oddFooter>
    <evenHeader/>
    <evenFooter/>
    <firstHeader/>
    <firstFooter/>
  </headerFooter>
  <legacyDrawing xmlns:r="http://schemas.openxmlformats.org/officeDocument/2006/relationships" r:id="anysvml"/>
  <tableParts count="3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 codeName="Sheet9">
    <outlinePr summaryBelow="1" summaryRight="1"/>
    <pageSetUpPr/>
  </sheetPr>
  <dimension ref="A1:E31"/>
  <sheetViews>
    <sheetView workbookViewId="0">
      <selection activeCell="A1" sqref="A1"/>
    </sheetView>
  </sheetViews>
  <sheetFormatPr baseColWidth="8" defaultRowHeight="12.75"/>
  <cols>
    <col width="45.140625" bestFit="1" customWidth="1" min="1" max="1"/>
    <col width="13.42578125" customWidth="1" min="3" max="3"/>
    <col width="12.42578125" customWidth="1" min="4" max="4"/>
    <col width="29" customWidth="1" min="5" max="5"/>
  </cols>
  <sheetData>
    <row r="1">
      <c r="A1" s="593" t="inlineStr">
        <is>
          <t>TIPOLOGIA</t>
        </is>
      </c>
      <c r="B1" s="587" t="inlineStr">
        <is>
          <t>&gt;5000</t>
        </is>
      </c>
      <c r="C1" s="587" t="inlineStr">
        <is>
          <t>&gt;2501&lt;4999</t>
        </is>
      </c>
      <c r="D1" s="587" t="inlineStr">
        <is>
          <t>&gt;500&lt;2500</t>
        </is>
      </c>
      <c r="E1" s="592" t="inlineStr">
        <is>
          <t>MIN. KG PER TAGLIO A F.TO</t>
        </is>
      </c>
    </row>
    <row r="2">
      <c r="A2" s="291" t="inlineStr">
        <is>
          <t xml:space="preserve">BG 250-270g POMEZIA </t>
        </is>
      </c>
      <c r="B2" s="952" t="n">
        <v>0.9399999999999999</v>
      </c>
      <c r="C2" s="952" t="n">
        <v>0.9399999999999999</v>
      </c>
      <c r="D2" s="952" t="n">
        <v>0.9399999999999999</v>
      </c>
      <c r="E2" s="287" t="n">
        <v>300</v>
      </c>
    </row>
    <row r="3">
      <c r="A3" s="291" t="inlineStr">
        <is>
          <t>BG 250-270g MEZZAGO</t>
        </is>
      </c>
      <c r="B3" s="952" t="n">
        <v>0.84</v>
      </c>
      <c r="C3" s="952" t="n">
        <v>0.84</v>
      </c>
      <c r="D3" s="952" t="n">
        <v>0.84</v>
      </c>
      <c r="E3" s="287" t="n">
        <v>300</v>
      </c>
    </row>
    <row r="4">
      <c r="A4" s="291" t="inlineStr">
        <is>
          <t>BG 320-450g</t>
        </is>
      </c>
      <c r="B4" s="952" t="n">
        <v>1.25</v>
      </c>
      <c r="C4" s="952" t="n">
        <v>1.25</v>
      </c>
      <c r="D4" s="952" t="n">
        <v>1.25</v>
      </c>
      <c r="E4" s="287" t="n">
        <v>300</v>
      </c>
    </row>
    <row r="5">
      <c r="A5" s="291" t="inlineStr">
        <is>
          <t>CKB 195g</t>
        </is>
      </c>
      <c r="B5" s="952" t="n">
        <v>1.505</v>
      </c>
      <c r="C5" s="952" t="n">
        <v>1.505</v>
      </c>
      <c r="D5" s="952" t="n">
        <v>1.505</v>
      </c>
      <c r="E5" s="287" t="n">
        <v>500</v>
      </c>
    </row>
    <row r="6">
      <c r="A6" s="291" t="inlineStr">
        <is>
          <t>CKB 220-415g</t>
        </is>
      </c>
      <c r="B6" s="952" t="n">
        <v>1.49</v>
      </c>
      <c r="C6" s="952" t="n">
        <v>1.49</v>
      </c>
      <c r="D6" s="952" t="n">
        <v>1.49</v>
      </c>
      <c r="E6" s="287" t="n">
        <v>500</v>
      </c>
    </row>
    <row r="7">
      <c r="A7" s="291" t="inlineStr">
        <is>
          <t>CKB NUDE 205g</t>
        </is>
      </c>
      <c r="B7" s="952" t="n">
        <v>1.565</v>
      </c>
      <c r="C7" s="952" t="n">
        <v>1.565</v>
      </c>
      <c r="D7" s="952" t="n">
        <v>1.565</v>
      </c>
      <c r="E7" s="287" t="n">
        <v>500</v>
      </c>
    </row>
    <row r="8">
      <c r="A8" s="291" t="inlineStr">
        <is>
          <t>CKB NUDE 230/255/325/345g</t>
        </is>
      </c>
      <c r="B8" s="952" t="n">
        <v>1.55</v>
      </c>
      <c r="C8" s="952" t="n">
        <v>1.55</v>
      </c>
      <c r="D8" s="952" t="n">
        <v>1.55</v>
      </c>
      <c r="E8" s="287" t="n">
        <v>500</v>
      </c>
    </row>
    <row r="9">
      <c r="A9" s="291" t="inlineStr">
        <is>
          <t>GC2 TAMBRITE Storaenso FSC 200 g</t>
        </is>
      </c>
      <c r="B9" s="952" t="n">
        <v>1.5</v>
      </c>
      <c r="C9" s="952" t="n">
        <v>1.5</v>
      </c>
      <c r="D9" s="952" t="n">
        <v>1.5</v>
      </c>
      <c r="E9" s="287" t="n">
        <v>500</v>
      </c>
    </row>
    <row r="10">
      <c r="A10" s="291" t="inlineStr">
        <is>
          <t>GC2 TAMBRITE Storaenso FSC 210 - 220 g</t>
        </is>
      </c>
      <c r="B10" s="952" t="n">
        <v>1.48</v>
      </c>
      <c r="C10" s="952" t="n">
        <v>1.48</v>
      </c>
      <c r="D10" s="952" t="n">
        <v>1.48</v>
      </c>
      <c r="E10" s="287" t="n">
        <v>500</v>
      </c>
    </row>
    <row r="11">
      <c r="A11" s="291" t="inlineStr">
        <is>
          <t>GC2 TAMBRITE Storaenso FSC 230 - 325 g</t>
        </is>
      </c>
      <c r="B11" s="952" t="n">
        <v>1.46</v>
      </c>
      <c r="C11" s="952" t="n">
        <v>1.46</v>
      </c>
      <c r="D11" s="952" t="n">
        <v>1.46</v>
      </c>
      <c r="E11" s="287" t="n">
        <v>500</v>
      </c>
    </row>
    <row r="12">
      <c r="A12" s="291" t="inlineStr">
        <is>
          <t>GC1 Performa White Storaenso FSC 220 g</t>
        </is>
      </c>
      <c r="B12" s="952" t="n">
        <v>1.515</v>
      </c>
      <c r="C12" s="952" t="n">
        <v>1.515</v>
      </c>
      <c r="D12" s="952" t="n">
        <v>1.515</v>
      </c>
      <c r="E12" s="287" t="n">
        <v>500</v>
      </c>
    </row>
    <row r="13">
      <c r="A13" s="291" t="inlineStr">
        <is>
          <t>GC1 Performa White Storaenso FSC 240 - 400 g</t>
        </is>
      </c>
      <c r="B13" s="952" t="n">
        <v>1.5</v>
      </c>
      <c r="C13" s="952" t="n">
        <v>1.5</v>
      </c>
      <c r="D13" s="952" t="n">
        <v>1.5</v>
      </c>
      <c r="E13" s="287" t="n">
        <v>500</v>
      </c>
    </row>
    <row r="14">
      <c r="A14" s="291" t="inlineStr">
        <is>
          <t>GC2 Performa Light Storaenso FSC 220 g</t>
        </is>
      </c>
      <c r="B14" s="952" t="n">
        <v>1.515</v>
      </c>
      <c r="C14" s="952" t="n">
        <v>1.515</v>
      </c>
      <c r="D14" s="952" t="n">
        <v>1.515</v>
      </c>
      <c r="E14" s="287" t="n">
        <v>500</v>
      </c>
    </row>
    <row r="15">
      <c r="A15" s="291" t="inlineStr">
        <is>
          <t>GC2 Performa Light Storaenso FSC 240 - 320 g</t>
        </is>
      </c>
      <c r="B15" s="952" t="n">
        <v>1.5</v>
      </c>
      <c r="C15" s="952" t="n">
        <v>1.5</v>
      </c>
      <c r="D15" s="952" t="n">
        <v>1.5</v>
      </c>
      <c r="E15" s="287" t="n">
        <v>500</v>
      </c>
    </row>
    <row r="16">
      <c r="A16" s="291" t="inlineStr">
        <is>
          <t>GC2 Performa Cream Storaenso FSC 230 - 360 g</t>
        </is>
      </c>
      <c r="B16" s="952" t="n">
        <v>1.47</v>
      </c>
      <c r="C16" s="952" t="n">
        <v>1.47</v>
      </c>
      <c r="D16" s="952" t="n">
        <v>1.47</v>
      </c>
      <c r="E16" s="287" t="n">
        <v>500</v>
      </c>
    </row>
    <row r="17">
      <c r="A17" s="291" t="inlineStr">
        <is>
          <t>GC1 Performa Brilliance Storaenso FSC 180 - 200 g</t>
        </is>
      </c>
      <c r="B17" s="952" t="n">
        <v>1.53</v>
      </c>
      <c r="C17" s="952" t="n">
        <v>1.53</v>
      </c>
      <c r="D17" s="952" t="n">
        <v>1.53</v>
      </c>
      <c r="E17" s="287" t="n">
        <v>500</v>
      </c>
    </row>
    <row r="18">
      <c r="A18" s="291" t="inlineStr">
        <is>
          <t>Liner Performa Agile Storaenso FSC 190 g</t>
        </is>
      </c>
      <c r="B18" s="952" t="n">
        <v>1.51</v>
      </c>
      <c r="C18" s="952" t="n">
        <v>1.51</v>
      </c>
      <c r="D18" s="952" t="n">
        <v>1.51</v>
      </c>
      <c r="E18" s="287" t="n">
        <v>500</v>
      </c>
    </row>
    <row r="19">
      <c r="A19" s="292" t="inlineStr">
        <is>
          <t>SBS Ensocoat Storaenso FSC 250 - 380 g</t>
        </is>
      </c>
      <c r="B19" s="953" t="n">
        <v>1.81</v>
      </c>
      <c r="C19" s="952" t="n">
        <v>1.81</v>
      </c>
      <c r="D19" s="952" t="n">
        <v>1.81</v>
      </c>
      <c r="E19" s="289" t="n">
        <v>500</v>
      </c>
    </row>
    <row r="20">
      <c r="A20" s="292" t="inlineStr">
        <is>
          <t>SBS Ensocoat 2S Storaenso FSC 240 - 400 g</t>
        </is>
      </c>
      <c r="B20" s="953" t="n">
        <v>1.84</v>
      </c>
      <c r="C20" s="952" t="n">
        <v>1.84</v>
      </c>
      <c r="D20" s="952" t="n">
        <v>1.84</v>
      </c>
      <c r="E20" s="289" t="n">
        <v>500</v>
      </c>
    </row>
    <row r="21">
      <c r="A21" s="292" t="inlineStr">
        <is>
          <t>Foodbox (non patinato) FSC 233 - 350 g</t>
        </is>
      </c>
      <c r="B21" s="953" t="n">
        <v>1.54</v>
      </c>
      <c r="C21" s="952" t="n">
        <v>1.54</v>
      </c>
      <c r="D21" s="952" t="n">
        <v>1.54</v>
      </c>
      <c r="E21" s="289" t="n">
        <v>500</v>
      </c>
    </row>
    <row r="22">
      <c r="A22" s="292" t="inlineStr">
        <is>
          <t>B/Kraft FSC 190 g</t>
        </is>
      </c>
      <c r="B22" s="953" t="n">
        <v>1.22</v>
      </c>
      <c r="C22" s="952" t="n">
        <v>1.22</v>
      </c>
      <c r="D22" s="952" t="n">
        <v>1.22</v>
      </c>
      <c r="E22" s="289" t="n">
        <v>500</v>
      </c>
    </row>
    <row r="23">
      <c r="A23" s="292" t="inlineStr">
        <is>
          <t>B/Kraft FSC 205 g</t>
        </is>
      </c>
      <c r="B23" s="953" t="n">
        <v>1.2</v>
      </c>
      <c r="C23" s="952" t="n">
        <v>1.2</v>
      </c>
      <c r="D23" s="952" t="n">
        <v>1.2</v>
      </c>
      <c r="E23" s="289" t="n">
        <v>500</v>
      </c>
    </row>
    <row r="24">
      <c r="A24" s="292" t="inlineStr">
        <is>
          <t>Cupforma Natura FSC 195 g</t>
        </is>
      </c>
      <c r="B24" s="953" t="n">
        <v>1.76</v>
      </c>
      <c r="C24" s="952" t="n">
        <v>1.76</v>
      </c>
      <c r="D24" s="952" t="n">
        <v>1.76</v>
      </c>
      <c r="E24" s="289" t="n">
        <v>500</v>
      </c>
    </row>
    <row r="25">
      <c r="A25" s="292" t="inlineStr">
        <is>
          <t>Incada Exel New 235 - 350 g</t>
        </is>
      </c>
      <c r="B25" s="953" t="n">
        <v>1.77</v>
      </c>
      <c r="C25" s="953" t="n">
        <v>1.82</v>
      </c>
      <c r="D25" s="953" t="n">
        <v>1.82</v>
      </c>
      <c r="E25" s="289" t="n">
        <v>500</v>
      </c>
    </row>
    <row r="26">
      <c r="A26" s="292" t="inlineStr">
        <is>
          <t>Excellent Top Strong 250-350 g</t>
        </is>
      </c>
      <c r="B26" s="953" t="n">
        <v>1.59</v>
      </c>
      <c r="C26" s="953" t="n">
        <v>1.62</v>
      </c>
      <c r="D26" s="953" t="n">
        <v>1.67</v>
      </c>
      <c r="E26" s="289" t="n">
        <v>500</v>
      </c>
    </row>
    <row r="27">
      <c r="A27" s="292" t="inlineStr">
        <is>
          <t>Kro/Alaska Eco 245 - 400 g</t>
        </is>
      </c>
      <c r="B27" s="953" t="n">
        <v>1.59</v>
      </c>
      <c r="C27" s="953" t="n">
        <v>1.62</v>
      </c>
      <c r="D27" s="953" t="n">
        <v>1.67</v>
      </c>
      <c r="E27" s="289" t="n">
        <v>500</v>
      </c>
    </row>
    <row r="28">
      <c r="A28" s="292" t="inlineStr">
        <is>
          <t>Skye White Gc1 250 - 350 g</t>
        </is>
      </c>
      <c r="B28" s="953" t="n">
        <v>1.53</v>
      </c>
      <c r="C28" s="953" t="n">
        <v>1.53</v>
      </c>
      <c r="D28" s="953" t="n">
        <v>1.53</v>
      </c>
      <c r="E28" s="289" t="n">
        <v>500</v>
      </c>
    </row>
    <row r="29">
      <c r="A29" s="292" t="inlineStr">
        <is>
          <t>Gc1 - Polar 250 - 380 g</t>
        </is>
      </c>
      <c r="B29" s="953" t="n">
        <v>1.7</v>
      </c>
      <c r="C29" s="953" t="n">
        <v>1.75</v>
      </c>
      <c r="D29" s="953" t="n">
        <v>1.75</v>
      </c>
      <c r="E29" s="289" t="n">
        <v>500</v>
      </c>
    </row>
    <row r="30">
      <c r="A30" s="292" t="inlineStr">
        <is>
          <t>Bianco Kraft Gc4 200 - 350 g</t>
        </is>
      </c>
      <c r="B30" s="953" t="n">
        <v>1.55</v>
      </c>
      <c r="C30" s="953" t="n">
        <v>1.57</v>
      </c>
      <c r="D30" s="953" t="n">
        <v>1.57</v>
      </c>
      <c r="E30" s="289" t="n">
        <v>500</v>
      </c>
    </row>
    <row r="31">
      <c r="A31" s="292" t="inlineStr">
        <is>
          <t>Twin Kraft 230 - 400 g</t>
        </is>
      </c>
      <c r="B31" s="953" t="n">
        <v>1.49</v>
      </c>
      <c r="C31" s="953" t="n">
        <v>1.54</v>
      </c>
      <c r="D31" s="953" t="n">
        <v>1.59</v>
      </c>
      <c r="E31" s="289" t="n">
        <v>500</v>
      </c>
    </row>
  </sheetData>
  <pageMargins left="0.7" right="0.7" top="0.75" bottom="0.75" header="0.3" footer="0.3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 codeName="Sheet10">
    <outlinePr summaryBelow="1" summaryRight="1"/>
    <pageSetUpPr/>
  </sheetPr>
  <dimension ref="A1:P87"/>
  <sheetViews>
    <sheetView topLeftCell="A49" workbookViewId="0">
      <selection activeCell="A51" sqref="A51"/>
    </sheetView>
  </sheetViews>
  <sheetFormatPr baseColWidth="8" defaultRowHeight="12.75"/>
  <cols>
    <col width="35" bestFit="1" customWidth="1" min="11" max="11"/>
    <col width="16.7109375" bestFit="1" customWidth="1" min="12" max="12"/>
  </cols>
  <sheetData>
    <row r="1">
      <c r="A1" s="725" t="inlineStr">
        <is>
          <t>Cartone ondulato</t>
        </is>
      </c>
      <c r="G1" s="725" t="inlineStr">
        <is>
          <t>Spessori cartoni</t>
        </is>
      </c>
      <c r="K1" s="210" t="inlineStr">
        <is>
          <t>LAVORAZIONI</t>
        </is>
      </c>
      <c r="L1" s="210" t="inlineStr">
        <is>
          <t>AVVIAMENTI</t>
        </is>
      </c>
      <c r="M1" s="210" t="inlineStr">
        <is>
          <t>7999</t>
        </is>
      </c>
      <c r="N1" s="210" t="inlineStr">
        <is>
          <t>7998</t>
        </is>
      </c>
      <c r="O1" s="210" t="inlineStr">
        <is>
          <t>MAGGIORE</t>
        </is>
      </c>
      <c r="P1" s="210" t="inlineStr">
        <is>
          <t>MINORE</t>
        </is>
      </c>
    </row>
    <row r="2">
      <c r="A2" s="187" t="inlineStr">
        <is>
          <t>HC</t>
        </is>
      </c>
      <c r="B2" s="187" t="n"/>
      <c r="C2" s="188" t="n"/>
      <c r="D2" s="187" t="inlineStr">
        <is>
          <t>HC</t>
        </is>
      </c>
      <c r="E2" s="187" t="n"/>
      <c r="G2" s="187" t="inlineStr">
        <is>
          <t>ONDA</t>
        </is>
      </c>
      <c r="H2" s="187" t="inlineStr">
        <is>
          <t>mm</t>
        </is>
      </c>
      <c r="K2" s="210" t="inlineStr">
        <is>
          <t>Fustellatura Std AVV.TO</t>
        </is>
      </c>
      <c r="L2" s="916" t="n">
        <v>150</v>
      </c>
      <c r="M2" s="949" t="n"/>
      <c r="N2" s="949" t="n"/>
      <c r="O2" s="210" t="n"/>
      <c r="P2" s="210" t="n"/>
    </row>
    <row r="3">
      <c r="A3" s="187" t="n">
        <v>700</v>
      </c>
      <c r="B3" s="187" t="n">
        <v>1000</v>
      </c>
      <c r="C3" s="188" t="n"/>
      <c r="D3" s="187" t="n">
        <v>1000</v>
      </c>
      <c r="E3" s="187" t="n">
        <v>700</v>
      </c>
      <c r="G3" s="187" t="inlineStr">
        <is>
          <t>B</t>
        </is>
      </c>
      <c r="H3" s="206" t="n">
        <v>3</v>
      </c>
      <c r="K3" s="210" t="inlineStr">
        <is>
          <t>Flexo + Fustellatura AVV.TO</t>
        </is>
      </c>
      <c r="L3" s="916" t="n">
        <v>180</v>
      </c>
      <c r="M3" s="949" t="n"/>
      <c r="N3" s="949" t="n"/>
      <c r="O3" s="210" t="n"/>
      <c r="P3" s="210" t="n"/>
    </row>
    <row r="4">
      <c r="A4" s="187" t="n">
        <v>800</v>
      </c>
      <c r="B4" s="187" t="n">
        <v>1200</v>
      </c>
      <c r="C4" s="188" t="n"/>
      <c r="D4" s="187" t="n">
        <v>1200</v>
      </c>
      <c r="E4" s="187" t="n">
        <v>800</v>
      </c>
      <c r="G4" s="187" t="inlineStr">
        <is>
          <t>C</t>
        </is>
      </c>
      <c r="H4" s="206" t="n">
        <v>4</v>
      </c>
      <c r="K4" s="210" t="inlineStr">
        <is>
          <t>Taglio Plotter AVV.TO</t>
        </is>
      </c>
      <c r="L4" s="916" t="n">
        <v>25</v>
      </c>
      <c r="M4" s="947" t="n"/>
      <c r="N4" s="947" t="n"/>
      <c r="O4" s="211" t="n"/>
      <c r="P4" s="211" t="n"/>
    </row>
    <row r="5">
      <c r="A5" s="187" t="n">
        <v>1000</v>
      </c>
      <c r="B5" s="187" t="n">
        <v>1400</v>
      </c>
      <c r="C5" s="188" t="n"/>
      <c r="D5" s="187" t="n">
        <v>1400</v>
      </c>
      <c r="E5" s="187" t="n">
        <v>1000</v>
      </c>
      <c r="G5" s="187" t="inlineStr">
        <is>
          <t>E</t>
        </is>
      </c>
      <c r="H5" s="206" t="n">
        <v>1.5</v>
      </c>
      <c r="K5" s="210" t="inlineStr">
        <is>
          <t>Fustellatura Std PASS.</t>
        </is>
      </c>
      <c r="L5" s="210" t="n"/>
      <c r="M5" s="949" t="n">
        <v>0.07000000000000001</v>
      </c>
      <c r="N5" s="949" t="n">
        <v>0.08</v>
      </c>
      <c r="O5" s="210" t="n">
        <v>7999</v>
      </c>
      <c r="P5" s="210" t="n">
        <v>8000</v>
      </c>
    </row>
    <row r="6">
      <c r="A6" s="187" t="n">
        <v>1200</v>
      </c>
      <c r="B6" s="187" t="n">
        <v>1600</v>
      </c>
      <c r="C6" s="188" t="n"/>
      <c r="D6" s="187" t="n">
        <v>1600</v>
      </c>
      <c r="E6" s="187" t="n">
        <v>1200</v>
      </c>
      <c r="G6" s="187" t="inlineStr">
        <is>
          <t>F</t>
        </is>
      </c>
      <c r="H6" s="206" t="n">
        <v>1</v>
      </c>
      <c r="K6" s="210" t="inlineStr">
        <is>
          <t>Flexo + Fustellatura PASS.</t>
        </is>
      </c>
      <c r="L6" s="210" t="n"/>
      <c r="M6" s="949" t="n">
        <v>0.1</v>
      </c>
      <c r="N6" s="949" t="n">
        <v>0.12</v>
      </c>
      <c r="O6" s="210" t="n">
        <v>7999</v>
      </c>
      <c r="P6" s="210" t="n">
        <v>8000</v>
      </c>
    </row>
    <row r="7">
      <c r="A7" s="187" t="n">
        <v>1600</v>
      </c>
      <c r="B7" s="187" t="n">
        <v>1600</v>
      </c>
      <c r="C7" s="188" t="n"/>
      <c r="D7" s="187" t="n">
        <v>1600</v>
      </c>
      <c r="E7" s="187" t="n">
        <v>1600</v>
      </c>
      <c r="G7" s="187" t="inlineStr">
        <is>
          <t>BC</t>
        </is>
      </c>
      <c r="H7" s="206">
        <f>+H3+H4</f>
        <v/>
      </c>
      <c r="K7" s="210" t="inlineStr">
        <is>
          <t>Taglio Plotter AL MTL</t>
        </is>
      </c>
      <c r="L7" s="210" t="n"/>
      <c r="M7" s="949" t="n"/>
      <c r="N7" s="949" t="n"/>
      <c r="O7" s="210" t="n"/>
      <c r="P7" s="210" t="n"/>
    </row>
    <row r="8">
      <c r="A8" s="187" t="n">
        <v>2000</v>
      </c>
      <c r="B8" s="187" t="n">
        <v>2400</v>
      </c>
      <c r="C8" s="188" t="n"/>
      <c r="D8" s="187" t="n">
        <v>2400</v>
      </c>
      <c r="E8" s="187" t="n">
        <v>2000</v>
      </c>
      <c r="G8" s="187" t="inlineStr">
        <is>
          <t>EB</t>
        </is>
      </c>
      <c r="H8" s="206">
        <f>+H5+H3</f>
        <v/>
      </c>
    </row>
    <row r="9">
      <c r="A9" s="187" t="n">
        <v>2400</v>
      </c>
      <c r="B9" s="187" t="n">
        <v>2400</v>
      </c>
      <c r="C9" s="188" t="n"/>
      <c r="D9" s="187" t="n">
        <v>2400</v>
      </c>
      <c r="E9" s="187" t="n">
        <v>2400</v>
      </c>
      <c r="G9" s="187" t="inlineStr">
        <is>
          <t>EE</t>
        </is>
      </c>
      <c r="H9" s="206">
        <f>+H5+H5</f>
        <v/>
      </c>
    </row>
    <row r="10"/>
    <row r="11"/>
    <row r="12"/>
    <row r="13"/>
    <row r="14"/>
    <row r="15"/>
    <row r="16"/>
    <row r="17"/>
    <row r="18">
      <c r="A18" s="730" t="inlineStr">
        <is>
          <t>Scatole da magazzino</t>
        </is>
      </c>
      <c r="B18" s="776" t="n"/>
      <c r="C18" s="776" t="n"/>
    </row>
    <row r="19">
      <c r="A19" s="189" t="inlineStr">
        <is>
          <t>L</t>
        </is>
      </c>
      <c r="B19" s="189" t="inlineStr">
        <is>
          <t>P</t>
        </is>
      </c>
      <c r="C19" s="189" t="inlineStr">
        <is>
          <t>H</t>
        </is>
      </c>
      <c r="D19" s="512" t="inlineStr">
        <is>
          <t>CAIXA DE ESTOQUE</t>
        </is>
      </c>
      <c r="E19" s="188" t="n"/>
      <c r="F19" s="188" t="n"/>
      <c r="G19" s="725" t="inlineStr">
        <is>
          <t>€/CAD.</t>
        </is>
      </c>
      <c r="H19" s="725" t="inlineStr">
        <is>
          <t>PZ/PLT</t>
        </is>
      </c>
      <c r="I19" s="511" t="inlineStr">
        <is>
          <t>concatenato</t>
        </is>
      </c>
    </row>
    <row r="20">
      <c r="A20" s="187" t="n">
        <v>300</v>
      </c>
      <c r="B20" s="187" t="n">
        <v>400</v>
      </c>
      <c r="C20" s="187" t="n">
        <v>300</v>
      </c>
      <c r="D20" s="508">
        <f>+I20</f>
        <v/>
      </c>
      <c r="E20" s="509" t="n"/>
      <c r="F20" s="509" t="n"/>
      <c r="G20" s="954" t="n">
        <v>0.5</v>
      </c>
      <c r="H20" s="188" t="n">
        <v>32</v>
      </c>
      <c r="I20">
        <f>_xlfn.CONCAT("Scatola ",A20,"x",B20,"x",C20," mm")</f>
        <v/>
      </c>
      <c r="J20" s="955" t="n"/>
      <c r="K20" s="955" t="n"/>
    </row>
    <row r="21">
      <c r="A21" s="187" t="n">
        <v>600</v>
      </c>
      <c r="B21" s="187" t="n">
        <v>400</v>
      </c>
      <c r="C21" s="187" t="n">
        <v>300</v>
      </c>
      <c r="D21" s="508">
        <f>+I21</f>
        <v/>
      </c>
      <c r="E21" s="509" t="n"/>
      <c r="F21" s="509" t="n"/>
      <c r="G21" s="954" t="n">
        <v>0.65</v>
      </c>
      <c r="H21" s="188" t="n">
        <v>16</v>
      </c>
      <c r="I21">
        <f>_xlfn.CONCAT("Scatola ",A21,"x",B21,"x",C21," mm")</f>
        <v/>
      </c>
      <c r="J21" s="955" t="n"/>
      <c r="K21" s="955" t="n"/>
    </row>
    <row r="22">
      <c r="A22" s="187" t="n">
        <v>780</v>
      </c>
      <c r="B22" s="187" t="n">
        <v>385</v>
      </c>
      <c r="C22" s="187" t="n">
        <v>470</v>
      </c>
      <c r="D22" s="508">
        <f>+I22</f>
        <v/>
      </c>
      <c r="E22" s="509" t="n"/>
      <c r="F22" s="509" t="n"/>
      <c r="G22" s="954" t="n">
        <v>0.85</v>
      </c>
      <c r="H22" s="188" t="n">
        <v>15</v>
      </c>
      <c r="I22">
        <f>_xlfn.CONCAT("Scatola ",A22,"x",B22,"x",C22," mm")</f>
        <v/>
      </c>
      <c r="J22" s="955" t="n"/>
      <c r="K22" s="955" t="n"/>
    </row>
    <row r="23">
      <c r="A23" s="187" t="n">
        <v>800</v>
      </c>
      <c r="B23" s="187" t="n">
        <v>400</v>
      </c>
      <c r="C23" s="187" t="n">
        <v>400</v>
      </c>
      <c r="D23" s="508">
        <f>+I23</f>
        <v/>
      </c>
      <c r="E23" s="509" t="n"/>
      <c r="F23" s="509" t="n"/>
      <c r="G23" s="954" t="n">
        <v>2.5</v>
      </c>
      <c r="H23" s="188" t="n">
        <v>9</v>
      </c>
      <c r="I23">
        <f>_xlfn.CONCAT("Scatola ",A23,"x",B23,"x",C23," mm")</f>
        <v/>
      </c>
      <c r="J23" s="955" t="n"/>
      <c r="K23" s="955" t="n"/>
    </row>
    <row r="24">
      <c r="A24" s="187" t="n">
        <v>800</v>
      </c>
      <c r="B24" s="187" t="n">
        <v>600</v>
      </c>
      <c r="C24" s="187" t="n">
        <v>800</v>
      </c>
      <c r="D24" s="508">
        <f>+I24</f>
        <v/>
      </c>
      <c r="E24" s="509" t="n"/>
      <c r="F24" s="509" t="n"/>
      <c r="G24" s="954" t="n">
        <v>3</v>
      </c>
      <c r="H24" s="188" t="n">
        <v>2</v>
      </c>
      <c r="I24">
        <f>_xlfn.CONCAT("Scatola ",A24,"x",B24,"x",C24," mm")</f>
        <v/>
      </c>
      <c r="J24" s="955" t="n"/>
      <c r="K24" s="955" t="n"/>
    </row>
    <row r="25"/>
    <row r="26"/>
    <row r="27"/>
    <row r="28"/>
    <row r="29"/>
    <row r="30"/>
    <row r="31"/>
    <row r="32">
      <c r="A32" s="726" t="inlineStr">
        <is>
          <t>CALCOLO PER VASCHETTE</t>
        </is>
      </c>
    </row>
    <row r="33">
      <c r="A33" s="410" t="n"/>
      <c r="B33" s="410" t="inlineStr">
        <is>
          <t>L</t>
        </is>
      </c>
      <c r="C33" s="410" t="inlineStr">
        <is>
          <t>P</t>
        </is>
      </c>
      <c r="D33" s="410" t="inlineStr">
        <is>
          <t>H</t>
        </is>
      </c>
    </row>
    <row r="34">
      <c r="A34" s="410" t="inlineStr">
        <is>
          <t>Scatola</t>
        </is>
      </c>
      <c r="B34" s="410" t="n">
        <v>785</v>
      </c>
      <c r="C34" s="410" t="n">
        <v>385</v>
      </c>
      <c r="D34" s="410" t="n">
        <v>470</v>
      </c>
    </row>
    <row r="35">
      <c r="A35" s="410" t="inlineStr">
        <is>
          <t>f.to vasch.</t>
        </is>
      </c>
      <c r="B35" s="410" t="n"/>
      <c r="C35" s="410" t="n"/>
      <c r="D35" s="410" t="n"/>
    </row>
    <row r="36">
      <c r="A36" s="410" t="inlineStr">
        <is>
          <t>RENDIMENTO</t>
        </is>
      </c>
      <c r="B36" s="410">
        <f>_xlfn.FLOOR.MATH(+B34/B35)</f>
        <v/>
      </c>
      <c r="C36" s="410">
        <f>_xlfn.FLOOR.MATH(+C34/C35)</f>
        <v/>
      </c>
      <c r="D36" s="410">
        <f>_xlfn.FLOOR.MATH((+D34-D35)/12)+1</f>
        <v/>
      </c>
    </row>
    <row r="37">
      <c r="A37" s="956" t="inlineStr">
        <is>
          <t>PZ/SCATOLA</t>
        </is>
      </c>
      <c r="B37" s="835" t="n"/>
      <c r="C37" s="802" t="n"/>
      <c r="D37" s="411">
        <f>+B36*C36*D36</f>
        <v/>
      </c>
    </row>
    <row r="38"/>
    <row r="39"/>
    <row r="40"/>
    <row r="41"/>
    <row r="42"/>
    <row r="43"/>
    <row r="44"/>
    <row r="45"/>
    <row r="46"/>
    <row r="47"/>
    <row r="48"/>
    <row r="49"/>
    <row r="50"/>
    <row r="51">
      <c r="A51" t="inlineStr">
        <is>
          <t>HC</t>
        </is>
      </c>
      <c r="B51" t="inlineStr">
        <is>
          <t>CC</t>
        </is>
      </c>
      <c r="C51" t="inlineStr">
        <is>
          <t>AREA</t>
        </is>
      </c>
      <c r="E51" s="200" t="inlineStr">
        <is>
          <t>CF</t>
        </is>
      </c>
      <c r="F51" s="200" t="inlineStr">
        <is>
          <t>SF</t>
        </is>
      </c>
      <c r="G51" s="200" t="inlineStr">
        <is>
          <t>AREA</t>
        </is>
      </c>
    </row>
    <row r="52">
      <c r="A52" t="n">
        <v>400</v>
      </c>
      <c r="B52" t="n">
        <v>800</v>
      </c>
      <c r="C52">
        <f>+Ondulati_Magazzino[[#This Row],[HC]]*Ondulati_Magazzino[[#This Row],[CC]]</f>
        <v/>
      </c>
      <c r="E52" t="n">
        <v>510</v>
      </c>
      <c r="F52" t="n">
        <v>720</v>
      </c>
      <c r="G52">
        <f>+Cartoncino_Magazzino[[#This Row],[CF]]*Cartoncino_Magazzino[[#This Row],[SF]]</f>
        <v/>
      </c>
    </row>
    <row r="53">
      <c r="A53" t="n">
        <v>400</v>
      </c>
      <c r="B53" t="n">
        <v>1200</v>
      </c>
      <c r="C53">
        <f>+Ondulati_Magazzino[[#This Row],[HC]]*Ondulati_Magazzino[[#This Row],[CC]]</f>
        <v/>
      </c>
      <c r="E53" t="n">
        <v>602</v>
      </c>
      <c r="F53" t="n">
        <v>820</v>
      </c>
      <c r="G53">
        <f>+Cartoncino_Magazzino[[#This Row],[CF]]*Cartoncino_Magazzino[[#This Row],[SF]]</f>
        <v/>
      </c>
    </row>
    <row r="54">
      <c r="A54" t="n">
        <v>500</v>
      </c>
      <c r="B54" t="n">
        <v>700</v>
      </c>
      <c r="C54">
        <f>+Ondulati_Magazzino[[#This Row],[HC]]*Ondulati_Magazzino[[#This Row],[CC]]</f>
        <v/>
      </c>
      <c r="E54" t="n">
        <v>820</v>
      </c>
      <c r="F54" t="n">
        <v>602</v>
      </c>
      <c r="G54">
        <f>+Cartoncino_Magazzino[[#This Row],[CF]]*Cartoncino_Magazzino[[#This Row],[SF]]</f>
        <v/>
      </c>
    </row>
    <row r="55">
      <c r="A55" t="n">
        <v>600</v>
      </c>
      <c r="B55" t="n">
        <v>800</v>
      </c>
      <c r="C55">
        <f>+Ondulati_Magazzino[[#This Row],[HC]]*Ondulati_Magazzino[[#This Row],[CC]]</f>
        <v/>
      </c>
      <c r="E55" t="n">
        <v>720</v>
      </c>
      <c r="F55" t="n">
        <v>1020</v>
      </c>
      <c r="G55">
        <f>+Cartoncino_Magazzino[[#This Row],[CF]]*Cartoncino_Magazzino[[#This Row],[SF]]</f>
        <v/>
      </c>
    </row>
    <row r="56">
      <c r="A56" t="n">
        <v>600</v>
      </c>
      <c r="B56" t="n">
        <v>1200</v>
      </c>
      <c r="C56">
        <f>+Ondulati_Magazzino[[#This Row],[HC]]*Ondulati_Magazzino[[#This Row],[CC]]</f>
        <v/>
      </c>
      <c r="E56" t="n">
        <v>1020</v>
      </c>
      <c r="F56" t="n">
        <v>720</v>
      </c>
      <c r="G56">
        <f>+Cartoncino_Magazzino[[#This Row],[CF]]*Cartoncino_Magazzino[[#This Row],[SF]]</f>
        <v/>
      </c>
    </row>
    <row r="57">
      <c r="A57" t="n">
        <v>600</v>
      </c>
      <c r="B57" t="n">
        <v>2400</v>
      </c>
      <c r="C57">
        <f>+Ondulati_Magazzino[[#This Row],[HC]]*Ondulati_Magazzino[[#This Row],[CC]]</f>
        <v/>
      </c>
      <c r="E57" t="n">
        <v>820</v>
      </c>
      <c r="F57" t="n">
        <v>1205</v>
      </c>
      <c r="G57">
        <f>+Cartoncino_Magazzino[[#This Row],[CF]]*Cartoncino_Magazzino[[#This Row],[SF]]</f>
        <v/>
      </c>
    </row>
    <row r="58">
      <c r="A58" t="n">
        <v>700</v>
      </c>
      <c r="B58" t="n">
        <v>1000</v>
      </c>
      <c r="C58">
        <f>+Ondulati_Magazzino[[#This Row],[HC]]*Ondulati_Magazzino[[#This Row],[CC]]</f>
        <v/>
      </c>
      <c r="E58" t="n">
        <v>1205</v>
      </c>
      <c r="F58" t="n">
        <v>850</v>
      </c>
      <c r="G58">
        <f>+Cartoncino_Magazzino[[#This Row],[CF]]*Cartoncino_Magazzino[[#This Row],[SF]]</f>
        <v/>
      </c>
    </row>
    <row r="59">
      <c r="A59" t="n">
        <v>800</v>
      </c>
      <c r="B59" t="n">
        <v>600</v>
      </c>
      <c r="C59">
        <f>+Ondulati_Magazzino[[#This Row],[HC]]*Ondulati_Magazzino[[#This Row],[CC]]</f>
        <v/>
      </c>
      <c r="E59" t="n">
        <v>1020</v>
      </c>
      <c r="F59" t="n">
        <v>1420</v>
      </c>
      <c r="G59">
        <f>+Cartoncino_Magazzino[[#This Row],[CF]]*Cartoncino_Magazzino[[#This Row],[SF]]</f>
        <v/>
      </c>
    </row>
    <row r="60">
      <c r="A60" t="n">
        <v>800</v>
      </c>
      <c r="B60" t="n">
        <v>800</v>
      </c>
      <c r="C60">
        <f>+Ondulati_Magazzino[[#This Row],[HC]]*Ondulati_Magazzino[[#This Row],[CC]]</f>
        <v/>
      </c>
      <c r="E60" t="n">
        <v>1420</v>
      </c>
      <c r="F60" t="n">
        <v>1020</v>
      </c>
      <c r="G60">
        <f>+Cartoncino_Magazzino[[#This Row],[CF]]*Cartoncino_Magazzino[[#This Row],[SF]]</f>
        <v/>
      </c>
    </row>
    <row r="61">
      <c r="A61" t="n">
        <v>800</v>
      </c>
      <c r="B61" t="n">
        <v>1000</v>
      </c>
      <c r="C61">
        <f>+Ondulati_Magazzino[[#This Row],[HC]]*Ondulati_Magazzino[[#This Row],[CC]]</f>
        <v/>
      </c>
      <c r="E61" t="n">
        <v>1640</v>
      </c>
      <c r="F61" t="n">
        <v>1205</v>
      </c>
      <c r="G61">
        <f>+Cartoncino_Magazzino[[#This Row],[CF]]*Cartoncino_Magazzino[[#This Row],[SF]]</f>
        <v/>
      </c>
    </row>
    <row r="62">
      <c r="A62" t="n">
        <v>800</v>
      </c>
      <c r="B62" t="n">
        <v>1200</v>
      </c>
      <c r="C62">
        <f>+Ondulati_Magazzino[[#This Row],[HC]]*Ondulati_Magazzino[[#This Row],[CC]]</f>
        <v/>
      </c>
      <c r="E62" t="n">
        <v>1205</v>
      </c>
      <c r="F62" t="n">
        <v>1640</v>
      </c>
      <c r="G62">
        <f>+Cartoncino_Magazzino[[#This Row],[CF]]*Cartoncino_Magazzino[[#This Row],[SF]]</f>
        <v/>
      </c>
    </row>
    <row r="63">
      <c r="A63" t="n">
        <v>800</v>
      </c>
      <c r="B63" t="n">
        <v>1600</v>
      </c>
      <c r="C63">
        <f>+Ondulati_Magazzino[[#This Row],[HC]]*Ondulati_Magazzino[[#This Row],[CC]]</f>
        <v/>
      </c>
    </row>
    <row r="64">
      <c r="A64" t="n">
        <v>800</v>
      </c>
      <c r="B64" t="n">
        <v>2400</v>
      </c>
      <c r="C64">
        <f>+Ondulati_Magazzino[[#This Row],[HC]]*Ondulati_Magazzino[[#This Row],[CC]]</f>
        <v/>
      </c>
    </row>
    <row r="65">
      <c r="A65" t="n">
        <v>1000</v>
      </c>
      <c r="B65" t="n">
        <v>700</v>
      </c>
      <c r="C65">
        <f>+Ondulati_Magazzino[[#This Row],[HC]]*Ondulati_Magazzino[[#This Row],[CC]]</f>
        <v/>
      </c>
    </row>
    <row r="66">
      <c r="A66" t="n">
        <v>1000</v>
      </c>
      <c r="B66" t="n">
        <v>800</v>
      </c>
      <c r="C66">
        <f>+Ondulati_Magazzino[[#This Row],[HC]]*Ondulati_Magazzino[[#This Row],[CC]]</f>
        <v/>
      </c>
    </row>
    <row r="67">
      <c r="A67" t="n">
        <v>1000</v>
      </c>
      <c r="B67" t="n">
        <v>1200</v>
      </c>
      <c r="C67">
        <f>+Ondulati_Magazzino[[#This Row],[HC]]*Ondulati_Magazzino[[#This Row],[CC]]</f>
        <v/>
      </c>
    </row>
    <row r="68">
      <c r="A68" t="n">
        <v>1000</v>
      </c>
      <c r="B68" t="n">
        <v>1400</v>
      </c>
      <c r="C68">
        <f>+Ondulati_Magazzino[[#This Row],[HC]]*Ondulati_Magazzino[[#This Row],[CC]]</f>
        <v/>
      </c>
    </row>
    <row r="69">
      <c r="A69" t="n">
        <v>1200</v>
      </c>
      <c r="B69" t="n">
        <v>600</v>
      </c>
      <c r="C69">
        <f>+Ondulati_Magazzino[[#This Row],[HC]]*Ondulati_Magazzino[[#This Row],[CC]]</f>
        <v/>
      </c>
    </row>
    <row r="70">
      <c r="A70" t="n">
        <v>1200</v>
      </c>
      <c r="B70" t="n">
        <v>800</v>
      </c>
      <c r="C70">
        <f>+Ondulati_Magazzino[[#This Row],[HC]]*Ondulati_Magazzino[[#This Row],[CC]]</f>
        <v/>
      </c>
    </row>
    <row r="71">
      <c r="A71" t="n">
        <v>1200</v>
      </c>
      <c r="B71" t="n">
        <v>1000</v>
      </c>
      <c r="C71">
        <f>+Ondulati_Magazzino[[#This Row],[HC]]*Ondulati_Magazzino[[#This Row],[CC]]</f>
        <v/>
      </c>
    </row>
    <row r="72">
      <c r="A72" t="n">
        <v>1200</v>
      </c>
      <c r="B72" t="n">
        <v>1200</v>
      </c>
      <c r="C72">
        <f>+Ondulati_Magazzino[[#This Row],[HC]]*Ondulati_Magazzino[[#This Row],[CC]]</f>
        <v/>
      </c>
    </row>
    <row r="73">
      <c r="A73" t="n">
        <v>1200</v>
      </c>
      <c r="B73" t="n">
        <v>1600</v>
      </c>
      <c r="C73">
        <f>+Ondulati_Magazzino[[#This Row],[HC]]*Ondulati_Magazzino[[#This Row],[CC]]</f>
        <v/>
      </c>
    </row>
    <row r="74">
      <c r="A74" t="n">
        <v>1200</v>
      </c>
      <c r="B74" t="n">
        <v>2000</v>
      </c>
      <c r="C74">
        <f>+Ondulati_Magazzino[[#This Row],[HC]]*Ondulati_Magazzino[[#This Row],[CC]]</f>
        <v/>
      </c>
    </row>
    <row r="75">
      <c r="A75" t="n">
        <v>1200</v>
      </c>
      <c r="B75" t="n">
        <v>2400</v>
      </c>
      <c r="C75">
        <f>+Ondulati_Magazzino[[#This Row],[HC]]*Ondulati_Magazzino[[#This Row],[CC]]</f>
        <v/>
      </c>
    </row>
    <row r="76">
      <c r="A76" t="n">
        <v>1400</v>
      </c>
      <c r="B76" t="n">
        <v>1000</v>
      </c>
      <c r="C76">
        <f>+Ondulati_Magazzino[[#This Row],[HC]]*Ondulati_Magazzino[[#This Row],[CC]]</f>
        <v/>
      </c>
    </row>
    <row r="77">
      <c r="A77" t="n">
        <v>1600</v>
      </c>
      <c r="B77" t="n">
        <v>800</v>
      </c>
      <c r="C77">
        <f>+Ondulati_Magazzino[[#This Row],[HC]]*Ondulati_Magazzino[[#This Row],[CC]]</f>
        <v/>
      </c>
    </row>
    <row r="78">
      <c r="A78" t="n">
        <v>1600</v>
      </c>
      <c r="B78" t="n">
        <v>800</v>
      </c>
      <c r="C78">
        <f>+Ondulati_Magazzino[[#This Row],[HC]]*Ondulati_Magazzino[[#This Row],[CC]]</f>
        <v/>
      </c>
    </row>
    <row r="79">
      <c r="A79" t="n">
        <v>1600</v>
      </c>
      <c r="B79" t="n">
        <v>1200</v>
      </c>
      <c r="C79">
        <f>+Ondulati_Magazzino[[#This Row],[HC]]*Ondulati_Magazzino[[#This Row],[CC]]</f>
        <v/>
      </c>
    </row>
    <row r="80">
      <c r="A80" t="n">
        <v>1600</v>
      </c>
      <c r="B80" t="n">
        <v>1600</v>
      </c>
      <c r="C80">
        <f>+Ondulati_Magazzino[[#This Row],[HC]]*Ondulati_Magazzino[[#This Row],[CC]]</f>
        <v/>
      </c>
    </row>
    <row r="81">
      <c r="A81" t="n">
        <v>2000</v>
      </c>
      <c r="B81" t="n">
        <v>1200</v>
      </c>
      <c r="C81">
        <f>+Ondulati_Magazzino[[#This Row],[HC]]*Ondulati_Magazzino[[#This Row],[CC]]</f>
        <v/>
      </c>
    </row>
    <row r="82">
      <c r="A82" t="n">
        <v>2000</v>
      </c>
      <c r="B82" t="n">
        <v>2400</v>
      </c>
      <c r="C82">
        <f>+Ondulati_Magazzino[[#This Row],[HC]]*Ondulati_Magazzino[[#This Row],[CC]]</f>
        <v/>
      </c>
    </row>
    <row r="83">
      <c r="A83" t="n">
        <v>2400</v>
      </c>
      <c r="B83" t="n">
        <v>600</v>
      </c>
      <c r="C83">
        <f>+Ondulati_Magazzino[[#This Row],[HC]]*Ondulati_Magazzino[[#This Row],[CC]]</f>
        <v/>
      </c>
    </row>
    <row r="84">
      <c r="A84" t="n">
        <v>2400</v>
      </c>
      <c r="B84" t="n">
        <v>800</v>
      </c>
      <c r="C84">
        <f>+Ondulati_Magazzino[[#This Row],[HC]]*Ondulati_Magazzino[[#This Row],[CC]]</f>
        <v/>
      </c>
    </row>
    <row r="85">
      <c r="A85" t="n">
        <v>2400</v>
      </c>
      <c r="B85" t="n">
        <v>1200</v>
      </c>
      <c r="C85">
        <f>+Ondulati_Magazzino[[#This Row],[HC]]*Ondulati_Magazzino[[#This Row],[CC]]</f>
        <v/>
      </c>
    </row>
    <row r="86">
      <c r="A86" t="n">
        <v>2400</v>
      </c>
      <c r="B86" t="n">
        <v>2000</v>
      </c>
      <c r="C86">
        <f>+Ondulati_Magazzino[[#This Row],[HC]]*Ondulati_Magazzino[[#This Row],[CC]]</f>
        <v/>
      </c>
    </row>
    <row r="87">
      <c r="A87" t="n">
        <v>2400</v>
      </c>
      <c r="B87" t="n">
        <v>2400</v>
      </c>
      <c r="C87">
        <f>+Ondulati_Magazzino[[#This Row],[HC]]*Ondulati_Magazzino[[#This Row],[CC]]</f>
        <v/>
      </c>
    </row>
  </sheetData>
  <mergeCells count="5">
    <mergeCell ref="A37:C37"/>
    <mergeCell ref="G1:H1"/>
    <mergeCell ref="A18:C18"/>
    <mergeCell ref="A1:E1"/>
    <mergeCell ref="A32:D32"/>
  </mergeCells>
  <pageMargins left="0.7" right="0.7" top="0.75" bottom="0.75" header="0.3" footer="0.3"/>
  <tableParts count="3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</tableParts>
</worksheet>
</file>

<file path=xl/worksheets/sheet13.xml><?xml version="1.0" encoding="utf-8"?>
<worksheet xmlns="http://schemas.openxmlformats.org/spreadsheetml/2006/main">
  <sheetPr codeName="Sheet11">
    <outlinePr summaryBelow="1" summaryRight="1"/>
    <pageSetUpPr/>
  </sheetPr>
  <dimension ref="A1:G67"/>
  <sheetViews>
    <sheetView topLeftCell="A13" workbookViewId="0">
      <selection activeCell="F31" sqref="F31"/>
    </sheetView>
  </sheetViews>
  <sheetFormatPr baseColWidth="8" defaultRowHeight="12.75"/>
  <cols>
    <col width="16" bestFit="1" customWidth="1" min="1" max="1"/>
    <col width="60.7109375" bestFit="1" customWidth="1" min="2" max="2"/>
    <col width="13.28515625" bestFit="1" customWidth="1" min="3" max="3"/>
    <col width="14.140625" bestFit="1" customWidth="1" min="4" max="4"/>
    <col width="9.85546875" bestFit="1" customWidth="1" min="5" max="5"/>
  </cols>
  <sheetData>
    <row r="1">
      <c r="A1" s="200" t="inlineStr">
        <is>
          <t>GRUPPO</t>
        </is>
      </c>
      <c r="B1" s="200" t="inlineStr">
        <is>
          <t>DESCRIÇÃO</t>
        </is>
      </c>
      <c r="C1" s="200" t="inlineStr">
        <is>
          <t>AVVIAMENTO</t>
        </is>
      </c>
      <c r="D1" s="200" t="inlineStr">
        <is>
          <t>€/PASS - €/MQ</t>
        </is>
      </c>
      <c r="E1" s="200" t="inlineStr">
        <is>
          <t>MINIMALE</t>
        </is>
      </c>
    </row>
    <row r="2">
      <c r="A2" s="200" t="inlineStr">
        <is>
          <t>ACCOPPIATRICE</t>
        </is>
      </c>
      <c r="B2" s="200" t="inlineStr">
        <is>
          <t>BOBST ASITRADE F.TO 1650 X 1650 ONDA E</t>
        </is>
      </c>
      <c r="C2" s="910" t="n">
        <v>50</v>
      </c>
      <c r="D2" s="957" t="n">
        <v>0.13</v>
      </c>
      <c r="E2" s="909" t="n">
        <v>40</v>
      </c>
    </row>
    <row r="3">
      <c r="A3" s="200" t="inlineStr">
        <is>
          <t>ACCOPPIATRICE</t>
        </is>
      </c>
      <c r="B3" s="200" t="inlineStr">
        <is>
          <t>BOBST ASITRADE F.TO 1650 X 1650 ONDA B</t>
        </is>
      </c>
      <c r="C3" s="910" t="n">
        <v>50</v>
      </c>
      <c r="D3" s="957" t="n">
        <v>0.13</v>
      </c>
      <c r="E3" s="909" t="n">
        <v>40</v>
      </c>
    </row>
    <row r="4">
      <c r="A4" s="200" t="inlineStr">
        <is>
          <t>ACCOPPIATRICE</t>
        </is>
      </c>
      <c r="B4" s="200" t="inlineStr">
        <is>
          <t>BOBST ASITRADE F.TO 1650 X 1650 ONDA C</t>
        </is>
      </c>
      <c r="C4" s="910" t="n">
        <v>50</v>
      </c>
      <c r="D4" s="957" t="n">
        <v>0.13</v>
      </c>
      <c r="E4" s="909" t="n">
        <v>40</v>
      </c>
    </row>
    <row r="5">
      <c r="A5" s="200" t="inlineStr">
        <is>
          <t>ACCOPPIATRICE</t>
        </is>
      </c>
      <c r="B5" s="200" t="inlineStr">
        <is>
          <t>BOBST ASITRADE F.TO 1650 X 1650 ONDA EB</t>
        </is>
      </c>
      <c r="C5" s="910" t="n">
        <v>50</v>
      </c>
      <c r="D5" s="957" t="n">
        <v>0.15</v>
      </c>
      <c r="E5" s="909" t="n">
        <v>40</v>
      </c>
    </row>
    <row r="6">
      <c r="A6" s="200" t="inlineStr">
        <is>
          <t>ACCOPPIATRICE</t>
        </is>
      </c>
      <c r="B6" s="200" t="inlineStr">
        <is>
          <t>BOBST ASITRADE F.TO 1650 X 1650 ONDA BC</t>
        </is>
      </c>
      <c r="C6" s="910" t="n">
        <v>50</v>
      </c>
      <c r="D6" s="957" t="n">
        <v>0.15</v>
      </c>
      <c r="E6" s="909" t="n">
        <v>40</v>
      </c>
    </row>
    <row r="7">
      <c r="A7" s="200" t="inlineStr">
        <is>
          <t>ACCOPPIATRICE</t>
        </is>
      </c>
      <c r="B7" s="200" t="inlineStr">
        <is>
          <t>BOBST ASITRADE F.TO 1650 X 1650 PESTO/LAMINIL</t>
        </is>
      </c>
      <c r="C7" s="910" t="n">
        <v>50</v>
      </c>
      <c r="D7" s="957" t="n">
        <v>0.2</v>
      </c>
      <c r="E7" s="909" t="n">
        <v>40</v>
      </c>
    </row>
    <row r="8">
      <c r="A8" s="200" t="inlineStr">
        <is>
          <t>STAMPA FLEXO</t>
        </is>
      </c>
      <c r="B8" s="200" t="inlineStr">
        <is>
          <t>BOBST FLEXO 2000</t>
        </is>
      </c>
      <c r="C8" s="909" t="n">
        <v>80</v>
      </c>
      <c r="D8" s="957" t="n">
        <v>0.08</v>
      </c>
      <c r="E8" s="909" t="n">
        <v>60</v>
      </c>
    </row>
    <row r="9">
      <c r="A9" s="200" t="inlineStr">
        <is>
          <t>FLEXO HD</t>
        </is>
      </c>
      <c r="B9" s="200" t="inlineStr">
        <is>
          <t>BOBST MASTERFLEX 203 A ONDA E 1-3 COLORI</t>
        </is>
      </c>
      <c r="C9" s="909" t="n">
        <v>200</v>
      </c>
      <c r="D9" s="957" t="n">
        <v>0.2</v>
      </c>
      <c r="E9" s="909" t="n">
        <v>50</v>
      </c>
    </row>
    <row r="10">
      <c r="A10" s="200" t="inlineStr">
        <is>
          <t>FLEXO HD</t>
        </is>
      </c>
      <c r="B10" s="200" t="inlineStr">
        <is>
          <t>BOBST MASTERFLEX 203 A ONDA E 4 COLORI</t>
        </is>
      </c>
      <c r="C10" s="909" t="n">
        <v>300</v>
      </c>
      <c r="D10" s="957">
        <f>+D9*1.1</f>
        <v/>
      </c>
      <c r="E10" s="909" t="n">
        <v>50</v>
      </c>
    </row>
    <row r="11">
      <c r="A11" s="200" t="inlineStr">
        <is>
          <t>FLEXO HD</t>
        </is>
      </c>
      <c r="B11" s="200" t="inlineStr">
        <is>
          <t>BOBST MASTERFLEX 203 A ONDA E 4-6 COLORI + VERNICE</t>
        </is>
      </c>
      <c r="C11" s="909" t="n">
        <v>400</v>
      </c>
      <c r="D11" s="957">
        <f>+D9*1.15</f>
        <v/>
      </c>
      <c r="E11" s="909" t="n">
        <v>50</v>
      </c>
    </row>
    <row r="12">
      <c r="A12" s="200" t="inlineStr">
        <is>
          <t>FLEXO HD</t>
        </is>
      </c>
      <c r="B12" s="200" t="inlineStr">
        <is>
          <t>BOBST MASTERFLEX 203 A ONDA B 1-3 COLORI</t>
        </is>
      </c>
      <c r="C12" s="909" t="n">
        <v>200</v>
      </c>
      <c r="D12" s="957" t="n">
        <v>0.2</v>
      </c>
      <c r="E12" s="909" t="n">
        <v>50</v>
      </c>
    </row>
    <row r="13">
      <c r="A13" s="200" t="inlineStr">
        <is>
          <t>FLEXO HD</t>
        </is>
      </c>
      <c r="B13" s="200" t="inlineStr">
        <is>
          <t>BOBST MASTERFLEX 203 A ONDA B 4 COLORI</t>
        </is>
      </c>
      <c r="C13" s="909" t="n">
        <v>300</v>
      </c>
      <c r="D13" s="957">
        <f>+D12*1.1</f>
        <v/>
      </c>
      <c r="E13" s="909" t="n">
        <v>50</v>
      </c>
    </row>
    <row r="14">
      <c r="A14" s="200" t="inlineStr">
        <is>
          <t>FLEXO HD</t>
        </is>
      </c>
      <c r="B14" s="200" t="inlineStr">
        <is>
          <t>BOBST MASTERFLEX 203 A ONDA B 4-6 COLORI + VERNICE</t>
        </is>
      </c>
      <c r="C14" s="909" t="n">
        <v>400</v>
      </c>
      <c r="D14" s="957">
        <f>+D12*1.15</f>
        <v/>
      </c>
      <c r="E14" s="909" t="n">
        <v>50</v>
      </c>
    </row>
    <row r="15">
      <c r="A15" s="200" t="inlineStr">
        <is>
          <t>FLEXO HD</t>
        </is>
      </c>
      <c r="B15" s="200" t="inlineStr">
        <is>
          <t>BOBST MASTERFLEX 203 A ONDA C 1-3 COLORI</t>
        </is>
      </c>
      <c r="C15" s="909" t="n">
        <v>200</v>
      </c>
      <c r="D15" s="957" t="n">
        <v>0.2</v>
      </c>
      <c r="E15" s="909" t="n">
        <v>50</v>
      </c>
    </row>
    <row r="16">
      <c r="A16" s="200" t="inlineStr">
        <is>
          <t>FLEXO HD</t>
        </is>
      </c>
      <c r="B16" s="200" t="inlineStr">
        <is>
          <t>BOBST MASTERFLEX 203 A ONDA C 4 COLORI</t>
        </is>
      </c>
      <c r="C16" s="909" t="n">
        <v>300</v>
      </c>
      <c r="D16" s="957">
        <f>+D15*1.1</f>
        <v/>
      </c>
      <c r="E16" s="909" t="n">
        <v>50</v>
      </c>
    </row>
    <row r="17">
      <c r="A17" s="200" t="inlineStr">
        <is>
          <t>FLEXO HD</t>
        </is>
      </c>
      <c r="B17" s="200" t="inlineStr">
        <is>
          <t>BOBST MASTERFLEX 203 A ONDA C 4-6 COLORI + VERNICE</t>
        </is>
      </c>
      <c r="C17" s="909" t="n">
        <v>400</v>
      </c>
      <c r="D17" s="957">
        <f>+D15*1.15</f>
        <v/>
      </c>
      <c r="E17" s="909" t="n">
        <v>50</v>
      </c>
    </row>
    <row r="18">
      <c r="A18" s="200" t="inlineStr">
        <is>
          <t>FLEXO HD</t>
        </is>
      </c>
      <c r="B18" s="200" t="inlineStr">
        <is>
          <t>BOBST MASTERFLEX 203 A ONDA EB 1-3 COLORI</t>
        </is>
      </c>
      <c r="C18" s="909" t="n">
        <v>200</v>
      </c>
      <c r="D18" s="957" t="n">
        <v>0.2</v>
      </c>
      <c r="E18" s="909" t="n">
        <v>50</v>
      </c>
    </row>
    <row r="19">
      <c r="A19" s="200" t="inlineStr">
        <is>
          <t>FLEXO HD</t>
        </is>
      </c>
      <c r="B19" s="200" t="inlineStr">
        <is>
          <t>BOBST MASTERFLEX 203 A ONDA EB 4 COLORI</t>
        </is>
      </c>
      <c r="C19" s="909" t="n">
        <v>300</v>
      </c>
      <c r="D19" s="957">
        <f>+D18*1.1</f>
        <v/>
      </c>
      <c r="E19" s="909" t="n">
        <v>50</v>
      </c>
    </row>
    <row r="20">
      <c r="A20" s="200" t="inlineStr">
        <is>
          <t>FLEXO HD</t>
        </is>
      </c>
      <c r="B20" s="200" t="inlineStr">
        <is>
          <t>BOBST MASTERFLEX 203 A ONDA EB 4-6 COLORI + VERNICE</t>
        </is>
      </c>
      <c r="C20" s="909" t="n">
        <v>400</v>
      </c>
      <c r="D20" s="957">
        <f>+D18*1.15</f>
        <v/>
      </c>
      <c r="E20" s="909" t="n">
        <v>50</v>
      </c>
    </row>
    <row r="21">
      <c r="A21" s="200" t="inlineStr">
        <is>
          <t>FLEXO HD</t>
        </is>
      </c>
      <c r="B21" s="200" t="inlineStr">
        <is>
          <t>BOBST MASTERFLEX 203 A ONDA BC 1-3 COLORI</t>
        </is>
      </c>
      <c r="C21" s="909" t="n">
        <v>200</v>
      </c>
      <c r="D21" s="957" t="n">
        <v>0.2</v>
      </c>
      <c r="E21" s="909" t="n">
        <v>50</v>
      </c>
    </row>
    <row r="22">
      <c r="A22" s="200" t="inlineStr">
        <is>
          <t>FLEXO HD</t>
        </is>
      </c>
      <c r="B22" s="200" t="inlineStr">
        <is>
          <t>BOBST MASTERFLEX 203 A ONDA BC 4 COLORI</t>
        </is>
      </c>
      <c r="C22" s="909" t="n">
        <v>300</v>
      </c>
      <c r="D22" s="957">
        <f>+D21*1.1</f>
        <v/>
      </c>
      <c r="E22" s="909" t="n">
        <v>50</v>
      </c>
    </row>
    <row r="23">
      <c r="A23" s="200" t="inlineStr">
        <is>
          <t>FLEXO HD</t>
        </is>
      </c>
      <c r="B23" s="200" t="inlineStr">
        <is>
          <t>BOBST MASTERFLEX 203 A ONDA BC 4-6 COLORI + VERNICE</t>
        </is>
      </c>
      <c r="C23" s="909" t="n">
        <v>400</v>
      </c>
      <c r="D23" s="957">
        <f>+D21*1.15</f>
        <v/>
      </c>
      <c r="E23" s="909" t="n">
        <v>50</v>
      </c>
    </row>
    <row r="24">
      <c r="A24" s="200" t="inlineStr">
        <is>
          <t>FLEXO HD</t>
        </is>
      </c>
      <c r="B24" s="200" t="inlineStr">
        <is>
          <t>BOBST MASTERFLEX 203 A CARTONCINO 1-3 COLORI</t>
        </is>
      </c>
      <c r="C24" s="909" t="n">
        <v>200</v>
      </c>
      <c r="D24" s="957" t="n">
        <v>0.2</v>
      </c>
      <c r="E24" s="909" t="n">
        <v>50</v>
      </c>
    </row>
    <row r="25">
      <c r="A25" s="200" t="inlineStr">
        <is>
          <t>FLEXO HD</t>
        </is>
      </c>
      <c r="B25" s="200" t="inlineStr">
        <is>
          <t>BOBST MASTERFLEX 203 A CARTONCINO 4 COLORI</t>
        </is>
      </c>
      <c r="C25" s="909" t="n">
        <v>300</v>
      </c>
      <c r="D25" s="957">
        <f>+D24*1.1</f>
        <v/>
      </c>
      <c r="E25" s="909" t="n">
        <v>50</v>
      </c>
    </row>
    <row r="26">
      <c r="A26" s="200" t="inlineStr">
        <is>
          <t>FLEXO HD</t>
        </is>
      </c>
      <c r="B26" s="200" t="inlineStr">
        <is>
          <t>BOBST MASTERFLEX 203 A CARTONCINO 4-6 COLORI + VERNICE</t>
        </is>
      </c>
      <c r="C26" s="909" t="n">
        <v>400</v>
      </c>
      <c r="D26" s="957">
        <f>+D24*1.15</f>
        <v/>
      </c>
      <c r="E26" s="909" t="n">
        <v>50</v>
      </c>
    </row>
    <row r="27">
      <c r="A27" s="200" t="inlineStr">
        <is>
          <t>FUSTELLATURA</t>
        </is>
      </c>
      <c r="B27" s="200" t="inlineStr">
        <is>
          <t>FUSTELLATURA MANUALE</t>
        </is>
      </c>
      <c r="C27" s="909" t="n">
        <v>80</v>
      </c>
      <c r="D27" s="957" t="n">
        <v>0.18</v>
      </c>
      <c r="E27" s="909" t="n">
        <v>50</v>
      </c>
    </row>
    <row r="28">
      <c r="A28" s="200" t="inlineStr">
        <is>
          <t>FUSTELLATURA</t>
        </is>
      </c>
      <c r="B28" s="200" t="inlineStr">
        <is>
          <t>FUSTELLATURA YS</t>
        </is>
      </c>
      <c r="C28" s="909" t="n">
        <v>180</v>
      </c>
      <c r="D28" s="957" t="n">
        <v>0.15</v>
      </c>
      <c r="E28" s="909" t="n">
        <v>50</v>
      </c>
    </row>
    <row r="29">
      <c r="A29" s="200" t="inlineStr">
        <is>
          <t>FUSTELLATURA</t>
        </is>
      </c>
      <c r="B29" s="200" t="inlineStr">
        <is>
          <t>FUSTELLATURA AUTOMATICA</t>
        </is>
      </c>
      <c r="C29" s="909" t="n">
        <v>150</v>
      </c>
      <c r="D29" s="957" t="n">
        <v>0.1</v>
      </c>
      <c r="E29" s="909" t="n">
        <v>50</v>
      </c>
    </row>
    <row r="30">
      <c r="A30" s="200" t="inlineStr">
        <is>
          <t>FUSTELLATURA</t>
        </is>
      </c>
      <c r="B30" s="200" t="inlineStr">
        <is>
          <t>FUSTELLATURA + STAMPA</t>
        </is>
      </c>
      <c r="C30" s="909" t="n">
        <v>180</v>
      </c>
      <c r="D30" s="957" t="n">
        <v>0.12</v>
      </c>
      <c r="E30" s="909" t="n">
        <v>60</v>
      </c>
    </row>
    <row r="31">
      <c r="A31" s="200" t="inlineStr">
        <is>
          <t>CASEMAKER</t>
        </is>
      </c>
      <c r="B31" s="200" t="inlineStr">
        <is>
          <t>TCY 0 colors</t>
        </is>
      </c>
      <c r="C31" s="909" t="n">
        <v>100</v>
      </c>
      <c r="D31" s="957" t="n"/>
      <c r="E31" s="909" t="n"/>
      <c r="F31">
        <f>CONCATENATE("casemaker avulso ",B31)</f>
        <v/>
      </c>
      <c r="G31" s="911">
        <f>+C31</f>
        <v/>
      </c>
    </row>
    <row r="32">
      <c r="A32" s="200" t="inlineStr">
        <is>
          <t>CASEMAKER</t>
        </is>
      </c>
      <c r="B32" s="200" t="inlineStr">
        <is>
          <t>TCY 1 colors</t>
        </is>
      </c>
      <c r="C32" s="909" t="n">
        <v>110</v>
      </c>
      <c r="D32" s="957" t="n"/>
      <c r="E32" s="909" t="n"/>
      <c r="F32">
        <f>CONCATENATE("casemaker avulso ",B32)</f>
        <v/>
      </c>
      <c r="G32" s="911">
        <f>+C32</f>
        <v/>
      </c>
    </row>
    <row r="33">
      <c r="A33" s="200" t="inlineStr">
        <is>
          <t>CASEMAKER</t>
        </is>
      </c>
      <c r="B33" s="200" t="inlineStr">
        <is>
          <t>TCY 2 colors</t>
        </is>
      </c>
      <c r="C33" s="909" t="n">
        <v>120</v>
      </c>
      <c r="D33" s="957" t="n"/>
      <c r="E33" s="909" t="n"/>
      <c r="F33">
        <f>CONCATENATE("casemaker avulso ",B33)</f>
        <v/>
      </c>
      <c r="G33" s="911">
        <f>+C33</f>
        <v/>
      </c>
    </row>
    <row r="34">
      <c r="A34" s="200" t="inlineStr">
        <is>
          <t>CASEMAKER</t>
        </is>
      </c>
      <c r="B34" s="200" t="inlineStr">
        <is>
          <t>TCY + Fust. 0 colors</t>
        </is>
      </c>
      <c r="C34" s="909" t="n">
        <v>120</v>
      </c>
      <c r="D34" s="957" t="n"/>
      <c r="E34" s="909" t="n"/>
      <c r="F34">
        <f>CONCATENATE("casemaker avulso ",B34)</f>
        <v/>
      </c>
      <c r="G34" s="911">
        <f>+C34</f>
        <v/>
      </c>
    </row>
    <row r="35">
      <c r="A35" s="200" t="inlineStr">
        <is>
          <t>CASEMAKER</t>
        </is>
      </c>
      <c r="B35" s="200" t="inlineStr">
        <is>
          <t>TCY + Fust. 1 colors</t>
        </is>
      </c>
      <c r="C35" s="909" t="n">
        <v>130</v>
      </c>
      <c r="D35" s="957" t="n"/>
      <c r="E35" s="909" t="n"/>
      <c r="F35">
        <f>CONCATENATE("casemaker avulso ",B35)</f>
        <v/>
      </c>
      <c r="G35" s="911">
        <f>+C35</f>
        <v/>
      </c>
    </row>
    <row r="36">
      <c r="A36" s="200" t="inlineStr">
        <is>
          <t>CASEMAKER</t>
        </is>
      </c>
      <c r="B36" s="200" t="inlineStr">
        <is>
          <t>TCY + Fust. 2 colors</t>
        </is>
      </c>
      <c r="C36" s="909" t="n">
        <v>140</v>
      </c>
      <c r="D36" s="957" t="n"/>
      <c r="E36" s="909" t="n"/>
      <c r="F36">
        <f>CONCATENATE("casemaker avulso ",B36)</f>
        <v/>
      </c>
      <c r="G36" s="911">
        <f>+C36</f>
        <v/>
      </c>
    </row>
    <row r="37">
      <c r="A37" s="200" t="inlineStr">
        <is>
          <t>CASEMAKER</t>
        </is>
      </c>
      <c r="B37" s="200" t="inlineStr">
        <is>
          <t>BEN3200 0 colors</t>
        </is>
      </c>
      <c r="C37" s="909" t="n">
        <v>100</v>
      </c>
      <c r="D37" s="957" t="n"/>
      <c r="E37" s="909" t="n"/>
      <c r="F37">
        <f>CONCATENATE("casemaker avulso ",B37)</f>
        <v/>
      </c>
      <c r="G37" s="911">
        <f>+C37</f>
        <v/>
      </c>
    </row>
    <row r="38">
      <c r="A38" s="200" t="inlineStr">
        <is>
          <t>CASEMAKER</t>
        </is>
      </c>
      <c r="B38" s="200" t="inlineStr">
        <is>
          <t>BEN3200 1 colors</t>
        </is>
      </c>
      <c r="C38" s="909" t="n">
        <v>110</v>
      </c>
      <c r="D38" s="957" t="n"/>
      <c r="E38" s="909" t="n"/>
      <c r="F38">
        <f>CONCATENATE("casemaker avulso ",B38)</f>
        <v/>
      </c>
      <c r="G38" s="911">
        <f>+C38</f>
        <v/>
      </c>
    </row>
    <row r="39">
      <c r="A39" s="200" t="inlineStr">
        <is>
          <t>CASEMAKER</t>
        </is>
      </c>
      <c r="B39" s="200" t="inlineStr">
        <is>
          <t>BEN3200 2 colors</t>
        </is>
      </c>
      <c r="C39" s="909" t="n">
        <v>120</v>
      </c>
      <c r="D39" s="957" t="n"/>
      <c r="E39" s="909" t="n"/>
      <c r="F39">
        <f>CONCATENATE("casemaker avulso ",B39)</f>
        <v/>
      </c>
      <c r="G39" s="911">
        <f>+C39</f>
        <v/>
      </c>
    </row>
    <row r="40">
      <c r="A40" s="200" t="inlineStr">
        <is>
          <t>CASEMAKER</t>
        </is>
      </c>
      <c r="B40" s="200" t="inlineStr">
        <is>
          <t>BEN3200 + Fust. 0 colors</t>
        </is>
      </c>
      <c r="C40" s="909" t="n">
        <v>120</v>
      </c>
      <c r="D40" s="957" t="n"/>
      <c r="E40" s="909" t="n"/>
      <c r="F40">
        <f>CONCATENATE("casemaker avulso ",B40)</f>
        <v/>
      </c>
      <c r="G40" s="911">
        <f>+C40</f>
        <v/>
      </c>
    </row>
    <row r="41">
      <c r="A41" s="200" t="inlineStr">
        <is>
          <t>CASEMAKER</t>
        </is>
      </c>
      <c r="B41" s="200" t="inlineStr">
        <is>
          <t>BEN3200 + Fust. 1 colors</t>
        </is>
      </c>
      <c r="C41" s="909" t="n">
        <v>130</v>
      </c>
      <c r="D41" s="957" t="n"/>
      <c r="E41" s="909" t="n"/>
      <c r="F41">
        <f>CONCATENATE("casemaker avulso ",B41)</f>
        <v/>
      </c>
      <c r="G41" s="911">
        <f>+C41</f>
        <v/>
      </c>
    </row>
    <row r="42">
      <c r="A42" s="200" t="inlineStr">
        <is>
          <t>CASEMAKER</t>
        </is>
      </c>
      <c r="B42" s="200" t="inlineStr">
        <is>
          <t>BEN3200 + Fust. 2 colors</t>
        </is>
      </c>
      <c r="C42" s="909" t="n">
        <v>140</v>
      </c>
      <c r="D42" s="957" t="n"/>
      <c r="E42" s="909" t="n"/>
      <c r="F42">
        <f>CONCATENATE("casemaker avulso ",B42)</f>
        <v/>
      </c>
      <c r="G42" s="911">
        <f>+C42</f>
        <v/>
      </c>
    </row>
    <row r="43">
      <c r="A43" s="200" t="inlineStr">
        <is>
          <t>CASEMAKER</t>
        </is>
      </c>
      <c r="B43" s="200" t="inlineStr">
        <is>
          <t>BEN4200 0 colors</t>
        </is>
      </c>
      <c r="C43" s="909" t="n">
        <v>170</v>
      </c>
      <c r="D43" s="957" t="n"/>
      <c r="E43" s="909" t="n"/>
      <c r="F43">
        <f>CONCATENATE("casemaker avulso ",B43)</f>
        <v/>
      </c>
      <c r="G43" s="911">
        <f>+C43</f>
        <v/>
      </c>
    </row>
    <row r="44">
      <c r="A44" s="200" t="inlineStr">
        <is>
          <t>CASEMAKER</t>
        </is>
      </c>
      <c r="B44" s="200" t="inlineStr">
        <is>
          <t>BEN4200 1 colors</t>
        </is>
      </c>
      <c r="C44" s="909" t="n">
        <v>180</v>
      </c>
      <c r="D44" s="957" t="n"/>
      <c r="E44" s="909" t="n"/>
      <c r="F44">
        <f>CONCATENATE("casemaker avulso ",B44)</f>
        <v/>
      </c>
      <c r="G44" s="911">
        <f>+C44</f>
        <v/>
      </c>
    </row>
    <row r="45">
      <c r="A45" s="200" t="inlineStr">
        <is>
          <t>CASEMAKER</t>
        </is>
      </c>
      <c r="B45" s="200" t="inlineStr">
        <is>
          <t>BEN4200 2 colors</t>
        </is>
      </c>
      <c r="C45" s="909" t="n">
        <v>190</v>
      </c>
      <c r="D45" s="957" t="n"/>
      <c r="E45" s="909" t="n"/>
      <c r="F45">
        <f>CONCATENATE("casemaker avulso ",B45)</f>
        <v/>
      </c>
      <c r="G45" s="911">
        <f>+C45</f>
        <v/>
      </c>
    </row>
    <row r="46">
      <c r="A46" s="200" t="inlineStr">
        <is>
          <t>CASEMAKER</t>
        </is>
      </c>
      <c r="B46" s="200" t="inlineStr">
        <is>
          <t>BEN 4200 + Fust. 0 colors</t>
        </is>
      </c>
      <c r="C46" s="909" t="n">
        <v>200</v>
      </c>
      <c r="D46" s="957" t="n"/>
      <c r="E46" s="909" t="n"/>
      <c r="F46">
        <f>CONCATENATE("casemaker avulso ",B46)</f>
        <v/>
      </c>
      <c r="G46" s="911">
        <f>+C46</f>
        <v/>
      </c>
    </row>
    <row r="47">
      <c r="A47" s="200" t="inlineStr">
        <is>
          <t>CASEMAKER</t>
        </is>
      </c>
      <c r="B47" s="200" t="inlineStr">
        <is>
          <t>BEN 4200 + Fust. 1 colors</t>
        </is>
      </c>
      <c r="C47" s="909" t="n">
        <v>210</v>
      </c>
      <c r="D47" s="957" t="n"/>
      <c r="E47" s="909" t="n"/>
      <c r="F47">
        <f>CONCATENATE("casemaker avulso ",B47)</f>
        <v/>
      </c>
      <c r="G47" s="911">
        <f>+C47</f>
        <v/>
      </c>
    </row>
    <row r="48">
      <c r="A48" s="200" t="inlineStr">
        <is>
          <t>CASEMAKER</t>
        </is>
      </c>
      <c r="B48" s="200" t="inlineStr">
        <is>
          <t>BEN 4200 + Fust. 2 colors</t>
        </is>
      </c>
      <c r="C48" s="909" t="n">
        <v>220</v>
      </c>
      <c r="D48" s="957" t="n"/>
      <c r="E48" s="909" t="n"/>
      <c r="F48">
        <f>CONCATENATE("casemaker avulso ",B48)</f>
        <v/>
      </c>
      <c r="G48" s="911">
        <f>+C48</f>
        <v/>
      </c>
    </row>
    <row r="49">
      <c r="B49" s="200" t="n"/>
      <c r="C49" s="909" t="n"/>
      <c r="D49" s="957" t="n"/>
      <c r="E49" s="909" t="n"/>
    </row>
    <row r="50">
      <c r="B50" s="200" t="n"/>
      <c r="C50" s="909" t="n"/>
      <c r="D50" s="957" t="n"/>
      <c r="E50" s="909" t="n"/>
    </row>
    <row r="51">
      <c r="B51" s="200" t="n"/>
      <c r="C51" s="909" t="n"/>
      <c r="D51" s="957" t="n"/>
      <c r="E51" s="909" t="n"/>
    </row>
    <row r="52">
      <c r="B52" s="200" t="n"/>
      <c r="C52" s="909" t="n"/>
      <c r="D52" s="957" t="n"/>
      <c r="E52" s="909" t="n"/>
    </row>
    <row r="53">
      <c r="C53" s="909" t="n"/>
      <c r="D53" s="957" t="n"/>
      <c r="E53" s="909" t="n"/>
    </row>
    <row r="54">
      <c r="C54" s="909" t="n"/>
      <c r="D54" s="957" t="n"/>
      <c r="E54" s="909" t="n"/>
    </row>
    <row r="55">
      <c r="C55" s="909" t="n"/>
      <c r="D55" s="957" t="n"/>
      <c r="E55" s="909" t="n"/>
    </row>
    <row r="56">
      <c r="C56" s="909" t="n"/>
      <c r="D56" s="957" t="n"/>
      <c r="E56" s="909" t="n"/>
    </row>
    <row r="57">
      <c r="C57" s="909" t="n"/>
      <c r="D57" s="957" t="n"/>
      <c r="E57" s="909" t="n"/>
    </row>
    <row r="58">
      <c r="C58" s="909" t="n"/>
      <c r="D58" s="957" t="n"/>
      <c r="E58" s="909" t="n"/>
    </row>
    <row r="59">
      <c r="C59" s="909" t="n"/>
      <c r="D59" s="957" t="n"/>
      <c r="E59" s="909" t="n"/>
    </row>
    <row r="60">
      <c r="C60" s="909" t="n"/>
      <c r="D60" s="957" t="n"/>
      <c r="E60" s="909" t="n"/>
    </row>
    <row r="61">
      <c r="C61" s="909" t="n"/>
      <c r="D61" s="957" t="n"/>
      <c r="E61" s="909" t="n"/>
    </row>
    <row r="62">
      <c r="C62" s="909" t="n"/>
      <c r="D62" s="957" t="n"/>
      <c r="E62" s="909" t="n"/>
    </row>
    <row r="63">
      <c r="C63" s="909" t="n"/>
      <c r="D63" s="957" t="n"/>
      <c r="E63" s="909" t="n"/>
    </row>
    <row r="64">
      <c r="C64" s="909" t="n"/>
      <c r="D64" s="909" t="n"/>
      <c r="E64" s="909" t="n"/>
    </row>
    <row r="65">
      <c r="C65" s="909" t="n"/>
      <c r="D65" s="909" t="n"/>
      <c r="E65" s="909" t="n"/>
    </row>
    <row r="66">
      <c r="C66" s="909" t="n"/>
      <c r="D66" s="909" t="n"/>
      <c r="E66" s="909" t="n"/>
    </row>
    <row r="67">
      <c r="C67" s="909" t="n"/>
      <c r="D67" s="909" t="n"/>
      <c r="E67" s="909" t="n"/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2">
    <outlinePr summaryBelow="1" summaryRight="1"/>
    <pageSetUpPr/>
  </sheetPr>
  <dimension ref="A1:Q3229"/>
  <sheetViews>
    <sheetView workbookViewId="0">
      <selection activeCell="A1" sqref="A1"/>
    </sheetView>
  </sheetViews>
  <sheetFormatPr baseColWidth="8" defaultColWidth="9.140625" defaultRowHeight="12.75"/>
  <cols>
    <col width="10.140625" customWidth="1" style="210" min="1" max="1"/>
    <col width="78.5703125" bestFit="1" customWidth="1" style="210" min="2" max="2"/>
    <col width="23.5703125" bestFit="1" customWidth="1" style="210" min="3" max="3"/>
    <col width="18.140625" bestFit="1" customWidth="1" style="958" min="4" max="4"/>
    <col width="9.140625" customWidth="1" style="212" min="5" max="5"/>
    <col width="10.140625" customWidth="1" style="210" min="6" max="6"/>
    <col width="77.42578125" customWidth="1" style="210" min="7" max="7"/>
    <col width="20.42578125" customWidth="1" style="210" min="8" max="8"/>
    <col width="9.140625" customWidth="1" style="210" min="9" max="9"/>
    <col width="9.140625" customWidth="1" style="212" min="10" max="10"/>
    <col width="34.140625" customWidth="1" style="210" min="11" max="11"/>
    <col width="13.42578125" bestFit="1" customWidth="1" style="426" min="12" max="12"/>
    <col width="19" bestFit="1" customWidth="1" style="959" min="13" max="13"/>
    <col width="9.140625" customWidth="1" style="212" min="14" max="14"/>
    <col width="12" bestFit="1" customWidth="1" style="211" min="15" max="15"/>
    <col width="7" customWidth="1" style="211" min="16" max="16"/>
    <col width="9.28515625" bestFit="1" customWidth="1" style="211" min="17" max="17"/>
    <col width="9.140625" customWidth="1" style="211" min="18" max="16384"/>
  </cols>
  <sheetData>
    <row r="1">
      <c r="A1" s="217" t="inlineStr">
        <is>
          <t>SITOUR</t>
        </is>
      </c>
      <c r="F1" s="217" t="inlineStr">
        <is>
          <t>DESIGNER CLUB</t>
        </is>
      </c>
      <c r="K1" s="217" t="inlineStr">
        <is>
          <t>DS - GROUP</t>
        </is>
      </c>
      <c r="L1" s="210" t="n"/>
      <c r="M1" s="210" t="n"/>
      <c r="O1" s="217" t="inlineStr">
        <is>
          <t>East Sun Pop</t>
        </is>
      </c>
      <c r="P1" s="210" t="n"/>
      <c r="Q1" s="210" t="n"/>
    </row>
    <row r="2">
      <c r="A2" s="210" t="inlineStr">
        <is>
          <t>CODICE</t>
        </is>
      </c>
      <c r="B2" s="210" t="inlineStr">
        <is>
          <t>DESCRIÇÃO</t>
        </is>
      </c>
      <c r="C2" s="210" t="inlineStr">
        <is>
          <t>Q.TÀ PER IMBALLO</t>
        </is>
      </c>
      <c r="D2" s="958" t="inlineStr">
        <is>
          <t>€/CAD.</t>
        </is>
      </c>
      <c r="F2" s="210" t="inlineStr">
        <is>
          <t>CODICE</t>
        </is>
      </c>
      <c r="G2" s="210" t="inlineStr">
        <is>
          <t>DESCRIÇÃO</t>
        </is>
      </c>
      <c r="H2" s="210" t="inlineStr">
        <is>
          <t>Q.TÀ PER IMBALLO</t>
        </is>
      </c>
      <c r="I2" s="210" t="inlineStr">
        <is>
          <t>€/CAD.</t>
        </is>
      </c>
      <c r="K2" s="430" t="inlineStr">
        <is>
          <t>CODICE</t>
        </is>
      </c>
      <c r="L2" s="431" t="inlineStr">
        <is>
          <t>QTA</t>
        </is>
      </c>
      <c r="M2" s="431" t="inlineStr">
        <is>
          <t>€/CAD.</t>
        </is>
      </c>
      <c r="O2" s="458" t="inlineStr">
        <is>
          <t>CODICE</t>
        </is>
      </c>
      <c r="P2" s="459" t="inlineStr">
        <is>
          <t>QTA</t>
        </is>
      </c>
      <c r="Q2" s="459" t="inlineStr">
        <is>
          <t>€/CAD.</t>
        </is>
      </c>
    </row>
    <row r="3">
      <c r="A3" s="209" t="n">
        <v>792572</v>
      </c>
      <c r="B3" s="209" t="inlineStr">
        <is>
          <t>Megatwister 75 mm - 2 Adesivi</t>
        </is>
      </c>
      <c r="C3" s="209" t="n">
        <v>100</v>
      </c>
      <c r="D3" s="960" t="n">
        <v>0.1164</v>
      </c>
      <c r="E3" s="213" t="n"/>
      <c r="F3" s="262" t="n">
        <v>111041</v>
      </c>
      <c r="G3" s="263" t="inlineStr">
        <is>
          <t>Cavalletto trasparente monofacciale A6</t>
        </is>
      </c>
      <c r="H3" s="264" t="n">
        <v>10</v>
      </c>
      <c r="I3" s="265" t="n">
        <v>3.658</v>
      </c>
      <c r="J3" s="213" t="n"/>
      <c r="K3" s="423" t="inlineStr">
        <is>
          <t>Strong Clip</t>
        </is>
      </c>
      <c r="L3" s="207" t="n">
        <v>3000</v>
      </c>
      <c r="M3" s="961" t="n">
        <v>0.1551</v>
      </c>
      <c r="N3" s="213" t="n"/>
      <c r="O3" s="423" t="inlineStr">
        <is>
          <t>Paper Clips</t>
        </is>
      </c>
      <c r="P3" s="207" t="n"/>
      <c r="Q3" s="961" t="n">
        <v>0.25</v>
      </c>
    </row>
    <row r="4">
      <c r="A4" s="207" t="n">
        <v>792570</v>
      </c>
      <c r="B4" s="209" t="inlineStr">
        <is>
          <t>Megatwister 75 mm - 2 Adesivi</t>
        </is>
      </c>
      <c r="C4" s="207" t="n">
        <v>1000</v>
      </c>
      <c r="D4" s="960" t="n">
        <v>0.1025</v>
      </c>
      <c r="E4" s="214" t="n"/>
      <c r="F4" s="262" t="n">
        <v>111042</v>
      </c>
      <c r="G4" s="263" t="inlineStr">
        <is>
          <t>Cavalletto trasparente monofacciale A5</t>
        </is>
      </c>
      <c r="H4" s="264" t="n">
        <v>10</v>
      </c>
      <c r="I4" s="265" t="n">
        <v>4.632</v>
      </c>
      <c r="J4" s="214" t="n"/>
      <c r="K4" s="423" t="inlineStr">
        <is>
          <t>Strong Clip</t>
        </is>
      </c>
      <c r="L4" s="207" t="n">
        <v>5000</v>
      </c>
      <c r="M4" s="961" t="n">
        <v>0.1408</v>
      </c>
      <c r="N4" s="214" t="n"/>
    </row>
    <row r="5">
      <c r="A5" s="207" t="n">
        <v>792576</v>
      </c>
      <c r="B5" s="209" t="inlineStr">
        <is>
          <t>Megatwister Adesivo Non Permanente 75 mm</t>
        </is>
      </c>
      <c r="C5" s="207" t="n">
        <v>100</v>
      </c>
      <c r="D5" s="960" t="n">
        <v>0.1216</v>
      </c>
      <c r="E5" s="214" t="n"/>
      <c r="F5" s="262" t="n">
        <v>111043</v>
      </c>
      <c r="G5" s="263" t="inlineStr">
        <is>
          <t>Cavalletto trasparente monofacciale A4</t>
        </is>
      </c>
      <c r="H5" s="264" t="n">
        <v>10</v>
      </c>
      <c r="I5" s="265" t="n">
        <v>8.353999999999999</v>
      </c>
      <c r="J5" s="214" t="n"/>
      <c r="K5" s="423" t="inlineStr">
        <is>
          <t>Strong Clip</t>
        </is>
      </c>
      <c r="L5" s="207" t="n">
        <v>10000</v>
      </c>
      <c r="M5" s="961" t="n">
        <v>0.1298</v>
      </c>
      <c r="N5" s="214" t="n"/>
    </row>
    <row r="6">
      <c r="A6" s="207" t="n">
        <v>792577</v>
      </c>
      <c r="B6" s="209" t="inlineStr">
        <is>
          <t>Megatwister Adesivo Non Permanente 75 mm</t>
        </is>
      </c>
      <c r="C6" s="207" t="n">
        <v>1000</v>
      </c>
      <c r="D6" s="960" t="n">
        <v>0.1103</v>
      </c>
      <c r="E6" s="214" t="n"/>
      <c r="F6" s="262" t="n">
        <v>111044</v>
      </c>
      <c r="G6" s="263" t="inlineStr">
        <is>
          <t>Cavalletto trasparente monofacciale A3</t>
        </is>
      </c>
      <c r="H6" s="264" t="n">
        <v>10</v>
      </c>
      <c r="I6" s="265" t="n">
        <v>18.786</v>
      </c>
      <c r="J6" s="214" t="n"/>
      <c r="K6" s="423" t="inlineStr">
        <is>
          <t>Strong Clip</t>
        </is>
      </c>
      <c r="L6" s="207" t="n">
        <v>25000</v>
      </c>
      <c r="M6" s="961" t="n">
        <v>0.1265</v>
      </c>
      <c r="N6" s="214" t="n"/>
    </row>
    <row r="7">
      <c r="A7" s="207" t="n">
        <v>792560</v>
      </c>
      <c r="B7" s="209" t="inlineStr">
        <is>
          <t>Twister In Metallo Bianco - 3 Adesivi Permanenti - 90mm</t>
        </is>
      </c>
      <c r="C7" s="207" t="n">
        <v>100</v>
      </c>
      <c r="D7" s="960" t="n">
        <v>0.17</v>
      </c>
      <c r="E7" s="214" t="n"/>
      <c r="F7" s="262" t="n">
        <v>111048</v>
      </c>
      <c r="G7" s="263" t="inlineStr">
        <is>
          <t>Porta comunicazione a tasca formato A6</t>
        </is>
      </c>
      <c r="H7" s="264" t="n">
        <v>10</v>
      </c>
      <c r="I7" s="265" t="n">
        <v>1.955</v>
      </c>
      <c r="J7" s="214" t="n"/>
      <c r="K7" s="423" t="inlineStr">
        <is>
          <t>Strong Clip</t>
        </is>
      </c>
      <c r="L7" s="207" t="n">
        <v>50000</v>
      </c>
      <c r="M7" s="961" t="n">
        <v>0.1221</v>
      </c>
      <c r="N7" s="214" t="n"/>
    </row>
    <row r="8">
      <c r="A8" s="207" t="n">
        <v>792562</v>
      </c>
      <c r="B8" s="209" t="inlineStr">
        <is>
          <t>Twister In Metallo Bianco - 2 Adesivi Permanenti - 1 Adesivo Non Permanente -</t>
        </is>
      </c>
      <c r="C8" s="207" t="n">
        <v>100</v>
      </c>
      <c r="D8" s="960" t="n">
        <v>0.1803</v>
      </c>
      <c r="E8" s="214" t="n"/>
      <c r="F8" s="262" t="n">
        <v>111049</v>
      </c>
      <c r="G8" s="263" t="inlineStr">
        <is>
          <t>Porta comunicazione a tasca formato A5</t>
        </is>
      </c>
      <c r="H8" s="264" t="n">
        <v>10</v>
      </c>
      <c r="I8" s="265" t="n">
        <v>3.164</v>
      </c>
      <c r="J8" s="214" t="n"/>
      <c r="K8" s="423" t="inlineStr">
        <is>
          <t>Strong Clip</t>
        </is>
      </c>
      <c r="L8" s="207" t="n">
        <v>100000</v>
      </c>
      <c r="M8" s="961" t="n">
        <v>0.1188</v>
      </c>
      <c r="N8" s="214" t="n"/>
    </row>
    <row r="9">
      <c r="A9" s="207" t="n">
        <v>792582</v>
      </c>
      <c r="B9" s="209" t="inlineStr">
        <is>
          <t>Twister In Foglio Da 10 In Metallo - 75mm - Set Da 100 - 2 Adesivi Permanenti</t>
        </is>
      </c>
      <c r="C9" s="207" t="n">
        <v>100</v>
      </c>
      <c r="D9" s="960" t="n">
        <v>0.0433</v>
      </c>
      <c r="E9" s="214" t="n"/>
      <c r="F9" s="262" t="n">
        <v>111050</v>
      </c>
      <c r="G9" s="263" t="inlineStr">
        <is>
          <t>Porta comunicazione a tasca formato A4</t>
        </is>
      </c>
      <c r="H9" s="264" t="n">
        <v>10</v>
      </c>
      <c r="I9" s="265" t="n">
        <v>4.593</v>
      </c>
      <c r="J9" s="214" t="n"/>
      <c r="K9" s="423" t="inlineStr">
        <is>
          <t>Smart Clip M+F</t>
        </is>
      </c>
      <c r="L9" s="207" t="n">
        <v>7000</v>
      </c>
      <c r="M9" s="961" t="n">
        <v>0.09889000000000001</v>
      </c>
      <c r="N9" s="214" t="n"/>
    </row>
    <row r="10">
      <c r="A10" s="207" t="n">
        <v>792584</v>
      </c>
      <c r="B10" s="209" t="inlineStr">
        <is>
          <t>Twister In Foglio Da 10 In Metallo - 75mm - Set Da 100 - 1 Adesivo Permanente -</t>
        </is>
      </c>
      <c r="C10" s="207" t="n">
        <v>100</v>
      </c>
      <c r="D10" s="960" t="n">
        <v>0.0557</v>
      </c>
      <c r="E10" s="214" t="n"/>
      <c r="F10" s="262" t="n">
        <v>111051</v>
      </c>
      <c r="G10" s="263" t="inlineStr">
        <is>
          <t>Porta comunicazione a tasca formato A3</t>
        </is>
      </c>
      <c r="H10" s="264" t="n">
        <v>10</v>
      </c>
      <c r="I10" s="265" t="n">
        <v>9.614000000000001</v>
      </c>
      <c r="J10" s="214" t="n"/>
      <c r="K10" s="423" t="inlineStr">
        <is>
          <t>Smart Clip M+F</t>
        </is>
      </c>
      <c r="L10" s="207" t="n">
        <v>10000</v>
      </c>
      <c r="M10" s="961" t="n">
        <v>0.09416000000000001</v>
      </c>
      <c r="N10" s="214" t="n"/>
    </row>
    <row r="11">
      <c r="A11" s="207" t="n">
        <v>792571</v>
      </c>
      <c r="B11" s="209" t="inlineStr">
        <is>
          <t>Twister 75 mm - 2 Adesivi</t>
        </is>
      </c>
      <c r="C11" s="207" t="n">
        <v>1000</v>
      </c>
      <c r="D11" s="960" t="n">
        <v>0.0382</v>
      </c>
      <c r="E11" s="214" t="n"/>
      <c r="F11" s="262" t="n">
        <v>111052</v>
      </c>
      <c r="G11" s="263" t="inlineStr">
        <is>
          <t>Porta comunicazione a tasca con biadesivo schiuma formato A6</t>
        </is>
      </c>
      <c r="H11" s="264" t="n">
        <v>10</v>
      </c>
      <c r="I11" s="265" t="n">
        <v>2.802</v>
      </c>
      <c r="J11" s="214" t="n"/>
      <c r="K11" s="423" t="inlineStr">
        <is>
          <t>Smart Clip M+F</t>
        </is>
      </c>
      <c r="L11" s="207" t="n">
        <v>20000</v>
      </c>
      <c r="M11" s="961" t="n">
        <v>0.08283000000000001</v>
      </c>
      <c r="N11" s="214" t="n"/>
    </row>
    <row r="12">
      <c r="A12" s="207" t="n">
        <v>792090</v>
      </c>
      <c r="B12" s="209" t="inlineStr">
        <is>
          <t>Twister 150 mm - 2 Adesivi</t>
        </is>
      </c>
      <c r="C12" s="207" t="n">
        <v>100</v>
      </c>
      <c r="D12" s="960" t="n">
        <v>0.1545</v>
      </c>
      <c r="E12" s="214" t="n"/>
      <c r="F12" s="262" t="n">
        <v>111053</v>
      </c>
      <c r="G12" s="263" t="inlineStr">
        <is>
          <t>Porta comunicazione a tasca con biadesivo schiuma formato A5</t>
        </is>
      </c>
      <c r="H12" s="264" t="n">
        <v>10</v>
      </c>
      <c r="I12" s="265" t="n">
        <v>3.894</v>
      </c>
      <c r="J12" s="214" t="n"/>
      <c r="K12" s="423" t="inlineStr">
        <is>
          <t>Smart Clip M+F</t>
        </is>
      </c>
      <c r="L12" s="207" t="n">
        <v>50000</v>
      </c>
      <c r="M12" s="961" t="n">
        <v>0.07953</v>
      </c>
      <c r="N12" s="214" t="n"/>
    </row>
    <row r="13">
      <c r="A13" s="207" t="n">
        <v>793071</v>
      </c>
      <c r="B13" s="209" t="inlineStr">
        <is>
          <t>Twister 75 mm - 3 Adesivi</t>
        </is>
      </c>
      <c r="C13" s="207" t="n">
        <v>100</v>
      </c>
      <c r="D13" s="960" t="n">
        <v>0.0557</v>
      </c>
      <c r="E13" s="214" t="n"/>
      <c r="F13" s="262" t="n">
        <v>111054</v>
      </c>
      <c r="G13" s="263" t="inlineStr">
        <is>
          <t>Porta comunicazione a tasca con biadesivo schiuma formato A4</t>
        </is>
      </c>
      <c r="H13" s="264" t="n">
        <v>10</v>
      </c>
      <c r="I13" s="265" t="n">
        <v>5.151</v>
      </c>
      <c r="J13" s="214" t="n"/>
      <c r="K13" s="423" t="inlineStr">
        <is>
          <t>Smart Clip M+F</t>
        </is>
      </c>
      <c r="L13" s="207" t="n">
        <v>75000</v>
      </c>
      <c r="M13" s="961" t="n">
        <v>0.07898000000000001</v>
      </c>
      <c r="N13" s="214" t="n"/>
    </row>
    <row r="14">
      <c r="A14" s="207" t="n">
        <v>792573</v>
      </c>
      <c r="B14" s="209" t="inlineStr">
        <is>
          <t>Twister 75 mm - 3 Adesivi</t>
        </is>
      </c>
      <c r="C14" s="207" t="n">
        <v>1000</v>
      </c>
      <c r="D14" s="960" t="n">
        <v>0.0552</v>
      </c>
      <c r="E14" s="214" t="n"/>
      <c r="F14" s="262" t="n">
        <v>111055</v>
      </c>
      <c r="G14" s="263" t="inlineStr">
        <is>
          <t>Porta comunicazione a tasca con biadesivo schiuma formato A3</t>
        </is>
      </c>
      <c r="H14" s="264" t="n">
        <v>10</v>
      </c>
      <c r="I14" s="265" t="n">
        <v>9.996</v>
      </c>
      <c r="J14" s="214" t="n"/>
      <c r="K14" s="423" t="inlineStr">
        <is>
          <t>Smart Clip M+F</t>
        </is>
      </c>
      <c r="L14" s="207" t="n">
        <v>100000</v>
      </c>
      <c r="M14" s="961" t="n">
        <v>0.07777000000000001</v>
      </c>
      <c r="N14" s="214" t="n"/>
    </row>
    <row r="15">
      <c r="A15" s="207" t="n">
        <v>792575</v>
      </c>
      <c r="B15" s="209" t="inlineStr">
        <is>
          <t>Twister Adesivo Non Permanente 75 mm</t>
        </is>
      </c>
      <c r="C15" s="207" t="n">
        <v>1000</v>
      </c>
      <c r="D15" s="960" t="n">
        <v>0.0505</v>
      </c>
      <c r="E15" s="214" t="n"/>
      <c r="F15" s="262" t="n">
        <v>111056</v>
      </c>
      <c r="G15" s="263" t="inlineStr">
        <is>
          <t>Porta comunicazione a tasca con banda magnetica formato A6</t>
        </is>
      </c>
      <c r="H15" s="264" t="n">
        <v>10</v>
      </c>
      <c r="I15" s="265" t="n">
        <v>3.399</v>
      </c>
      <c r="J15" s="214" t="n"/>
      <c r="K15" s="423" t="inlineStr">
        <is>
          <t>Smart Clip M+F</t>
        </is>
      </c>
      <c r="L15" s="207" t="n">
        <v>200000</v>
      </c>
      <c r="M15" s="961" t="n">
        <v>0.07700000000000001</v>
      </c>
      <c r="N15" s="214" t="n"/>
    </row>
    <row r="16">
      <c r="A16" s="207" t="n">
        <v>792542</v>
      </c>
      <c r="B16" s="209" t="inlineStr">
        <is>
          <t>Twister Pet 75mm Con 2 Adesivi Permanenti</t>
        </is>
      </c>
      <c r="C16" s="207" t="n">
        <v>100</v>
      </c>
      <c r="D16" s="960" t="n">
        <v>0.0371</v>
      </c>
      <c r="E16" s="214" t="n"/>
      <c r="F16" s="262" t="n">
        <v>111057</v>
      </c>
      <c r="G16" s="263" t="inlineStr">
        <is>
          <t>Porta comunicazione a tasca con banda magnetica formato A5</t>
        </is>
      </c>
      <c r="H16" s="264" t="n">
        <v>10</v>
      </c>
      <c r="I16" s="265" t="n">
        <v>4.585</v>
      </c>
      <c r="J16" s="214" t="n"/>
      <c r="K16" s="423" t="inlineStr">
        <is>
          <t>Smart Clip M+F</t>
        </is>
      </c>
      <c r="L16" s="207" t="n">
        <v>250000</v>
      </c>
      <c r="M16" s="961" t="n">
        <v>0.07656</v>
      </c>
      <c r="N16" s="214" t="n"/>
    </row>
    <row r="17">
      <c r="A17" s="207" t="n">
        <v>792544</v>
      </c>
      <c r="B17" s="209" t="inlineStr">
        <is>
          <t>Twister Pet 75mm - 1 Adesivo Permanente - 1 Adesivo Non Permanente</t>
        </is>
      </c>
      <c r="C17" s="207" t="n">
        <v>100</v>
      </c>
      <c r="D17" s="960" t="n">
        <v>0.0515</v>
      </c>
      <c r="E17" s="214" t="n"/>
      <c r="F17" s="262" t="n">
        <v>111058</v>
      </c>
      <c r="G17" s="263" t="inlineStr">
        <is>
          <t>Porta comunicazione a tasca con banda magnetica formato A4</t>
        </is>
      </c>
      <c r="H17" s="264" t="n">
        <v>10</v>
      </c>
      <c r="I17" s="265" t="n">
        <v>5.837</v>
      </c>
      <c r="J17" s="214" t="n"/>
      <c r="K17" s="433" t="inlineStr">
        <is>
          <t>Easy Clip Supp. + Gancio Semitrasp.</t>
        </is>
      </c>
      <c r="L17" s="424" t="n">
        <v>20000</v>
      </c>
      <c r="M17" s="961" t="n">
        <v>0.1067</v>
      </c>
      <c r="N17" s="214" t="n"/>
    </row>
    <row r="18">
      <c r="A18" s="207" t="n">
        <v>792546</v>
      </c>
      <c r="B18" s="209" t="inlineStr">
        <is>
          <t>Wobbler Pet 150mm Con 2 Adesivi Permanenti</t>
        </is>
      </c>
      <c r="C18" s="207" t="n">
        <v>100</v>
      </c>
      <c r="D18" s="960" t="n">
        <v>0.0721</v>
      </c>
      <c r="E18" s="214" t="n"/>
      <c r="F18" s="262" t="n">
        <v>111059</v>
      </c>
      <c r="G18" s="263" t="inlineStr">
        <is>
          <t>Porta comunicazione a tasca con banda magnetica formato A3</t>
        </is>
      </c>
      <c r="H18" s="264" t="n">
        <v>10</v>
      </c>
      <c r="I18" s="265" t="n">
        <v>10.786</v>
      </c>
      <c r="J18" s="214" t="n"/>
      <c r="K18" s="433" t="inlineStr">
        <is>
          <t>Easy Clip Supp. + Gancio Semitrasp.</t>
        </is>
      </c>
      <c r="L18" s="424" t="n">
        <v>50000</v>
      </c>
      <c r="M18" s="961" t="n">
        <v>0.1034</v>
      </c>
      <c r="N18" s="214" t="n"/>
    </row>
    <row r="19">
      <c r="A19" s="207" t="n">
        <v>792552</v>
      </c>
      <c r="B19" s="209" t="inlineStr">
        <is>
          <t>Wobbler Pet 200mm Con 2 Adesivi Permanenti</t>
        </is>
      </c>
      <c r="C19" s="207" t="n">
        <v>100</v>
      </c>
      <c r="D19" s="960" t="n">
        <v>0.0742</v>
      </c>
      <c r="E19" s="214" t="n"/>
      <c r="F19" s="262" t="n">
        <v>111060</v>
      </c>
      <c r="G19" s="263" t="inlineStr">
        <is>
          <t>Porta comunicazione con ventose formato A6</t>
        </is>
      </c>
      <c r="H19" s="264" t="n">
        <v>10</v>
      </c>
      <c r="I19" s="265" t="n">
        <v>3.058</v>
      </c>
      <c r="J19" s="214" t="n"/>
      <c r="K19" s="433" t="inlineStr">
        <is>
          <t>Easy Clip Supp. + Gancio Semitrasp.</t>
        </is>
      </c>
      <c r="L19" s="424" t="n">
        <v>100000</v>
      </c>
      <c r="M19" s="961" t="n">
        <v>0.1023</v>
      </c>
      <c r="N19" s="214" t="n"/>
    </row>
    <row r="20">
      <c r="A20" s="207" t="n">
        <v>792550</v>
      </c>
      <c r="B20" s="209" t="inlineStr">
        <is>
          <t>Wobbler Pet 150mm  - 1 Adesivo Non Permanente</t>
        </is>
      </c>
      <c r="C20" s="207" t="n">
        <v>100</v>
      </c>
      <c r="D20" s="960" t="n">
        <v>0.07729999999999999</v>
      </c>
      <c r="E20" s="214" t="n"/>
      <c r="F20" s="262" t="n">
        <v>111061</v>
      </c>
      <c r="G20" s="263" t="inlineStr">
        <is>
          <t>Porta comunicazione con ventose formato A5</t>
        </is>
      </c>
      <c r="H20" s="264" t="n">
        <v>10</v>
      </c>
      <c r="I20" s="265" t="n">
        <v>3.301</v>
      </c>
      <c r="J20" s="214" t="n"/>
      <c r="K20" s="433" t="inlineStr">
        <is>
          <t>Easy Clip Supp. + Gancio Semitrasp.</t>
        </is>
      </c>
      <c r="L20" s="424" t="n">
        <v>150000</v>
      </c>
      <c r="M20" s="961" t="n">
        <v>0.1012</v>
      </c>
      <c r="N20" s="214" t="n"/>
    </row>
    <row r="21">
      <c r="A21" s="207" t="n">
        <v>792553</v>
      </c>
      <c r="B21" s="209" t="inlineStr">
        <is>
          <t>Wobbler 208mm - 2 Adesivi Permanenti</t>
        </is>
      </c>
      <c r="C21" s="207" t="n">
        <v>100</v>
      </c>
      <c r="D21" s="960" t="n">
        <v>0.0927</v>
      </c>
      <c r="E21" s="214" t="n"/>
      <c r="F21" s="262" t="n">
        <v>111062</v>
      </c>
      <c r="G21" s="263" t="inlineStr">
        <is>
          <t>Porta comunicazione con ventose formato A4</t>
        </is>
      </c>
      <c r="H21" s="264" t="n">
        <v>10</v>
      </c>
      <c r="I21" s="265" t="n">
        <v>6.181</v>
      </c>
      <c r="J21" s="214" t="n"/>
      <c r="K21" s="433" t="inlineStr">
        <is>
          <t>Easy Clip Supp. + Gancio Bianco</t>
        </is>
      </c>
      <c r="L21" s="424" t="n">
        <v>20000</v>
      </c>
      <c r="M21" s="961" t="n">
        <v>0.1111</v>
      </c>
      <c r="N21" s="214" t="n"/>
    </row>
    <row r="22">
      <c r="A22" s="207" t="n">
        <v>792554</v>
      </c>
      <c r="B22" s="209" t="inlineStr">
        <is>
          <t>Wobbler 210mm - 2 Adesivi Permanenti</t>
        </is>
      </c>
      <c r="C22" s="207" t="n">
        <v>100</v>
      </c>
      <c r="D22" s="960" t="n">
        <v>0.1051</v>
      </c>
      <c r="E22" s="214" t="n"/>
      <c r="F22" s="262" t="n">
        <v>111071</v>
      </c>
      <c r="G22" s="263" t="inlineStr">
        <is>
          <t>Cavalletto trasparente bifacciale A6</t>
        </is>
      </c>
      <c r="H22" s="264" t="n">
        <v>10</v>
      </c>
      <c r="I22" s="265" t="n">
        <v>4.108</v>
      </c>
      <c r="J22" s="214" t="n"/>
      <c r="K22" s="433" t="inlineStr">
        <is>
          <t>Easy Clip Supp. + Gancio Bianco</t>
        </is>
      </c>
      <c r="L22" s="424" t="n">
        <v>50000</v>
      </c>
      <c r="M22" s="961" t="n">
        <v>0.1078</v>
      </c>
      <c r="N22" s="214" t="n"/>
    </row>
    <row r="23">
      <c r="A23" s="207" t="n">
        <v>792555</v>
      </c>
      <c r="B23" s="209" t="inlineStr">
        <is>
          <t>Wobbler 2 Posizioni 120mm - 2 Adesivi Permanenti</t>
        </is>
      </c>
      <c r="C23" s="207" t="n">
        <v>100</v>
      </c>
      <c r="D23" s="960" t="n">
        <v>0.07729999999999999</v>
      </c>
      <c r="E23" s="214" t="n"/>
      <c r="F23" s="262" t="n">
        <v>111072</v>
      </c>
      <c r="G23" s="263" t="inlineStr">
        <is>
          <t>Cavalletto trasparente bifacciale A5</t>
        </is>
      </c>
      <c r="H23" s="264" t="n">
        <v>10</v>
      </c>
      <c r="I23" s="265" t="n">
        <v>7.098</v>
      </c>
      <c r="J23" s="214" t="n"/>
      <c r="K23" s="433" t="inlineStr">
        <is>
          <t>Easy Clip Supp. + Gancio Bianco</t>
        </is>
      </c>
      <c r="L23" s="424" t="n">
        <v>100000</v>
      </c>
      <c r="M23" s="961" t="n">
        <v>0.1067</v>
      </c>
      <c r="N23" s="214" t="n"/>
    </row>
    <row r="24">
      <c r="A24" s="207" t="n">
        <v>792556</v>
      </c>
      <c r="B24" s="209" t="inlineStr">
        <is>
          <t>Wobbler 208mm - 2  Adesivi Permanenti In Fogllio</t>
        </is>
      </c>
      <c r="C24" s="207" t="n">
        <v>100</v>
      </c>
      <c r="D24" s="960" t="n">
        <v>0.0979</v>
      </c>
      <c r="E24" s="214" t="n"/>
      <c r="F24" s="262" t="n">
        <v>111073</v>
      </c>
      <c r="G24" s="263" t="inlineStr">
        <is>
          <t>Cavalletto trasparente bifacciale A4</t>
        </is>
      </c>
      <c r="H24" s="264" t="n">
        <v>10</v>
      </c>
      <c r="I24" s="265" t="n">
        <v>12.013</v>
      </c>
      <c r="J24" s="214" t="n"/>
      <c r="K24" s="433" t="inlineStr">
        <is>
          <t>Easy Clip Supp. + Gancio Bianco</t>
        </is>
      </c>
      <c r="L24" s="424" t="n">
        <v>150000</v>
      </c>
      <c r="M24" s="961" t="n">
        <v>0.1056</v>
      </c>
      <c r="N24" s="214" t="n"/>
    </row>
    <row r="25">
      <c r="A25" s="207" t="n">
        <v>792557</v>
      </c>
      <c r="B25" s="209" t="inlineStr">
        <is>
          <t>Wobbler 150mm 2 Adesivi Permanenti In Fogllio</t>
        </is>
      </c>
      <c r="C25" s="207" t="n">
        <v>100</v>
      </c>
      <c r="D25" s="960" t="n">
        <v>0.0721</v>
      </c>
      <c r="E25" s="214" t="n"/>
      <c r="F25" s="262" t="n">
        <v>111074</v>
      </c>
      <c r="G25" s="263" t="inlineStr">
        <is>
          <t>Cavalletto trasparente bifacciale A3</t>
        </is>
      </c>
      <c r="H25" s="264" t="n">
        <v>10</v>
      </c>
      <c r="I25" s="265" t="n">
        <v>24.958</v>
      </c>
      <c r="J25" s="214" t="n"/>
      <c r="K25" s="433" t="inlineStr">
        <is>
          <t>Clip Bottone A Pressione Ø 28 H20 Bianco</t>
        </is>
      </c>
      <c r="L25" s="424" t="n">
        <v>10000</v>
      </c>
      <c r="M25" s="961" t="n">
        <v>0.04510000000000001</v>
      </c>
      <c r="N25" s="214" t="n"/>
    </row>
    <row r="26">
      <c r="A26" s="207" t="n">
        <v>792558</v>
      </c>
      <c r="B26" s="209" t="inlineStr">
        <is>
          <t>Wobbler 210mm 2 Adesivi Permanenti In Fogllio</t>
        </is>
      </c>
      <c r="C26" s="207" t="n">
        <v>100</v>
      </c>
      <c r="D26" s="960" t="n">
        <v>0.206</v>
      </c>
      <c r="E26" s="214" t="n"/>
      <c r="F26" s="262" t="n">
        <v>111080</v>
      </c>
      <c r="G26" s="263" t="inlineStr">
        <is>
          <t>Porta comunicazione in pvc antiriflesso con biadesivo trasparente formato A8</t>
        </is>
      </c>
      <c r="H26" s="264" t="n">
        <v>20</v>
      </c>
      <c r="I26" s="265" t="n">
        <v>1.256</v>
      </c>
      <c r="J26" s="214" t="n"/>
      <c r="K26" s="433" t="inlineStr">
        <is>
          <t>Clip Bottone A Pressione Ø 28 H20 Bianco</t>
        </is>
      </c>
      <c r="L26" s="424" t="n">
        <v>20000</v>
      </c>
      <c r="M26" s="961" t="n">
        <v>0.0396</v>
      </c>
      <c r="N26" s="214" t="n"/>
    </row>
    <row r="27">
      <c r="A27" s="207" t="n">
        <v>792559</v>
      </c>
      <c r="B27" s="209" t="inlineStr">
        <is>
          <t>Wobbler 210mm - 1 Adesivo Permanente - 1 Adesivo Non Permanente In Foglio</t>
        </is>
      </c>
      <c r="C27" s="207" t="n">
        <v>100</v>
      </c>
      <c r="D27" s="960" t="n">
        <v>0.2163</v>
      </c>
      <c r="E27" s="214" t="n"/>
      <c r="F27" s="262" t="n">
        <v>111081</v>
      </c>
      <c r="G27" s="263" t="inlineStr">
        <is>
          <t>Porta comunicazione in pvc antiriflesso con biadesivo trasparente formato A7</t>
        </is>
      </c>
      <c r="H27" s="264" t="n">
        <v>20</v>
      </c>
      <c r="I27" s="265" t="n">
        <v>1.296</v>
      </c>
      <c r="J27" s="214" t="n"/>
      <c r="K27" s="433" t="inlineStr">
        <is>
          <t>Clip Bottone A Pressione Ø 28 H20 Bianco</t>
        </is>
      </c>
      <c r="L27" s="424" t="n">
        <v>50000</v>
      </c>
      <c r="M27" s="961" t="n">
        <v>0.03630000000000001</v>
      </c>
      <c r="N27" s="214" t="n"/>
    </row>
    <row r="28">
      <c r="A28" s="207" t="n">
        <v>792561</v>
      </c>
      <c r="B28" s="209" t="inlineStr">
        <is>
          <t>Distanziale Molla Oscillante - Base Rotonda Ø 20mm - 2 Adesivi Permanenti</t>
        </is>
      </c>
      <c r="C28" s="207" t="n">
        <v>100</v>
      </c>
      <c r="D28" s="960" t="n">
        <v>0.194</v>
      </c>
      <c r="E28" s="214" t="n"/>
      <c r="F28" s="262" t="n">
        <v>111082</v>
      </c>
      <c r="G28" s="263" t="inlineStr">
        <is>
          <t>Porta comunicazione in pvc antiriflesso con biadesivo trasparente formato A6</t>
        </is>
      </c>
      <c r="H28" s="264" t="n">
        <v>20</v>
      </c>
      <c r="I28" s="265" t="n">
        <v>1.388</v>
      </c>
      <c r="J28" s="214" t="n"/>
      <c r="K28" s="433" t="inlineStr">
        <is>
          <t>Clip Bottone A Pressione Ø 28 H20 Bianco</t>
        </is>
      </c>
      <c r="L28" s="424" t="n">
        <v>100000</v>
      </c>
      <c r="M28" s="961" t="n">
        <v>0.0352</v>
      </c>
      <c r="N28" s="214" t="n"/>
    </row>
    <row r="29">
      <c r="A29" s="207" t="n">
        <v>792265</v>
      </c>
      <c r="B29" s="209" t="inlineStr">
        <is>
          <t>Distanziale Molla Oscillante - Base Quadrata 20X20mm - 2 Adesivi Permanenti</t>
        </is>
      </c>
      <c r="C29" s="207" t="n">
        <v>100</v>
      </c>
      <c r="D29" s="960" t="n">
        <v>0.1834</v>
      </c>
      <c r="E29" s="214" t="n"/>
      <c r="F29" s="262" t="n">
        <v>111083</v>
      </c>
      <c r="G29" s="263" t="inlineStr">
        <is>
          <t>Porta comunicazione in pvc antiriflesso con biadesivo trasparente formato A5</t>
        </is>
      </c>
      <c r="H29" s="264" t="n">
        <v>20</v>
      </c>
      <c r="I29" s="265" t="n">
        <v>1.556</v>
      </c>
      <c r="J29" s="214" t="n"/>
      <c r="K29" s="433" t="inlineStr">
        <is>
          <t>Clip Bottone A Pressione Ø 28 H20 Trasp.</t>
        </is>
      </c>
      <c r="L29" s="424" t="n">
        <v>10000</v>
      </c>
      <c r="M29" s="961" t="n">
        <v>0.0495</v>
      </c>
      <c r="N29" s="214" t="n"/>
    </row>
    <row r="30">
      <c r="A30" s="207" t="n">
        <v>797785</v>
      </c>
      <c r="B30" s="209" t="inlineStr">
        <is>
          <t>Distanziale Pvc 15X26X13mm - Adesivo Permanente</t>
        </is>
      </c>
      <c r="C30" s="207" t="n">
        <v>100</v>
      </c>
      <c r="D30" s="960" t="n">
        <v>0.1236</v>
      </c>
      <c r="E30" s="214" t="n"/>
      <c r="F30" s="262" t="n">
        <v>111084</v>
      </c>
      <c r="G30" s="263" t="inlineStr">
        <is>
          <t>Porta comunicazione in pvc antiriflesso con biadesivo trasparente formato A4</t>
        </is>
      </c>
      <c r="H30" s="264" t="n">
        <v>20</v>
      </c>
      <c r="I30" s="265" t="n">
        <v>1.876</v>
      </c>
      <c r="J30" s="214" t="n"/>
      <c r="K30" s="433" t="inlineStr">
        <is>
          <t>Clip Bottone A Pressione Ø 28 H20 Trasp.</t>
        </is>
      </c>
      <c r="L30" s="424" t="n">
        <v>20000</v>
      </c>
      <c r="M30" s="961" t="n">
        <v>0.044</v>
      </c>
      <c r="N30" s="214" t="n"/>
    </row>
    <row r="31">
      <c r="A31" s="207" t="n">
        <v>797779</v>
      </c>
      <c r="B31" s="209" t="inlineStr">
        <is>
          <t>Distanziale Pvc 25X26X13mm - Adesivo Permanente</t>
        </is>
      </c>
      <c r="C31" s="207" t="n">
        <v>100</v>
      </c>
      <c r="D31" s="960" t="n">
        <v>0.1545</v>
      </c>
      <c r="E31" s="214" t="n"/>
      <c r="F31" s="262" t="n">
        <v>111085</v>
      </c>
      <c r="G31" s="263" t="inlineStr">
        <is>
          <t>Porta comunicazione in pvc antiriflesso con biadesivo schiuma formato A8</t>
        </is>
      </c>
      <c r="H31" s="264" t="n">
        <v>20</v>
      </c>
      <c r="I31" s="265" t="n">
        <v>1.276</v>
      </c>
      <c r="J31" s="214" t="n"/>
      <c r="K31" s="433" t="inlineStr">
        <is>
          <t>Clip Bottone A Pressione Ø 28 H20 Trasp.</t>
        </is>
      </c>
      <c r="L31" s="424" t="n">
        <v>50000</v>
      </c>
      <c r="M31" s="961" t="n">
        <v>0.0407</v>
      </c>
      <c r="N31" s="214" t="n"/>
    </row>
    <row r="32">
      <c r="A32" s="207" t="n">
        <v>797780</v>
      </c>
      <c r="B32" s="209" t="inlineStr">
        <is>
          <t>Blocchetto In Gommapiuma 25X25X13mm - Bianco - Adesivo Permanente</t>
        </is>
      </c>
      <c r="C32" s="207" t="n">
        <v>100</v>
      </c>
      <c r="D32" s="960" t="n">
        <v>0.1545</v>
      </c>
      <c r="E32" s="214" t="n"/>
      <c r="F32" s="262" t="n">
        <v>111086</v>
      </c>
      <c r="G32" s="263" t="inlineStr">
        <is>
          <t>Porta comunicazione in pvc antiriflesso con biadesivo schiuma formato A7</t>
        </is>
      </c>
      <c r="H32" s="264" t="n">
        <v>20</v>
      </c>
      <c r="I32" s="265" t="n">
        <v>1.296</v>
      </c>
      <c r="J32" s="214" t="n"/>
      <c r="K32" s="433" t="inlineStr">
        <is>
          <t>Clip Bottone A Pressione Ø 28 H20 Trasp.</t>
        </is>
      </c>
      <c r="L32" s="424" t="n">
        <v>100000</v>
      </c>
      <c r="M32" s="961" t="n">
        <v>0.0396</v>
      </c>
      <c r="N32" s="214" t="n"/>
    </row>
    <row r="33">
      <c r="A33" s="207" t="n">
        <v>797781</v>
      </c>
      <c r="B33" s="209" t="inlineStr">
        <is>
          <t>Blocchetto In Gommapiuma 25X25X25mm - Bianco - Adesivo Permanente</t>
        </is>
      </c>
      <c r="C33" s="207" t="n">
        <v>100</v>
      </c>
      <c r="D33" s="960" t="n">
        <v>0.1957</v>
      </c>
      <c r="E33" s="214" t="n"/>
      <c r="F33" s="262" t="n">
        <v>111087</v>
      </c>
      <c r="G33" s="263" t="inlineStr">
        <is>
          <t>Porta comunicazione in pvc antiriflesso con biadesivo schiuma formato A6</t>
        </is>
      </c>
      <c r="H33" s="264" t="n">
        <v>20</v>
      </c>
      <c r="I33" s="265" t="n">
        <v>1.352</v>
      </c>
      <c r="J33" s="214" t="n"/>
      <c r="K33" s="433" t="inlineStr">
        <is>
          <t>Magnetic Clip Standard M+F</t>
        </is>
      </c>
      <c r="L33" s="424" t="n">
        <v>1000</v>
      </c>
      <c r="M33" s="961" t="n">
        <v>0.2398</v>
      </c>
      <c r="N33" s="214" t="n"/>
    </row>
    <row r="34">
      <c r="A34" s="207" t="n">
        <v>797160</v>
      </c>
      <c r="B34" s="209" t="inlineStr">
        <is>
          <t>Super GriPPer A T - 18X25X35mm - Spessore Massimo Del Visual: 4mm</t>
        </is>
      </c>
      <c r="C34" s="207" t="n">
        <v>100</v>
      </c>
      <c r="D34" s="960" t="n">
        <v>0.1915</v>
      </c>
      <c r="E34" s="214" t="n"/>
      <c r="F34" s="262" t="n">
        <v>111088</v>
      </c>
      <c r="G34" s="263" t="inlineStr">
        <is>
          <t>Porta comunicazione in pvc antiriflesso con biadesivo schiuma formato A5</t>
        </is>
      </c>
      <c r="H34" s="264" t="n">
        <v>20</v>
      </c>
      <c r="I34" s="265" t="n">
        <v>1.624</v>
      </c>
      <c r="J34" s="214" t="n"/>
      <c r="K34" s="433" t="inlineStr">
        <is>
          <t>Magnetic Clip Standard M+F</t>
        </is>
      </c>
      <c r="L34" s="424" t="n">
        <v>1500</v>
      </c>
      <c r="M34" s="961" t="n">
        <v>0.198</v>
      </c>
      <c r="N34" s="214" t="n"/>
    </row>
    <row r="35">
      <c r="A35" s="207" t="n">
        <v>797161</v>
      </c>
      <c r="B35" s="209" t="inlineStr">
        <is>
          <t>Super GriPPer A T - 18X25X75mm - Spessore Massimo Del Visual: 4mm</t>
        </is>
      </c>
      <c r="C35" s="207" t="n">
        <v>100</v>
      </c>
      <c r="D35" s="960" t="n">
        <v>0.3943</v>
      </c>
      <c r="E35" s="214" t="n"/>
      <c r="F35" s="262" t="n">
        <v>111089</v>
      </c>
      <c r="G35" s="263" t="inlineStr">
        <is>
          <t>Porta comunicazione in pvc antiriflesso con biadesivo schiuma formato A4</t>
        </is>
      </c>
      <c r="H35" s="264" t="n">
        <v>20</v>
      </c>
      <c r="I35" s="265" t="n">
        <v>1.968</v>
      </c>
      <c r="J35" s="214" t="n"/>
      <c r="K35" s="433" t="inlineStr">
        <is>
          <t>Magnetic Clip Standard M+F</t>
        </is>
      </c>
      <c r="L35" s="424" t="n">
        <v>3000</v>
      </c>
      <c r="M35" s="961" t="n">
        <v>0.1606</v>
      </c>
      <c r="N35" s="214" t="n"/>
    </row>
    <row r="36">
      <c r="A36" s="207" t="n">
        <v>797127</v>
      </c>
      <c r="B36" s="209" t="inlineStr">
        <is>
          <t>Super GriPPer A Base Ridotta - 13X20X76mm - Spessore Massimo Del Visual: 3-4M</t>
        </is>
      </c>
      <c r="C36" s="207" t="n">
        <v>100</v>
      </c>
      <c r="D36" s="960" t="n">
        <v>0.2472</v>
      </c>
      <c r="E36" s="214" t="n"/>
      <c r="F36" s="262" t="n">
        <v>111090</v>
      </c>
      <c r="G36" s="263" t="inlineStr">
        <is>
          <t>Porta comunicazione in pvc antiriflesso con banda magnetica formato A8</t>
        </is>
      </c>
      <c r="H36" s="264" t="n">
        <v>20</v>
      </c>
      <c r="I36" s="265" t="n">
        <v>1.476</v>
      </c>
      <c r="J36" s="214" t="n"/>
      <c r="K36" s="433" t="inlineStr">
        <is>
          <t>Magnetic Clip Standard M+F</t>
        </is>
      </c>
      <c r="L36" s="424" t="n">
        <v>5000</v>
      </c>
      <c r="M36" s="961" t="n">
        <v>0.1353</v>
      </c>
      <c r="N36" s="214" t="n"/>
    </row>
    <row r="37">
      <c r="A37" s="207" t="n">
        <v>797162</v>
      </c>
      <c r="B37" s="209" t="inlineStr">
        <is>
          <t>Super GriPPer A Base Ridotta - 13X20X150mm - Spessore Massimo Del Visual: 3-4</t>
        </is>
      </c>
      <c r="C37" s="207" t="n">
        <v>100</v>
      </c>
      <c r="D37" s="960" t="n">
        <v>0.6674</v>
      </c>
      <c r="E37" s="214" t="n"/>
      <c r="F37" s="262" t="n">
        <v>111091</v>
      </c>
      <c r="G37" s="263" t="inlineStr">
        <is>
          <t>Porta comunicazione in pvc antiriflesso con banda magnetica formato A7</t>
        </is>
      </c>
      <c r="H37" s="264" t="n">
        <v>20</v>
      </c>
      <c r="I37" s="265" t="n">
        <v>1.624</v>
      </c>
      <c r="J37" s="214" t="n"/>
      <c r="K37" s="433" t="inlineStr">
        <is>
          <t>Magnetic Clip Standard M+F</t>
        </is>
      </c>
      <c r="L37" s="424" t="n">
        <v>10000</v>
      </c>
      <c r="M37" s="961" t="n">
        <v>0.1276</v>
      </c>
      <c r="N37" s="214" t="n"/>
    </row>
    <row r="38">
      <c r="A38" s="207" t="n">
        <v>797157</v>
      </c>
      <c r="B38" s="209" t="inlineStr">
        <is>
          <t>Maxi GriPPer - 24X25X75mm - Spessore Massimo Del Visual: 5mm</t>
        </is>
      </c>
      <c r="C38" s="207" t="n">
        <v>50</v>
      </c>
      <c r="D38" s="960" t="n">
        <v>0.641</v>
      </c>
      <c r="E38" s="214" t="n"/>
      <c r="F38" s="262" t="n">
        <v>111092</v>
      </c>
      <c r="G38" s="263" t="inlineStr">
        <is>
          <t>Porta comunicazione in pvc antiriflesso con banda magnetica formato A6</t>
        </is>
      </c>
      <c r="H38" s="264" t="n">
        <v>20</v>
      </c>
      <c r="I38" s="265" t="n">
        <v>1.852</v>
      </c>
      <c r="J38" s="214" t="n"/>
      <c r="K38" s="433" t="inlineStr">
        <is>
          <t>Magnetic Clip Standard M+F</t>
        </is>
      </c>
      <c r="L38" s="424" t="n">
        <v>20000</v>
      </c>
      <c r="M38" s="961" t="n">
        <v>0.1243</v>
      </c>
      <c r="N38" s="214" t="n"/>
    </row>
    <row r="39">
      <c r="A39" s="207" t="n">
        <v>797140</v>
      </c>
      <c r="B39" s="209" t="inlineStr">
        <is>
          <t>GriPPer A T - 13X15mm - Spessore Massimo Del Visual: 2mm</t>
        </is>
      </c>
      <c r="C39" s="207" t="n">
        <v>100</v>
      </c>
      <c r="D39" s="960" t="n">
        <v>0.07489999999999999</v>
      </c>
      <c r="E39" s="214" t="n"/>
      <c r="F39" s="262" t="n">
        <v>111093</v>
      </c>
      <c r="G39" s="263" t="inlineStr">
        <is>
          <t>Porta comunicazione in pvc antiriflesso con banda magnetica formato A5</t>
        </is>
      </c>
      <c r="H39" s="264" t="n">
        <v>20</v>
      </c>
      <c r="I39" s="265" t="n">
        <v>2.212</v>
      </c>
      <c r="J39" s="214" t="n"/>
      <c r="K39" s="433" t="inlineStr">
        <is>
          <t>Magnetic Clip Standard M+F</t>
        </is>
      </c>
      <c r="L39" s="424" t="n">
        <v>50000</v>
      </c>
      <c r="M39" s="961" t="n">
        <v>0.1221</v>
      </c>
      <c r="N39" s="214" t="n"/>
    </row>
    <row r="40">
      <c r="A40" s="207" t="n">
        <v>797147</v>
      </c>
      <c r="B40" s="209" t="inlineStr">
        <is>
          <t>GriPPer A T - 13X25mm - Spessore Massimo Del Visual: 2mm</t>
        </is>
      </c>
      <c r="C40" s="207" t="n">
        <v>100</v>
      </c>
      <c r="D40" s="960" t="n">
        <v>0.0824</v>
      </c>
      <c r="E40" s="214" t="n"/>
      <c r="F40" s="262" t="n">
        <v>111094</v>
      </c>
      <c r="G40" s="263" t="inlineStr">
        <is>
          <t>Porta comunicazione in pvc antiriflesso con banda magnetica formato A4</t>
        </is>
      </c>
      <c r="H40" s="264" t="n">
        <v>20</v>
      </c>
      <c r="I40" s="265" t="n">
        <v>2.804</v>
      </c>
      <c r="J40" s="214" t="n"/>
      <c r="K40" s="433" t="inlineStr">
        <is>
          <t>Magnetic Clip PP Trasparente M+F</t>
        </is>
      </c>
      <c r="L40" s="424" t="n">
        <v>1000</v>
      </c>
      <c r="M40" s="961" t="n">
        <v>0.2530000000000001</v>
      </c>
      <c r="N40" s="214" t="n"/>
    </row>
    <row r="41">
      <c r="A41" s="207" t="n">
        <v>797149</v>
      </c>
      <c r="B41" s="209" t="inlineStr">
        <is>
          <t>GriPPer A T - 13X50mm - Spessore Massimo Del Visual: 2mm</t>
        </is>
      </c>
      <c r="C41" s="207" t="n">
        <v>100</v>
      </c>
      <c r="D41" s="960" t="n">
        <v>0.1752</v>
      </c>
      <c r="E41" s="214" t="n"/>
      <c r="F41" s="262" t="n">
        <v>111101</v>
      </c>
      <c r="G41" s="263" t="inlineStr">
        <is>
          <t>Porta comunicazione formato A6</t>
        </is>
      </c>
      <c r="H41" s="264" t="n">
        <v>10</v>
      </c>
      <c r="I41" s="265" t="n">
        <v>1.589</v>
      </c>
      <c r="J41" s="214" t="n"/>
      <c r="K41" s="433" t="inlineStr">
        <is>
          <t>Magnetic Clip PP Trasparente M+F</t>
        </is>
      </c>
      <c r="L41" s="424" t="n">
        <v>1500</v>
      </c>
      <c r="M41" s="961" t="n">
        <v>0.2112</v>
      </c>
      <c r="N41" s="214" t="n"/>
    </row>
    <row r="42">
      <c r="A42" s="207" t="n">
        <v>797148</v>
      </c>
      <c r="B42" s="209" t="inlineStr">
        <is>
          <t>GriPPer A T - 13X75mm - Spessore Massimo Del Visual: 2mm</t>
        </is>
      </c>
      <c r="C42" s="207" t="n">
        <v>100</v>
      </c>
      <c r="D42" s="960" t="n">
        <v>0.206</v>
      </c>
      <c r="E42" s="214" t="n"/>
      <c r="F42" s="262" t="n">
        <v>111102</v>
      </c>
      <c r="G42" s="263" t="inlineStr">
        <is>
          <t>Porta comunicazione formato A5</t>
        </is>
      </c>
      <c r="H42" s="264" t="n">
        <v>10</v>
      </c>
      <c r="I42" s="265" t="n">
        <v>2.53</v>
      </c>
      <c r="J42" s="214" t="n"/>
      <c r="K42" s="433" t="inlineStr">
        <is>
          <t>Magnetic Clip PP Trasparente M+F</t>
        </is>
      </c>
      <c r="L42" s="424" t="n">
        <v>3000</v>
      </c>
      <c r="M42" s="961" t="n">
        <v>0.1727</v>
      </c>
      <c r="N42" s="214" t="n"/>
    </row>
    <row r="43">
      <c r="A43" s="207" t="n">
        <v>797150</v>
      </c>
      <c r="B43" s="209" t="inlineStr">
        <is>
          <t>GriPPer A T - 25X25mm - Spessore Massimo Del Visual: 2mm</t>
        </is>
      </c>
      <c r="C43" s="207" t="n">
        <v>100</v>
      </c>
      <c r="D43" s="960" t="n">
        <v>0.0824</v>
      </c>
      <c r="E43" s="214" t="n"/>
      <c r="F43" s="262" t="n">
        <v>111103</v>
      </c>
      <c r="G43" s="263" t="inlineStr">
        <is>
          <t>Porta comunicazione formato A4</t>
        </is>
      </c>
      <c r="H43" s="264" t="n">
        <v>10</v>
      </c>
      <c r="I43" s="265" t="n">
        <v>4.639</v>
      </c>
      <c r="J43" s="214" t="n"/>
      <c r="K43" s="433" t="inlineStr">
        <is>
          <t>Magnetic Clip PP Trasparente M+F</t>
        </is>
      </c>
      <c r="L43" s="424" t="n">
        <v>5000</v>
      </c>
      <c r="M43" s="961" t="n">
        <v>0.1485</v>
      </c>
      <c r="N43" s="214" t="n"/>
    </row>
    <row r="44">
      <c r="A44" s="207" t="n">
        <v>797151</v>
      </c>
      <c r="B44" s="209" t="inlineStr">
        <is>
          <t>GriPPer A T - 25X75mm - Spessore Massimo Del Visual: 2mm</t>
        </is>
      </c>
      <c r="C44" s="207" t="n">
        <v>100</v>
      </c>
      <c r="D44" s="960" t="n">
        <v>0.2833</v>
      </c>
      <c r="E44" s="214" t="n"/>
      <c r="F44" s="262" t="n">
        <v>111104</v>
      </c>
      <c r="G44" s="266" t="inlineStr">
        <is>
          <t>Porta comunicazione formato A3</t>
        </is>
      </c>
      <c r="H44" s="264" t="n">
        <v>10</v>
      </c>
      <c r="I44" s="265" t="n">
        <v>12.347</v>
      </c>
      <c r="J44" s="214" t="n"/>
      <c r="K44" s="433" t="inlineStr">
        <is>
          <t>Magnetic Clip PP Trasparente M+F</t>
        </is>
      </c>
      <c r="L44" s="424" t="n">
        <v>10000</v>
      </c>
      <c r="M44" s="961" t="n">
        <v>0.1397</v>
      </c>
      <c r="N44" s="214" t="n"/>
    </row>
    <row r="45">
      <c r="A45" s="207" t="n">
        <v>797152</v>
      </c>
      <c r="B45" s="209" t="inlineStr">
        <is>
          <t>GriPPer A T - 25X150mm - Spessore Massimo Del Visual: 2mm</t>
        </is>
      </c>
      <c r="C45" s="207" t="n">
        <v>100</v>
      </c>
      <c r="D45" s="960" t="n">
        <v>0.5871</v>
      </c>
      <c r="E45" s="214" t="n"/>
      <c r="F45" s="262" t="n">
        <v>111105</v>
      </c>
      <c r="G45" s="263" t="inlineStr">
        <is>
          <t>Porta comunicazione con biadesivo schiuma formato A6</t>
        </is>
      </c>
      <c r="H45" s="264" t="n">
        <v>10</v>
      </c>
      <c r="I45" s="265" t="n">
        <v>2.782</v>
      </c>
      <c r="J45" s="214" t="n"/>
      <c r="K45" s="433" t="inlineStr">
        <is>
          <t>Magnetic Clip PP Trasparente M+F</t>
        </is>
      </c>
      <c r="L45" s="424" t="n">
        <v>20000</v>
      </c>
      <c r="M45" s="961" t="n">
        <v>0.1364</v>
      </c>
      <c r="N45" s="214" t="n"/>
    </row>
    <row r="46">
      <c r="A46" s="207" t="n">
        <v>797126</v>
      </c>
      <c r="B46" s="209" t="inlineStr">
        <is>
          <t>GriPPer A T - 25X25mm - Spessore Massimo Del Visual: 2mm</t>
        </is>
      </c>
      <c r="C46" s="207" t="n">
        <v>100</v>
      </c>
      <c r="D46" s="960" t="n">
        <v>0.0742</v>
      </c>
      <c r="E46" s="214" t="n"/>
      <c r="F46" s="262" t="n">
        <v>111106</v>
      </c>
      <c r="G46" s="263" t="inlineStr">
        <is>
          <t>Porta comunicazione con biadesivo schiuma formato A5</t>
        </is>
      </c>
      <c r="H46" s="264" t="n">
        <v>10</v>
      </c>
      <c r="I46" s="265" t="n">
        <v>3.283</v>
      </c>
      <c r="J46" s="214" t="n"/>
      <c r="K46" s="433" t="inlineStr">
        <is>
          <t>Magnetic Clip PP Trasparente M+F</t>
        </is>
      </c>
      <c r="L46" s="424" t="n">
        <v>50000</v>
      </c>
      <c r="M46" s="961" t="n">
        <v>0.1342</v>
      </c>
      <c r="N46" s="214" t="n"/>
    </row>
    <row r="47">
      <c r="A47" s="207" t="n">
        <v>797144</v>
      </c>
      <c r="B47" s="209" t="inlineStr">
        <is>
          <t>GriPPer A T- Adesivo Non Permanente - 13 X25 mm</t>
        </is>
      </c>
      <c r="C47" s="207" t="n">
        <v>100</v>
      </c>
      <c r="D47" s="960" t="n">
        <v>0.103</v>
      </c>
      <c r="E47" s="214" t="n"/>
      <c r="F47" s="262" t="n">
        <v>111107</v>
      </c>
      <c r="G47" s="263" t="inlineStr">
        <is>
          <t>Porta comunicazione con biadesivo schiuma formato A4</t>
        </is>
      </c>
      <c r="H47" s="264" t="n">
        <v>10</v>
      </c>
      <c r="I47" s="265" t="n">
        <v>5.45</v>
      </c>
      <c r="J47" s="214" t="n"/>
      <c r="K47" s="433" t="inlineStr">
        <is>
          <t>Frontalino mm 147 in PS Bianco o Rosso</t>
        </is>
      </c>
      <c r="L47" s="424" t="n">
        <v>2500</v>
      </c>
      <c r="M47" s="961" t="n">
        <v>0.429</v>
      </c>
      <c r="N47" s="214" t="n"/>
    </row>
    <row r="48">
      <c r="A48" s="207" t="n">
        <v>797146</v>
      </c>
      <c r="B48" s="209" t="inlineStr">
        <is>
          <t>GriPPer A T- Adesivo Non Permanente - 13 X75 mm</t>
        </is>
      </c>
      <c r="C48" s="207" t="n">
        <v>100</v>
      </c>
      <c r="D48" s="960" t="n">
        <v>0.2266</v>
      </c>
      <c r="E48" s="214" t="n"/>
      <c r="F48" s="262" t="n">
        <v>111108</v>
      </c>
      <c r="G48" s="263" t="inlineStr">
        <is>
          <t>Porta comunicazione con biadesivo schiuma formato A3</t>
        </is>
      </c>
      <c r="H48" s="264" t="n">
        <v>10</v>
      </c>
      <c r="I48" s="265" t="n">
        <v>13.139</v>
      </c>
      <c r="J48" s="214" t="n"/>
      <c r="K48" s="433" t="inlineStr">
        <is>
          <t>Frontalino mm 147 in PS Bianco o Rosso</t>
        </is>
      </c>
      <c r="L48" s="424" t="n">
        <v>5000</v>
      </c>
      <c r="M48" s="961" t="n">
        <v>0.407</v>
      </c>
      <c r="N48" s="214" t="n"/>
    </row>
    <row r="49">
      <c r="A49" s="207" t="n">
        <v>797168</v>
      </c>
      <c r="B49" s="209" t="inlineStr">
        <is>
          <t>GriPPer A T - Pvc - Articolato - 25 X 25 mm</t>
        </is>
      </c>
      <c r="C49" s="207" t="n">
        <v>100</v>
      </c>
      <c r="D49" s="960" t="n">
        <v>0.206</v>
      </c>
      <c r="E49" s="214" t="n"/>
      <c r="F49" s="262" t="n">
        <v>111109</v>
      </c>
      <c r="G49" s="263" t="inlineStr">
        <is>
          <t>Porta comunicazione con banda magnetica formato A6</t>
        </is>
      </c>
      <c r="H49" s="264" t="n">
        <v>10</v>
      </c>
      <c r="I49" s="265" t="n">
        <v>2.779</v>
      </c>
      <c r="J49" s="214" t="n"/>
      <c r="K49" s="433" t="inlineStr">
        <is>
          <t>Frontalino mm 147 in PS Bianco o Rosso</t>
        </is>
      </c>
      <c r="L49" s="424" t="n">
        <v>10000</v>
      </c>
      <c r="M49" s="961" t="n">
        <v>0.396</v>
      </c>
      <c r="N49" s="214" t="n"/>
    </row>
    <row r="50">
      <c r="A50" s="207" t="n">
        <v>797169</v>
      </c>
      <c r="B50" s="209" t="inlineStr">
        <is>
          <t>GriPPer A T - Pvc - Articolato - 25 X 75 mm</t>
        </is>
      </c>
      <c r="C50" s="207" t="n">
        <v>100</v>
      </c>
      <c r="D50" s="960" t="n">
        <v>0.618</v>
      </c>
      <c r="E50" s="214" t="n"/>
      <c r="F50" s="262" t="n">
        <v>111110</v>
      </c>
      <c r="G50" s="263" t="inlineStr">
        <is>
          <t>Porta comunicazione con banda magnetica formato A5</t>
        </is>
      </c>
      <c r="H50" s="264" t="n">
        <v>10</v>
      </c>
      <c r="I50" s="265" t="n">
        <v>3.996</v>
      </c>
      <c r="J50" s="214" t="n"/>
      <c r="K50" s="433" t="inlineStr">
        <is>
          <t>Frontalino mm 179 in PS Bianco o Rosso</t>
        </is>
      </c>
      <c r="L50" s="424" t="n">
        <v>2500</v>
      </c>
      <c r="M50" s="961" t="n">
        <v>0.4400000000000001</v>
      </c>
      <c r="N50" s="214" t="n"/>
    </row>
    <row r="51">
      <c r="A51" s="207" t="n">
        <v>797156</v>
      </c>
      <c r="B51" s="209" t="inlineStr">
        <is>
          <t>GriPPer A T - Banda Magnetica - Fisso - 25 X 75 mm</t>
        </is>
      </c>
      <c r="C51" s="207" t="n">
        <v>50</v>
      </c>
      <c r="D51" s="960" t="n">
        <v>0.4862</v>
      </c>
      <c r="E51" s="214" t="n"/>
      <c r="F51" s="262" t="n">
        <v>111111</v>
      </c>
      <c r="G51" s="263" t="inlineStr">
        <is>
          <t>Porta comunicazione con banda magnetica formato A4</t>
        </is>
      </c>
      <c r="H51" s="264" t="n">
        <v>10</v>
      </c>
      <c r="I51" s="265" t="n">
        <v>6.447</v>
      </c>
      <c r="J51" s="214" t="n"/>
      <c r="K51" s="433" t="inlineStr">
        <is>
          <t>Frontalino mm 179 in PS Bianco o Rosso</t>
        </is>
      </c>
      <c r="L51" s="424" t="n">
        <v>5000</v>
      </c>
      <c r="M51" s="961" t="n">
        <v>0.418</v>
      </c>
      <c r="N51" s="214" t="n"/>
    </row>
    <row r="52">
      <c r="A52" s="207" t="n">
        <v>797155</v>
      </c>
      <c r="B52" s="209" t="inlineStr">
        <is>
          <t>GriPPer A T - Banda Magnetica - Articolato - 25 X 75 mm</t>
        </is>
      </c>
      <c r="C52" s="207" t="n">
        <v>50</v>
      </c>
      <c r="D52" s="960" t="n">
        <v>0.824</v>
      </c>
      <c r="E52" s="214" t="n"/>
      <c r="F52" s="262" t="n">
        <v>111112</v>
      </c>
      <c r="G52" s="263" t="inlineStr">
        <is>
          <t>Porta comunicazione con banda magnetica formato A3</t>
        </is>
      </c>
      <c r="H52" s="264" t="n">
        <v>10</v>
      </c>
      <c r="I52" s="265" t="n">
        <v>14.386</v>
      </c>
      <c r="J52" s="214" t="n"/>
      <c r="K52" s="433" t="inlineStr">
        <is>
          <t>Frontalino mm 179 in PS Bianco o Rosso</t>
        </is>
      </c>
      <c r="L52" s="424" t="n">
        <v>10000</v>
      </c>
      <c r="M52" s="961" t="n">
        <v>0.407</v>
      </c>
      <c r="N52" s="214" t="n"/>
    </row>
    <row r="53">
      <c r="A53" s="207" t="n">
        <v>797171</v>
      </c>
      <c r="B53" s="209" t="inlineStr">
        <is>
          <t>GriPPer A T - Calamita A Parete - Fisso - 25 X 75 mm</t>
        </is>
      </c>
      <c r="C53" s="207" t="n">
        <v>10</v>
      </c>
      <c r="D53" s="960" t="n">
        <v>2.368</v>
      </c>
      <c r="E53" s="214" t="n"/>
      <c r="F53" s="262" t="n">
        <v>111115</v>
      </c>
      <c r="G53" s="263" t="inlineStr">
        <is>
          <t>Porta messaggi per formato 1/3 A4 - 4 lati</t>
        </is>
      </c>
      <c r="H53" s="264" t="n">
        <v>10</v>
      </c>
      <c r="I53" s="265" t="n">
        <v>10.313</v>
      </c>
      <c r="J53" s="214" t="n"/>
      <c r="K53" s="433" t="inlineStr">
        <is>
          <t>Frontalino mm 194 in PS Bianco o Rosso</t>
        </is>
      </c>
      <c r="L53" s="424" t="n">
        <v>2500</v>
      </c>
      <c r="M53" s="961" t="n">
        <v>0.451</v>
      </c>
      <c r="N53" s="214" t="n"/>
    </row>
    <row r="54">
      <c r="A54" s="207" t="n">
        <v>797170</v>
      </c>
      <c r="B54" s="209" t="inlineStr">
        <is>
          <t>GriPPer A T - Calamita A Parete - Articolato - 25 X 75 mm</t>
        </is>
      </c>
      <c r="C54" s="207" t="n">
        <v>10</v>
      </c>
      <c r="D54" s="960" t="n">
        <v>3.0025</v>
      </c>
      <c r="E54" s="214" t="n"/>
      <c r="F54" s="262" t="n">
        <v>111116</v>
      </c>
      <c r="G54" s="263" t="inlineStr">
        <is>
          <t>Porta messaggi per formato A5 - 4 lati</t>
        </is>
      </c>
      <c r="H54" s="264" t="n">
        <v>10</v>
      </c>
      <c r="I54" s="265" t="n">
        <v>10.247</v>
      </c>
      <c r="J54" s="214" t="n"/>
      <c r="K54" s="433" t="inlineStr">
        <is>
          <t>Frontalino mm 194 in PS Bianco o Rosso</t>
        </is>
      </c>
      <c r="L54" s="424" t="n">
        <v>5000</v>
      </c>
      <c r="M54" s="961" t="n">
        <v>0.429</v>
      </c>
      <c r="N54" s="214" t="n"/>
    </row>
    <row r="55">
      <c r="A55" s="207" t="n">
        <v>797787</v>
      </c>
      <c r="B55" s="209" t="inlineStr">
        <is>
          <t>Ventose Ø 25 mm - Con GriPPer A Bandiera 25 mm</t>
        </is>
      </c>
      <c r="C55" s="207" t="n">
        <v>100</v>
      </c>
      <c r="D55" s="960" t="n">
        <v>0.3193</v>
      </c>
      <c r="E55" s="214" t="n"/>
      <c r="F55" s="262" t="n">
        <v>111117</v>
      </c>
      <c r="G55" s="263" t="inlineStr">
        <is>
          <t>Porta messaggi per formato A4 - 4 lati</t>
        </is>
      </c>
      <c r="H55" s="264" t="n">
        <v>10</v>
      </c>
      <c r="I55" s="265" t="n">
        <v>18.082</v>
      </c>
      <c r="J55" s="214" t="n"/>
      <c r="K55" s="433" t="inlineStr">
        <is>
          <t>Frontalino mm 194 in PS Bianco o Rosso</t>
        </is>
      </c>
      <c r="L55" s="424" t="n">
        <v>10000</v>
      </c>
      <c r="M55" s="961" t="n">
        <v>0.418</v>
      </c>
      <c r="N55" s="214" t="n"/>
    </row>
    <row r="56">
      <c r="A56" s="207" t="n">
        <v>797164</v>
      </c>
      <c r="B56" s="209" t="inlineStr">
        <is>
          <t>DoPPie Ventose Ø 35 mm - Con GriPPer A Bandiera 100 mm</t>
        </is>
      </c>
      <c r="C56" s="207" t="n">
        <v>100</v>
      </c>
      <c r="D56" s="960" t="n">
        <v>1.0028</v>
      </c>
      <c r="E56" s="214" t="n"/>
      <c r="F56" s="262" t="n">
        <v>111121</v>
      </c>
      <c r="G56" s="263" t="inlineStr">
        <is>
          <t>Piegato trasparente a cavalletto verticale formato A4</t>
        </is>
      </c>
      <c r="H56" s="264" t="n">
        <v>10</v>
      </c>
      <c r="I56" s="265" t="n">
        <v>7.098</v>
      </c>
      <c r="J56" s="214" t="n"/>
      <c r="K56" s="433" t="inlineStr">
        <is>
          <t>Kit Basetta M+F Colgate PS Trasparente</t>
        </is>
      </c>
      <c r="L56" s="424" t="n">
        <v>2500</v>
      </c>
      <c r="M56" s="961" t="n">
        <v>1.386</v>
      </c>
      <c r="N56" s="214" t="n"/>
    </row>
    <row r="57">
      <c r="A57" s="207" t="n">
        <v>797165</v>
      </c>
      <c r="B57" s="209" t="inlineStr">
        <is>
          <t>Ventose Ø 25 mm - Con GriPPer Facing 25 mm</t>
        </is>
      </c>
      <c r="C57" s="207" t="n">
        <v>100</v>
      </c>
      <c r="D57" s="960" t="n">
        <v>0.2987</v>
      </c>
      <c r="E57" s="214" t="n"/>
      <c r="F57" s="262" t="n">
        <v>111122</v>
      </c>
      <c r="G57" s="263" t="inlineStr">
        <is>
          <t>Piegato trasparente a cavalletto verticale formato A6</t>
        </is>
      </c>
      <c r="H57" s="264" t="n">
        <v>10</v>
      </c>
      <c r="I57" s="265" t="n">
        <v>3.463</v>
      </c>
      <c r="J57" s="214" t="n"/>
      <c r="K57" s="433" t="inlineStr">
        <is>
          <t>Kit Basetta M+F Colgate PS Trasparente</t>
        </is>
      </c>
      <c r="L57" s="424" t="n">
        <v>5000</v>
      </c>
      <c r="M57" s="961" t="n">
        <v>1.353</v>
      </c>
      <c r="N57" s="214" t="n"/>
    </row>
    <row r="58">
      <c r="A58" s="207" t="n">
        <v>797193</v>
      </c>
      <c r="B58" s="209" t="inlineStr">
        <is>
          <t>Attacco GriPPer A Bandiera - Fisso</t>
        </is>
      </c>
      <c r="C58" s="207" t="n">
        <v>100</v>
      </c>
      <c r="D58" s="960" t="n">
        <v>0.1545</v>
      </c>
      <c r="E58" s="214" t="n"/>
      <c r="F58" s="262" t="n">
        <v>111123</v>
      </c>
      <c r="G58" s="263" t="inlineStr">
        <is>
          <t>Piegato trasparente a cavalletto verticale formato A5</t>
        </is>
      </c>
      <c r="H58" s="264" t="n">
        <v>10</v>
      </c>
      <c r="I58" s="265" t="n">
        <v>4.793</v>
      </c>
      <c r="J58" s="214" t="n"/>
      <c r="K58" s="433" t="inlineStr">
        <is>
          <t>Kit Basetta M+F Colgate PS Trasparente</t>
        </is>
      </c>
      <c r="L58" s="424" t="n">
        <v>10000</v>
      </c>
      <c r="M58" s="961" t="n">
        <v>1.342</v>
      </c>
      <c r="N58" s="214" t="n"/>
    </row>
    <row r="59">
      <c r="A59" s="207" t="n">
        <v>797786</v>
      </c>
      <c r="B59" s="209" t="inlineStr">
        <is>
          <t>Attacco A Clip GriPPer A Bandiera - Fisso - Ad Angolo Variabile</t>
        </is>
      </c>
      <c r="C59" s="207" t="n">
        <v>50</v>
      </c>
      <c r="D59" s="960" t="n">
        <v>0.1751</v>
      </c>
      <c r="E59" s="214" t="n"/>
      <c r="F59" s="262" t="n">
        <v>111124</v>
      </c>
      <c r="G59" s="263" t="inlineStr">
        <is>
          <t>Piegato trasparente a cavalletto verticale formato A3</t>
        </is>
      </c>
      <c r="H59" s="264" t="n">
        <v>10</v>
      </c>
      <c r="I59" s="265" t="n">
        <v>18.966</v>
      </c>
      <c r="J59" s="214" t="n"/>
      <c r="K59" s="207" t="n"/>
      <c r="L59" s="424" t="n"/>
      <c r="M59" s="961" t="n"/>
      <c r="N59" s="214" t="n"/>
    </row>
    <row r="60">
      <c r="A60" s="207" t="n">
        <v>797184</v>
      </c>
      <c r="B60" s="209" t="inlineStr">
        <is>
          <t>Attacco GriPPer A Bandiera - Articolato - Etichette Elettroniche</t>
        </is>
      </c>
      <c r="C60" s="207" t="n">
        <v>100</v>
      </c>
      <c r="D60" s="960" t="n">
        <v>0.17</v>
      </c>
      <c r="E60" s="214" t="n"/>
      <c r="F60" s="262" t="n">
        <v>111130</v>
      </c>
      <c r="G60" s="263" t="inlineStr">
        <is>
          <t>Porta messaggi per formato A6 - 3 lati</t>
        </is>
      </c>
      <c r="H60" s="264" t="n">
        <v>10</v>
      </c>
      <c r="I60" s="265" t="n">
        <v>11.786</v>
      </c>
      <c r="J60" s="214" t="n"/>
      <c r="K60" s="207" t="n"/>
      <c r="L60" s="424" t="n"/>
      <c r="M60" s="961" t="n"/>
      <c r="N60" s="214" t="n"/>
    </row>
    <row r="61">
      <c r="A61" s="207" t="n">
        <v>262041</v>
      </c>
      <c r="B61" s="209" t="inlineStr">
        <is>
          <t>Attacco A Clip A Bandiera - Clip Fisso - Scorrevole - Porta-Etichette In Carta</t>
        </is>
      </c>
      <c r="C61" s="207" t="n">
        <v>100</v>
      </c>
      <c r="D61" s="960" t="n">
        <v>0.0577</v>
      </c>
      <c r="E61" s="214" t="n"/>
      <c r="F61" s="262" t="n">
        <v>111131</v>
      </c>
      <c r="G61" s="263" t="inlineStr">
        <is>
          <t>Porta messaggi per formato A6 - 3 lati</t>
        </is>
      </c>
      <c r="H61" s="264" t="n">
        <v>10</v>
      </c>
      <c r="I61" s="265" t="n">
        <v>14.802</v>
      </c>
      <c r="J61" s="214" t="n"/>
      <c r="K61" s="207" t="n"/>
      <c r="L61" s="424" t="n"/>
      <c r="M61" s="961" t="n"/>
      <c r="N61" s="214" t="n"/>
    </row>
    <row r="62">
      <c r="A62" s="207" t="n">
        <v>262741</v>
      </c>
      <c r="B62" s="209" t="inlineStr">
        <is>
          <t>Attacco A Clip A Bandiera - Polivalente</t>
        </is>
      </c>
      <c r="C62" s="207" t="n">
        <v>100</v>
      </c>
      <c r="D62" s="960" t="n">
        <v>0.1027</v>
      </c>
      <c r="E62" s="214" t="n"/>
      <c r="F62" s="262" t="n">
        <v>111181</v>
      </c>
      <c r="G62" s="263" t="inlineStr">
        <is>
          <t>Piegato trasparente a 90° mm. 200 x 70</t>
        </is>
      </c>
      <c r="H62" s="264" t="n">
        <v>10</v>
      </c>
      <c r="I62" s="265" t="n">
        <v>1.786</v>
      </c>
      <c r="J62" s="214" t="n"/>
      <c r="K62" s="207" t="n"/>
      <c r="L62" s="424" t="n"/>
      <c r="M62" s="961" t="n"/>
      <c r="N62" s="214" t="n"/>
    </row>
    <row r="63">
      <c r="A63" s="207" t="n">
        <v>262072</v>
      </c>
      <c r="B63" s="209" t="inlineStr">
        <is>
          <t>Piede Shark - Scorrevole - Porta-Etichette In Carta</t>
        </is>
      </c>
      <c r="C63" s="207" t="n">
        <v>100</v>
      </c>
      <c r="D63" s="960" t="n">
        <v>0.5439000000000001</v>
      </c>
      <c r="E63" s="214" t="n"/>
      <c r="F63" s="262" t="n">
        <v>111187</v>
      </c>
      <c r="G63" s="263" t="inlineStr">
        <is>
          <t>Piegato trasparente a 90° mm. 150 x 50</t>
        </is>
      </c>
      <c r="H63" s="264" t="n">
        <v>10</v>
      </c>
      <c r="I63" s="265" t="n">
        <v>1.058</v>
      </c>
      <c r="J63" s="214" t="n"/>
      <c r="K63" s="207" t="n"/>
      <c r="L63" s="424" t="n"/>
      <c r="M63" s="961" t="n"/>
      <c r="N63" s="214" t="n"/>
    </row>
    <row r="64">
      <c r="A64" s="207" t="n">
        <v>262053</v>
      </c>
      <c r="B64" s="209" t="inlineStr">
        <is>
          <t>Piede Shark - Per Ripiano Trasforato - Clip In Metallo - 23mm</t>
        </is>
      </c>
      <c r="C64" s="207" t="n">
        <v>100</v>
      </c>
      <c r="D64" s="960" t="n">
        <v>0.3914</v>
      </c>
      <c r="E64" s="214" t="n"/>
      <c r="F64" s="262" t="n">
        <v>111201</v>
      </c>
      <c r="G64" s="263" t="inlineStr">
        <is>
          <t>Tasca promostop standard mm. 210 x 80</t>
        </is>
      </c>
      <c r="H64" s="264" t="n">
        <v>10</v>
      </c>
      <c r="I64" s="265" t="n">
        <v>0.615</v>
      </c>
      <c r="J64" s="214" t="n"/>
      <c r="K64" s="207" t="n"/>
      <c r="L64" s="424" t="n"/>
      <c r="M64" s="961" t="n"/>
      <c r="N64" s="214" t="n"/>
    </row>
    <row r="65">
      <c r="A65" s="207" t="n">
        <v>262055</v>
      </c>
      <c r="B65" s="209" t="inlineStr">
        <is>
          <t>Piede Shark - Per Ripiano Trasforato - Clip In Metallo  - 56mm</t>
        </is>
      </c>
      <c r="C65" s="207" t="n">
        <v>100</v>
      </c>
      <c r="D65" s="960" t="n">
        <v>0.3502</v>
      </c>
      <c r="E65" s="214" t="n"/>
      <c r="F65" s="262" t="n">
        <v>111300</v>
      </c>
      <c r="G65" s="263" t="inlineStr">
        <is>
          <t>Piegato trasparente a cavalletto formato A4</t>
        </is>
      </c>
      <c r="H65" s="264" t="n">
        <v>10</v>
      </c>
      <c r="I65" s="265" t="n">
        <v>5.606</v>
      </c>
      <c r="J65" s="214" t="n"/>
      <c r="K65" s="207" t="n"/>
      <c r="L65" s="424" t="n"/>
      <c r="M65" s="961" t="n"/>
      <c r="N65" s="214" t="n"/>
    </row>
    <row r="66">
      <c r="A66" s="207" t="n">
        <v>262099</v>
      </c>
      <c r="B66" s="209" t="inlineStr">
        <is>
          <t>Piede Shark - Piastra Magnetica - Piatta</t>
        </is>
      </c>
      <c r="C66" s="207" t="n">
        <v>25</v>
      </c>
      <c r="D66" s="960" t="n">
        <v>1.1536</v>
      </c>
      <c r="E66" s="214" t="n"/>
      <c r="F66" s="262" t="n">
        <v>111301</v>
      </c>
      <c r="G66" s="263" t="inlineStr">
        <is>
          <t>Piegato trasparente a cavalletto formato A6</t>
        </is>
      </c>
      <c r="H66" s="264" t="n">
        <v>10</v>
      </c>
      <c r="I66" s="265" t="n">
        <v>2.738</v>
      </c>
      <c r="J66" s="214" t="n"/>
      <c r="K66" s="207" t="n"/>
      <c r="L66" s="424" t="n"/>
      <c r="M66" s="961" t="n"/>
      <c r="N66" s="214" t="n"/>
    </row>
    <row r="67">
      <c r="A67" s="207" t="n">
        <v>262097</v>
      </c>
      <c r="B67" s="209" t="inlineStr">
        <is>
          <t>Piede Shark - Piastra Magnetica - Rialzata</t>
        </is>
      </c>
      <c r="C67" s="207" t="n">
        <v>25</v>
      </c>
      <c r="D67" s="960" t="n">
        <v>1.339</v>
      </c>
      <c r="E67" s="214" t="n"/>
      <c r="F67" s="262" t="n">
        <v>111302</v>
      </c>
      <c r="G67" s="263" t="inlineStr">
        <is>
          <t>Porta telefonino con messaggio</t>
        </is>
      </c>
      <c r="H67" s="264" t="n">
        <v>10</v>
      </c>
      <c r="I67" s="265" t="n">
        <v>7.155</v>
      </c>
      <c r="J67" s="214" t="n"/>
      <c r="K67" s="207" t="n"/>
      <c r="L67" s="424" t="n"/>
      <c r="M67" s="961" t="n"/>
      <c r="N67" s="214" t="n"/>
    </row>
    <row r="68">
      <c r="A68" s="207" t="n">
        <v>262102</v>
      </c>
      <c r="B68" s="209" t="inlineStr">
        <is>
          <t>Piede Shark - Piastra Magnetica - Con Piede</t>
        </is>
      </c>
      <c r="C68" s="207" t="n">
        <v>100</v>
      </c>
      <c r="D68" s="960" t="n">
        <v>0.8076</v>
      </c>
      <c r="E68" s="214" t="n"/>
      <c r="F68" s="262" t="n">
        <v>111302</v>
      </c>
      <c r="G68" s="263" t="inlineStr">
        <is>
          <t>Porta telefonino con messaggio</t>
        </is>
      </c>
      <c r="H68" s="264" t="n">
        <v>10</v>
      </c>
      <c r="I68" s="265" t="n">
        <v>9.757</v>
      </c>
      <c r="J68" s="214" t="n"/>
      <c r="K68" s="207" t="n"/>
      <c r="L68" s="424" t="n"/>
      <c r="M68" s="961" t="n"/>
      <c r="N68" s="214" t="n"/>
    </row>
    <row r="69">
      <c r="A69" s="207" t="n">
        <v>262110</v>
      </c>
      <c r="B69" s="209" t="inlineStr">
        <is>
          <t>Promobase Da APPoggio - Con GriPPer</t>
        </is>
      </c>
      <c r="C69" s="207" t="n">
        <v>10</v>
      </c>
      <c r="D69" s="960" t="n">
        <v>1.5347</v>
      </c>
      <c r="E69" s="214" t="n"/>
      <c r="F69" s="262" t="n">
        <v>111303</v>
      </c>
      <c r="G69" s="263" t="inlineStr">
        <is>
          <t>Piegato trasparente a cavalletto formato A5</t>
        </is>
      </c>
      <c r="H69" s="264" t="n">
        <v>10</v>
      </c>
      <c r="I69" s="265" t="n">
        <v>3.901</v>
      </c>
      <c r="J69" s="214" t="n"/>
      <c r="K69" s="207" t="n"/>
      <c r="L69" s="424" t="n"/>
      <c r="M69" s="961" t="n"/>
      <c r="N69" s="214" t="n"/>
    </row>
    <row r="70">
      <c r="A70" s="207" t="n">
        <v>262057</v>
      </c>
      <c r="B70" s="209" t="inlineStr">
        <is>
          <t>Piede Shark Con Calamita</t>
        </is>
      </c>
      <c r="C70" s="207" t="n">
        <v>25</v>
      </c>
      <c r="D70" s="960" t="n">
        <v>1.7997</v>
      </c>
      <c r="E70" s="214" t="n"/>
      <c r="F70" s="262" t="n">
        <v>111304</v>
      </c>
      <c r="G70" s="263" t="inlineStr">
        <is>
          <t>Porta telefonino senza messaggio</t>
        </is>
      </c>
      <c r="H70" s="264" t="n">
        <v>10</v>
      </c>
      <c r="I70" s="265" t="n">
        <v>3.205</v>
      </c>
      <c r="J70" s="214" t="n"/>
      <c r="K70" s="207" t="n"/>
      <c r="L70" s="424" t="n"/>
      <c r="M70" s="961" t="n"/>
      <c r="N70" s="214" t="n"/>
    </row>
    <row r="71">
      <c r="A71" s="207" t="n">
        <v>241083</v>
      </c>
      <c r="B71" s="209" t="inlineStr">
        <is>
          <t>Tasca Pvc 10 X 10 cm</t>
        </is>
      </c>
      <c r="C71" s="207" t="n">
        <v>100</v>
      </c>
      <c r="D71" s="960" t="n">
        <v>0.2575</v>
      </c>
      <c r="E71" s="214" t="n"/>
      <c r="F71" s="262" t="n">
        <v>111304</v>
      </c>
      <c r="G71" s="263" t="inlineStr">
        <is>
          <t>Porta telefonino senza messaggio</t>
        </is>
      </c>
      <c r="H71" s="264" t="n">
        <v>10</v>
      </c>
      <c r="I71" s="265" t="n">
        <v>4.371</v>
      </c>
      <c r="J71" s="214" t="n"/>
      <c r="K71" s="207" t="n"/>
      <c r="L71" s="424" t="n"/>
      <c r="M71" s="961" t="n"/>
      <c r="N71" s="214" t="n"/>
    </row>
    <row r="72">
      <c r="A72" s="207" t="n">
        <v>241089</v>
      </c>
      <c r="B72" s="209" t="inlineStr">
        <is>
          <t>Tasca Pvc 13 X 13 cm</t>
        </is>
      </c>
      <c r="C72" s="207" t="n">
        <v>100</v>
      </c>
      <c r="D72" s="960" t="n">
        <v>0.3914</v>
      </c>
      <c r="E72" s="214" t="n"/>
      <c r="F72" s="262" t="n">
        <v>111305</v>
      </c>
      <c r="G72" s="263" t="inlineStr">
        <is>
          <t>Piegato trasparente a cavalletto formato A3</t>
        </is>
      </c>
      <c r="H72" s="264" t="n">
        <v>10</v>
      </c>
      <c r="I72" s="265" t="n">
        <v>13.222</v>
      </c>
      <c r="J72" s="214" t="n"/>
      <c r="K72" s="207" t="n"/>
      <c r="L72" s="424" t="n"/>
      <c r="M72" s="961" t="n"/>
      <c r="N72" s="214" t="n"/>
    </row>
    <row r="73">
      <c r="A73" s="207" t="n">
        <v>241075</v>
      </c>
      <c r="B73" s="209" t="inlineStr">
        <is>
          <t>Tasca Pvc 20 X 20 cm</t>
        </is>
      </c>
      <c r="C73" s="207" t="n">
        <v>100</v>
      </c>
      <c r="D73" s="960" t="n">
        <v>0.515</v>
      </c>
      <c r="E73" s="214" t="n"/>
      <c r="F73" s="262" t="n">
        <v>111306</v>
      </c>
      <c r="G73" s="263" t="inlineStr">
        <is>
          <t>Porta telefonino</t>
        </is>
      </c>
      <c r="H73" s="264" t="n">
        <v>10</v>
      </c>
      <c r="I73" s="265" t="n">
        <v>5.821</v>
      </c>
      <c r="J73" s="214" t="n"/>
      <c r="K73" s="207" t="n"/>
      <c r="L73" s="424" t="n"/>
      <c r="M73" s="961" t="n"/>
      <c r="N73" s="214" t="n"/>
    </row>
    <row r="74">
      <c r="A74" s="207" t="n">
        <v>797108</v>
      </c>
      <c r="B74" s="209" t="inlineStr">
        <is>
          <t>GriPPer U 20 X 25 mm</t>
        </is>
      </c>
      <c r="C74" s="207" t="n">
        <v>100</v>
      </c>
      <c r="D74" s="960" t="n">
        <v>0.0433</v>
      </c>
      <c r="E74" s="214" t="n"/>
      <c r="F74" s="262" t="n">
        <v>111306</v>
      </c>
      <c r="G74" s="263" t="inlineStr">
        <is>
          <t>Porta telefonino</t>
        </is>
      </c>
      <c r="H74" s="264" t="n">
        <v>10</v>
      </c>
      <c r="I74" s="265" t="n">
        <v>7.938</v>
      </c>
      <c r="J74" s="214" t="n"/>
      <c r="K74" s="207" t="n"/>
      <c r="L74" s="424" t="n"/>
      <c r="M74" s="961" t="n"/>
      <c r="N74" s="214" t="n"/>
    </row>
    <row r="75">
      <c r="A75" s="207" t="n">
        <v>797109</v>
      </c>
      <c r="B75" s="209" t="inlineStr">
        <is>
          <t>Grip U - 20X75mm</t>
        </is>
      </c>
      <c r="C75" s="207" t="n">
        <v>100</v>
      </c>
      <c r="D75" s="960" t="n">
        <v>0.24</v>
      </c>
      <c r="E75" s="214" t="n"/>
      <c r="F75" s="262" t="n">
        <v>111307</v>
      </c>
      <c r="G75" s="263" t="inlineStr">
        <is>
          <t>Piegato trasparente a cavalletto verticale formato A6</t>
        </is>
      </c>
      <c r="H75" s="264" t="n">
        <v>10</v>
      </c>
      <c r="I75" s="265" t="n">
        <v>3.663</v>
      </c>
      <c r="J75" s="214" t="n"/>
      <c r="K75" s="207" t="n"/>
      <c r="L75" s="424" t="n"/>
      <c r="M75" s="961" t="n"/>
      <c r="N75" s="214" t="n"/>
    </row>
    <row r="76">
      <c r="A76" s="207" t="n">
        <v>792122</v>
      </c>
      <c r="B76" s="209" t="inlineStr">
        <is>
          <t>Aggancio Clip Frontale 20 X 20 mm</t>
        </is>
      </c>
      <c r="C76" s="207" t="n">
        <v>100</v>
      </c>
      <c r="D76" s="960" t="n">
        <v>0.0979</v>
      </c>
      <c r="E76" s="214" t="n"/>
      <c r="F76" s="262" t="n">
        <v>111308</v>
      </c>
      <c r="G76" s="263" t="inlineStr">
        <is>
          <t>Piegato trasparente a cavalletto verticale formato A5</t>
        </is>
      </c>
      <c r="H76" s="264" t="n">
        <v>10</v>
      </c>
      <c r="I76" s="265" t="n">
        <v>5.037</v>
      </c>
      <c r="J76" s="214" t="n"/>
      <c r="K76" s="207" t="n"/>
      <c r="L76" s="424" t="n"/>
      <c r="M76" s="961" t="n"/>
      <c r="N76" s="214" t="n"/>
    </row>
    <row r="77">
      <c r="A77" s="207" t="n">
        <v>170131</v>
      </c>
      <c r="B77" s="209" t="inlineStr">
        <is>
          <t>Pinza Per Ripiani Con Adesivo</t>
        </is>
      </c>
      <c r="C77" s="207" t="n">
        <v>30</v>
      </c>
      <c r="D77" s="960" t="n">
        <v>0.5381</v>
      </c>
      <c r="E77" s="214" t="n"/>
      <c r="F77" s="262" t="n">
        <v>111309</v>
      </c>
      <c r="G77" s="263" t="inlineStr">
        <is>
          <t>Piegato trasparente a cavalletto verticale formato A3</t>
        </is>
      </c>
      <c r="H77" s="264" t="n">
        <v>10</v>
      </c>
      <c r="I77" s="265" t="n">
        <v>19.146</v>
      </c>
      <c r="J77" s="214" t="n"/>
      <c r="K77" s="207" t="n"/>
      <c r="L77" s="424" t="n"/>
      <c r="M77" s="961" t="n"/>
      <c r="N77" s="214" t="n"/>
    </row>
    <row r="78">
      <c r="A78" s="207" t="n">
        <v>170130</v>
      </c>
      <c r="B78" s="209" t="inlineStr">
        <is>
          <t>Pinza Per Ripiani Senza Adesivo</t>
        </is>
      </c>
      <c r="C78" s="207" t="n">
        <v>30</v>
      </c>
      <c r="D78" s="960" t="n">
        <v>0.5099</v>
      </c>
      <c r="E78" s="214" t="n"/>
      <c r="F78" s="262" t="n">
        <v>111310</v>
      </c>
      <c r="G78" s="263" t="inlineStr">
        <is>
          <t>Piegato trasparente a cavalletto verticale formato A4</t>
        </is>
      </c>
      <c r="H78" s="264" t="n">
        <v>10</v>
      </c>
      <c r="I78" s="265" t="n">
        <v>8.714</v>
      </c>
      <c r="J78" s="214" t="n"/>
      <c r="K78" s="207" t="n"/>
      <c r="L78" s="424" t="n"/>
      <c r="M78" s="961" t="n"/>
      <c r="N78" s="214" t="n"/>
    </row>
    <row r="79">
      <c r="A79" s="207" t="n">
        <v>797180</v>
      </c>
      <c r="B79" s="209" t="inlineStr">
        <is>
          <t>GriPPer Per Filo Metallo 12 mm - Ø 10 mm</t>
        </is>
      </c>
      <c r="C79" s="207" t="n">
        <v>100</v>
      </c>
      <c r="D79" s="960" t="n">
        <v>0.0814</v>
      </c>
      <c r="E79" s="214" t="n"/>
      <c r="F79" s="262" t="n">
        <v>111312</v>
      </c>
      <c r="G79" s="263" t="inlineStr">
        <is>
          <t>Piegato per affissione formato A6</t>
        </is>
      </c>
      <c r="H79" s="264" t="n">
        <v>10</v>
      </c>
      <c r="I79" s="265" t="n">
        <v>2.649</v>
      </c>
      <c r="J79" s="214" t="n"/>
      <c r="K79" s="207" t="n"/>
      <c r="L79" s="424" t="n"/>
      <c r="M79" s="961" t="n"/>
      <c r="N79" s="214" t="n"/>
    </row>
    <row r="80">
      <c r="A80" s="207" t="n">
        <v>797182</v>
      </c>
      <c r="B80" s="209" t="inlineStr">
        <is>
          <t>GriPPer Per Filo Metallo 35 mm - Ø 10 mm</t>
        </is>
      </c>
      <c r="C80" s="207" t="n">
        <v>100</v>
      </c>
      <c r="D80" s="960" t="n">
        <v>0.1236</v>
      </c>
      <c r="E80" s="214" t="n"/>
      <c r="F80" s="262" t="n">
        <v>111313</v>
      </c>
      <c r="G80" s="263" t="inlineStr">
        <is>
          <t>Piegato per affissione formato A4</t>
        </is>
      </c>
      <c r="H80" s="264" t="n">
        <v>10</v>
      </c>
      <c r="I80" s="265" t="n">
        <v>6.129</v>
      </c>
      <c r="J80" s="214" t="n"/>
      <c r="K80" s="207" t="n"/>
      <c r="L80" s="424" t="n"/>
      <c r="M80" s="961" t="n"/>
      <c r="N80" s="214" t="n"/>
    </row>
    <row r="81">
      <c r="A81" s="207" t="n">
        <v>797194</v>
      </c>
      <c r="B81" s="209" t="inlineStr">
        <is>
          <t>GriPPer Per Filo Metallo 17 mm - Ø 6 mm</t>
        </is>
      </c>
      <c r="C81" s="207" t="n">
        <v>100</v>
      </c>
      <c r="D81" s="960" t="n">
        <v>0.1545</v>
      </c>
      <c r="E81" s="214" t="n"/>
      <c r="F81" s="262" t="n">
        <v>111314</v>
      </c>
      <c r="G81" s="263" t="inlineStr">
        <is>
          <t>Piegato per affissione formato A5</t>
        </is>
      </c>
      <c r="H81" s="264" t="n">
        <v>10</v>
      </c>
      <c r="I81" s="265" t="n">
        <v>4.583</v>
      </c>
      <c r="J81" s="214" t="n"/>
      <c r="K81" s="207" t="n"/>
      <c r="L81" s="424" t="n"/>
      <c r="M81" s="961" t="n"/>
      <c r="N81" s="214" t="n"/>
    </row>
    <row r="82">
      <c r="A82" s="207" t="n">
        <v>797198</v>
      </c>
      <c r="B82" s="209" t="inlineStr">
        <is>
          <t>GriPPer Per Filo Metallo 50 mm - Ø 10 mm</t>
        </is>
      </c>
      <c r="C82" s="207" t="n">
        <v>100</v>
      </c>
      <c r="D82" s="960" t="n">
        <v>0.2215</v>
      </c>
      <c r="E82" s="214" t="n"/>
      <c r="F82" s="262" t="n">
        <v>111315</v>
      </c>
      <c r="G82" s="263" t="inlineStr">
        <is>
          <t>Piegato porta cataloghi o depliants</t>
        </is>
      </c>
      <c r="H82" s="264" t="n">
        <v>10</v>
      </c>
      <c r="I82" s="265" t="n">
        <v>7.876</v>
      </c>
      <c r="J82" s="214" t="n"/>
      <c r="K82" s="207" t="n"/>
      <c r="L82" s="424" t="n"/>
      <c r="M82" s="961" t="n"/>
      <c r="N82" s="214" t="n"/>
    </row>
    <row r="83">
      <c r="A83" s="207" t="n">
        <v>262005</v>
      </c>
      <c r="B83" s="209" t="inlineStr">
        <is>
          <t>SuPPorto GriPPer Porta Coupon 118X8</t>
        </is>
      </c>
      <c r="C83" s="207" t="n">
        <v>100</v>
      </c>
      <c r="D83" s="960" t="n">
        <v>0.5326</v>
      </c>
      <c r="E83" s="214" t="n"/>
      <c r="F83" s="262" t="n">
        <v>111315</v>
      </c>
      <c r="G83" s="263" t="inlineStr">
        <is>
          <t>Piegato porta cataloghi o depliants</t>
        </is>
      </c>
      <c r="H83" s="264" t="n">
        <v>10</v>
      </c>
      <c r="I83" s="265" t="n">
        <v>10.74</v>
      </c>
      <c r="J83" s="214" t="n"/>
      <c r="K83" s="207" t="n"/>
      <c r="L83" s="424" t="n"/>
      <c r="M83" s="961" t="n"/>
      <c r="N83" s="214" t="n"/>
    </row>
    <row r="84">
      <c r="A84" s="207" t="n">
        <v>262007</v>
      </c>
      <c r="B84" s="209" t="inlineStr">
        <is>
          <t>SuPPorto GriPPer Porta Coupon 118X18</t>
        </is>
      </c>
      <c r="C84" s="207" t="n">
        <v>100</v>
      </c>
      <c r="D84" s="960" t="n">
        <v>0.6901</v>
      </c>
      <c r="E84" s="214" t="n"/>
      <c r="F84" s="262" t="n">
        <v>111316</v>
      </c>
      <c r="G84" s="263" t="inlineStr">
        <is>
          <t>Piegato per affissione formato A3</t>
        </is>
      </c>
      <c r="H84" s="264" t="n">
        <v>10</v>
      </c>
      <c r="I84" s="265" t="n">
        <v>11.587</v>
      </c>
      <c r="J84" s="214" t="n"/>
      <c r="K84" s="207" t="n"/>
      <c r="L84" s="424" t="n"/>
      <c r="M84" s="961" t="n"/>
      <c r="N84" s="214" t="n"/>
    </row>
    <row r="85">
      <c r="A85" s="207" t="n">
        <v>262001</v>
      </c>
      <c r="B85" s="209" t="inlineStr">
        <is>
          <t>SuPPorto Gommapiuma Porta Coupon 118X8</t>
        </is>
      </c>
      <c r="C85" s="207" t="n">
        <v>100</v>
      </c>
      <c r="D85" s="960" t="n">
        <v>0.717</v>
      </c>
      <c r="E85" s="214" t="n"/>
      <c r="F85" s="262" t="n">
        <v>111317</v>
      </c>
      <c r="G85" s="263" t="inlineStr">
        <is>
          <t>Porta calendario da banco</t>
        </is>
      </c>
      <c r="H85" s="264" t="n">
        <v>10</v>
      </c>
      <c r="I85" s="265" t="n">
        <v>7.865</v>
      </c>
      <c r="J85" s="214" t="n"/>
      <c r="K85" s="207" t="n"/>
      <c r="L85" s="424" t="n"/>
      <c r="M85" s="961" t="n"/>
      <c r="N85" s="214" t="n"/>
    </row>
    <row r="86">
      <c r="A86" s="207" t="n">
        <v>262003</v>
      </c>
      <c r="B86" s="209" t="inlineStr">
        <is>
          <t>SuPPorto Gommapiuma Porta Coupon 118X18</t>
        </is>
      </c>
      <c r="C86" s="207" t="n">
        <v>100</v>
      </c>
      <c r="D86" s="960" t="n">
        <v>0.8137</v>
      </c>
      <c r="E86" s="214" t="n"/>
      <c r="F86" s="262" t="n">
        <v>111317</v>
      </c>
      <c r="G86" s="263" t="inlineStr">
        <is>
          <t>Porta calendario da banco</t>
        </is>
      </c>
      <c r="H86" s="264" t="n">
        <v>10</v>
      </c>
      <c r="I86" s="265" t="n">
        <v>10.725</v>
      </c>
      <c r="J86" s="214" t="n"/>
      <c r="K86" s="207" t="n"/>
      <c r="L86" s="424" t="n"/>
      <c r="M86" s="961" t="n"/>
      <c r="N86" s="214" t="n"/>
    </row>
    <row r="87">
      <c r="A87" s="207" t="n">
        <v>950900</v>
      </c>
      <c r="B87" s="209" t="inlineStr">
        <is>
          <t>Clip Portacoupon Senza Adesivo 29X13mm</t>
        </is>
      </c>
      <c r="C87" s="207" t="n">
        <v>50</v>
      </c>
      <c r="D87" s="960" t="n">
        <v>0.1051</v>
      </c>
      <c r="E87" s="214" t="n"/>
      <c r="F87" s="262" t="n">
        <v>111321</v>
      </c>
      <c r="G87" s="263" t="inlineStr">
        <is>
          <t>Porta tablet</t>
        </is>
      </c>
      <c r="H87" s="264" t="n">
        <v>10</v>
      </c>
      <c r="I87" s="265" t="n">
        <v>5.278</v>
      </c>
      <c r="J87" s="214" t="n"/>
      <c r="K87" s="207" t="n"/>
      <c r="L87" s="424" t="n"/>
      <c r="M87" s="961" t="n"/>
      <c r="N87" s="214" t="n"/>
    </row>
    <row r="88">
      <c r="A88" s="207" t="n">
        <v>950902</v>
      </c>
      <c r="B88" s="209" t="inlineStr">
        <is>
          <t>Clip Portacoupon Senza Adesivo 60X13mm</t>
        </is>
      </c>
      <c r="C88" s="207" t="n">
        <v>50</v>
      </c>
      <c r="D88" s="960" t="n">
        <v>0.103</v>
      </c>
      <c r="E88" s="214" t="n"/>
      <c r="F88" s="262" t="n">
        <v>111321</v>
      </c>
      <c r="G88" s="263" t="inlineStr">
        <is>
          <t>Porta tablet</t>
        </is>
      </c>
      <c r="H88" s="264" t="n">
        <v>10</v>
      </c>
      <c r="I88" s="265" t="n">
        <v>7.197</v>
      </c>
      <c r="J88" s="214" t="n"/>
      <c r="K88" s="207" t="n"/>
      <c r="L88" s="424" t="n"/>
      <c r="M88" s="961" t="n"/>
      <c r="N88" s="214" t="n"/>
    </row>
    <row r="89">
      <c r="A89" s="207" t="n">
        <v>262045</v>
      </c>
      <c r="B89" s="209" t="inlineStr">
        <is>
          <t>Attacco Porta Coupon</t>
        </is>
      </c>
      <c r="C89" s="207" t="n">
        <v>100</v>
      </c>
      <c r="D89" s="960" t="n">
        <v>0.1597</v>
      </c>
      <c r="E89" s="214" t="n"/>
      <c r="F89" s="262" t="n">
        <v>111330</v>
      </c>
      <c r="G89" s="263" t="inlineStr">
        <is>
          <t>Porta messaggio a cavalletto formato A6 orizzontale</t>
        </is>
      </c>
      <c r="H89" s="264" t="n">
        <v>10</v>
      </c>
      <c r="I89" s="265" t="n">
        <v>1.869</v>
      </c>
      <c r="J89" s="214" t="n"/>
      <c r="K89" s="207" t="n"/>
      <c r="L89" s="424" t="n"/>
      <c r="M89" s="961" t="n"/>
      <c r="N89" s="214" t="n"/>
    </row>
    <row r="90">
      <c r="A90" s="207" t="n">
        <v>841211</v>
      </c>
      <c r="B90" s="209" t="inlineStr">
        <is>
          <t>Multimag Plus - Lunghezza: 26 cm</t>
        </is>
      </c>
      <c r="C90" s="207" t="n">
        <v>10</v>
      </c>
      <c r="D90" s="960" t="n">
        <v>3.502</v>
      </c>
      <c r="E90" s="214" t="n"/>
      <c r="F90" s="262" t="n">
        <v>111331</v>
      </c>
      <c r="G90" s="263" t="inlineStr">
        <is>
          <t>Porta messaggio a cavalletto formato A5</t>
        </is>
      </c>
      <c r="H90" s="264" t="n">
        <v>10</v>
      </c>
      <c r="I90" s="265" t="n">
        <v>2.444</v>
      </c>
      <c r="J90" s="214" t="n"/>
      <c r="K90" s="207" t="n"/>
      <c r="L90" s="424" t="n"/>
      <c r="M90" s="961" t="n"/>
      <c r="N90" s="214" t="n"/>
    </row>
    <row r="91">
      <c r="A91" s="207" t="n">
        <v>841221</v>
      </c>
      <c r="B91" s="209" t="inlineStr">
        <is>
          <t>Multimag Plus - Lunghezza: 42 cm</t>
        </is>
      </c>
      <c r="C91" s="207" t="n">
        <v>10</v>
      </c>
      <c r="D91" s="960" t="n">
        <v>4.326</v>
      </c>
      <c r="E91" s="214" t="n"/>
      <c r="F91" s="262" t="n">
        <v>111332</v>
      </c>
      <c r="G91" s="263" t="inlineStr">
        <is>
          <t>Porta messaggio a cavalletto formato A4</t>
        </is>
      </c>
      <c r="H91" s="264" t="n">
        <v>10</v>
      </c>
      <c r="I91" s="265" t="n">
        <v>4.4</v>
      </c>
      <c r="J91" s="214" t="n"/>
      <c r="K91" s="207" t="n"/>
      <c r="L91" s="424" t="n"/>
      <c r="M91" s="961" t="n"/>
      <c r="N91" s="214" t="n"/>
    </row>
    <row r="92">
      <c r="A92" s="207" t="n">
        <v>841213</v>
      </c>
      <c r="B92" s="209" t="inlineStr">
        <is>
          <t>Multimag Plus - Lunghezza: 34 A 44 cm</t>
        </is>
      </c>
      <c r="C92" s="207" t="n">
        <v>10</v>
      </c>
      <c r="D92" s="960" t="n">
        <v>5.356</v>
      </c>
      <c r="E92" s="214" t="n"/>
      <c r="F92" s="262" t="n">
        <v>111333</v>
      </c>
      <c r="G92" s="263" t="inlineStr">
        <is>
          <t>Porta messaggio a cavalletto formato A3</t>
        </is>
      </c>
      <c r="H92" s="264" t="n">
        <v>5</v>
      </c>
      <c r="I92" s="265" t="n">
        <v>14.866</v>
      </c>
      <c r="J92" s="214" t="n"/>
      <c r="K92" s="207" t="n"/>
      <c r="L92" s="424" t="n"/>
      <c r="M92" s="961" t="n"/>
      <c r="N92" s="214" t="n"/>
    </row>
    <row r="93">
      <c r="A93" s="207" t="n">
        <v>841209</v>
      </c>
      <c r="B93" s="209" t="inlineStr">
        <is>
          <t>Multimag Plus - Lunghezza 26 cm</t>
        </is>
      </c>
      <c r="C93" s="207" t="n">
        <v>10</v>
      </c>
      <c r="D93" s="960" t="n">
        <v>3.502</v>
      </c>
      <c r="E93" s="214" t="n"/>
      <c r="F93" s="262" t="n">
        <v>111380</v>
      </c>
      <c r="G93" s="263" t="inlineStr">
        <is>
          <t>Trilato in pvc trasparente</t>
        </is>
      </c>
      <c r="H93" s="264" t="n">
        <v>10</v>
      </c>
      <c r="I93" s="265" t="n">
        <v>0.372</v>
      </c>
      <c r="J93" s="214" t="n"/>
      <c r="K93" s="207" t="n"/>
      <c r="L93" s="424" t="n"/>
      <c r="M93" s="961" t="n"/>
      <c r="N93" s="214" t="n"/>
    </row>
    <row r="94">
      <c r="A94" s="207" t="n">
        <v>841201</v>
      </c>
      <c r="B94" s="209" t="inlineStr">
        <is>
          <t>Multimag - Lunghezza 26 cm</t>
        </is>
      </c>
      <c r="C94" s="207" t="n">
        <v>10</v>
      </c>
      <c r="D94" s="960" t="n">
        <v>3.193</v>
      </c>
      <c r="E94" s="214" t="n"/>
      <c r="F94" s="262" t="n">
        <v>111390</v>
      </c>
      <c r="G94" s="263" t="inlineStr">
        <is>
          <t>Maxi trilato in pvc trasparente</t>
        </is>
      </c>
      <c r="H94" s="264" t="n">
        <v>10</v>
      </c>
      <c r="I94" s="265" t="n">
        <v>0.425</v>
      </c>
      <c r="J94" s="214" t="n"/>
      <c r="K94" s="207" t="n"/>
      <c r="L94" s="424" t="n"/>
      <c r="M94" s="961" t="n"/>
      <c r="N94" s="214" t="n"/>
    </row>
    <row r="95">
      <c r="A95" s="207" t="n">
        <v>841203</v>
      </c>
      <c r="B95" s="209" t="inlineStr">
        <is>
          <t>Multimag - Lunghezza 26 cm</t>
        </is>
      </c>
      <c r="C95" s="207" t="n">
        <v>10</v>
      </c>
      <c r="D95" s="960" t="n">
        <v>3.193</v>
      </c>
      <c r="E95" s="214" t="n"/>
      <c r="F95" s="262" t="n">
        <v>111395</v>
      </c>
      <c r="G95" s="263" t="inlineStr">
        <is>
          <t>Porta messaggi magnetico mm 95x65</t>
        </is>
      </c>
      <c r="H95" s="264" t="n">
        <v>10</v>
      </c>
      <c r="I95" s="265" t="n">
        <v>11.786</v>
      </c>
      <c r="J95" s="214" t="n"/>
      <c r="K95" s="207" t="n"/>
      <c r="L95" s="424" t="n"/>
      <c r="M95" s="961" t="n"/>
      <c r="N95" s="214" t="n"/>
    </row>
    <row r="96">
      <c r="A96" s="207" t="n">
        <v>950830</v>
      </c>
      <c r="B96" s="209" t="inlineStr">
        <is>
          <t>Braccio Ad Z Con Promo Base</t>
        </is>
      </c>
      <c r="C96" s="207" t="n">
        <v>5</v>
      </c>
      <c r="D96" s="960" t="n">
        <v>7.725</v>
      </c>
      <c r="E96" s="214" t="n"/>
      <c r="F96" s="262" t="n">
        <v>111396</v>
      </c>
      <c r="G96" s="263" t="inlineStr">
        <is>
          <t>Porta messaggi magnetico formato A6</t>
        </is>
      </c>
      <c r="H96" s="264" t="n">
        <v>10</v>
      </c>
      <c r="I96" s="265" t="n">
        <v>16.407</v>
      </c>
      <c r="J96" s="214" t="n"/>
      <c r="K96" s="207" t="n"/>
      <c r="L96" s="424" t="n"/>
      <c r="M96" s="961" t="n"/>
      <c r="N96" s="214" t="n"/>
    </row>
    <row r="97">
      <c r="A97" s="207" t="n">
        <v>950834</v>
      </c>
      <c r="B97" s="209" t="inlineStr">
        <is>
          <t>Braccio Magnetico Alto - Clip A Molla Da 300 A 500mm</t>
        </is>
      </c>
      <c r="C97" s="207" t="n">
        <v>10</v>
      </c>
      <c r="D97" s="960" t="n">
        <v>3.3424</v>
      </c>
      <c r="E97" s="214" t="n"/>
      <c r="F97" s="262" t="n">
        <v>111397</v>
      </c>
      <c r="G97" s="263" t="inlineStr">
        <is>
          <t>Porta messaggi magnetico formato A5</t>
        </is>
      </c>
      <c r="H97" s="264" t="n">
        <v>5</v>
      </c>
      <c r="I97" s="265" t="n">
        <v>26.654</v>
      </c>
      <c r="J97" s="214" t="n"/>
      <c r="K97" s="207" t="n"/>
      <c r="L97" s="424" t="n"/>
      <c r="M97" s="961" t="n"/>
      <c r="N97" s="214" t="n"/>
    </row>
    <row r="98">
      <c r="A98" s="207" t="n">
        <v>950802</v>
      </c>
      <c r="B98" s="209" t="inlineStr">
        <is>
          <t>Mini Braccio In Pvc - Base Magnetica</t>
        </is>
      </c>
      <c r="C98" s="207" t="n">
        <v>10</v>
      </c>
      <c r="D98" s="960" t="n">
        <v>1.9261</v>
      </c>
      <c r="E98" s="214" t="n"/>
      <c r="F98" s="262" t="n">
        <v>111398</v>
      </c>
      <c r="G98" s="263" t="inlineStr">
        <is>
          <t>Porta messaggi magnetico formato A4</t>
        </is>
      </c>
      <c r="H98" s="264" t="n">
        <v>5</v>
      </c>
      <c r="I98" s="265" t="n">
        <v>106.574</v>
      </c>
      <c r="J98" s="214" t="n"/>
      <c r="K98" s="207" t="n"/>
      <c r="L98" s="424" t="n"/>
      <c r="M98" s="961" t="n"/>
      <c r="N98" s="214" t="n"/>
    </row>
    <row r="99">
      <c r="A99" s="207" t="n">
        <v>950800</v>
      </c>
      <c r="B99" s="209" t="inlineStr">
        <is>
          <t>Mini Braccio In Pvc - Base Adesiva</t>
        </is>
      </c>
      <c r="C99" s="207" t="n">
        <v>20</v>
      </c>
      <c r="D99" s="960" t="n">
        <v>1.0815</v>
      </c>
      <c r="E99" s="214" t="n"/>
      <c r="F99" s="262" t="n">
        <v>111433</v>
      </c>
      <c r="G99" s="263" t="inlineStr">
        <is>
          <t>Tubo trasparente in pvc lunghezza mm. 300 diametro 38 mm.</t>
        </is>
      </c>
      <c r="H99" s="264" t="n">
        <v>10</v>
      </c>
      <c r="I99" s="265" t="n">
        <v>0.804</v>
      </c>
      <c r="J99" s="214" t="n"/>
      <c r="K99" s="207" t="n"/>
      <c r="L99" s="424" t="n"/>
      <c r="M99" s="961" t="n"/>
      <c r="N99" s="214" t="n"/>
    </row>
    <row r="100">
      <c r="A100" s="207" t="n">
        <v>841610</v>
      </c>
      <c r="B100" s="209" t="inlineStr">
        <is>
          <t>Braccio Pvc - Con Ganci</t>
        </is>
      </c>
      <c r="C100" s="207" t="n">
        <v>50</v>
      </c>
      <c r="D100" s="960" t="n">
        <v>1.2256</v>
      </c>
      <c r="E100" s="214" t="n"/>
      <c r="F100" s="262" t="n">
        <v>111434</v>
      </c>
      <c r="G100" s="263" t="inlineStr">
        <is>
          <t>Tubo trasparente in pvc lunghezza mm .350 diametro 38 mm.</t>
        </is>
      </c>
      <c r="H100" s="264" t="n">
        <v>10</v>
      </c>
      <c r="I100" s="265" t="n">
        <v>0.9370000000000001</v>
      </c>
      <c r="J100" s="214" t="n"/>
      <c r="K100" s="207" t="n"/>
      <c r="L100" s="424" t="n"/>
      <c r="M100" s="961" t="n"/>
      <c r="N100" s="214" t="n"/>
    </row>
    <row r="101">
      <c r="A101" s="207" t="n">
        <v>841511</v>
      </c>
      <c r="B101" s="209" t="inlineStr">
        <is>
          <t>Braccio Multibase  - Barra Di Carico</t>
        </is>
      </c>
      <c r="C101" s="207" t="n">
        <v>10</v>
      </c>
      <c r="D101" s="960" t="n">
        <v>3.605</v>
      </c>
      <c r="E101" s="214" t="n"/>
      <c r="F101" s="267" t="n">
        <v>111441</v>
      </c>
      <c r="G101" s="263" t="inlineStr">
        <is>
          <t>Tubo trasparente in pvc lunghezza mm. 100 diametro 38 mm.</t>
        </is>
      </c>
      <c r="H101" s="264" t="n">
        <v>10</v>
      </c>
      <c r="I101" s="265" t="n">
        <v>0.268</v>
      </c>
      <c r="J101" s="214" t="n"/>
      <c r="K101" s="207" t="n"/>
      <c r="L101" s="424" t="n"/>
      <c r="M101" s="961" t="n"/>
      <c r="N101" s="214" t="n"/>
    </row>
    <row r="102">
      <c r="A102" s="207" t="n">
        <v>841513</v>
      </c>
      <c r="B102" s="209" t="inlineStr">
        <is>
          <t>Braccio Multibase - Calamita</t>
        </is>
      </c>
      <c r="C102" s="207" t="n">
        <v>10</v>
      </c>
      <c r="D102" s="960" t="n">
        <v>6.9525</v>
      </c>
      <c r="E102" s="214" t="n"/>
      <c r="F102" s="267" t="n">
        <v>111450</v>
      </c>
      <c r="G102" s="263" t="inlineStr">
        <is>
          <t>Tappi rigidi superiori per display sis (per ripiano)</t>
        </is>
      </c>
      <c r="H102" s="264" t="n">
        <v>40</v>
      </c>
      <c r="I102" s="265" t="n">
        <v>0.357</v>
      </c>
      <c r="J102" s="214" t="n"/>
      <c r="K102" s="207" t="n"/>
      <c r="L102" s="424" t="n"/>
      <c r="M102" s="961" t="n"/>
      <c r="N102" s="214" t="n"/>
    </row>
    <row r="103">
      <c r="A103" s="209" t="n">
        <v>841515</v>
      </c>
      <c r="B103" s="209" t="inlineStr">
        <is>
          <t>Braccio Multibase  - Cremagliera</t>
        </is>
      </c>
      <c r="C103" s="209" t="n">
        <v>10</v>
      </c>
      <c r="D103" s="960" t="n">
        <v>4.8925</v>
      </c>
      <c r="E103" s="215" t="n"/>
      <c r="F103" s="267" t="n">
        <v>111451</v>
      </c>
      <c r="G103" s="263" t="inlineStr">
        <is>
          <t>Tappi morbidi inferiori per display sis (per ripiano)</t>
        </is>
      </c>
      <c r="H103" s="264" t="n">
        <v>40</v>
      </c>
      <c r="I103" s="265" t="n">
        <v>0.439</v>
      </c>
      <c r="J103" s="215" t="n"/>
      <c r="K103" s="209" t="n"/>
      <c r="L103" s="425" t="n"/>
      <c r="M103" s="962" t="n"/>
      <c r="N103" s="215" t="n"/>
    </row>
    <row r="104">
      <c r="A104" s="207" t="n">
        <v>841517</v>
      </c>
      <c r="B104" s="209" t="inlineStr">
        <is>
          <t>Multibase Braccio - Parete A Doghe</t>
        </is>
      </c>
      <c r="C104" s="207" t="n">
        <v>10</v>
      </c>
      <c r="D104" s="960" t="n">
        <v>5.0985</v>
      </c>
      <c r="E104" s="214" t="n"/>
      <c r="F104" s="267" t="n">
        <v>111452</v>
      </c>
      <c r="G104" s="263" t="inlineStr">
        <is>
          <t>Tappo bianco morbido per tubi diametro mm. 36/38</t>
        </is>
      </c>
      <c r="H104" s="264" t="n">
        <v>100</v>
      </c>
      <c r="I104" s="265" t="n">
        <v>0.236</v>
      </c>
      <c r="J104" s="214" t="n"/>
      <c r="K104" s="207" t="n"/>
      <c r="L104" s="424" t="n"/>
      <c r="M104" s="961" t="n"/>
      <c r="N104" s="214" t="n"/>
    </row>
    <row r="105">
      <c r="A105" s="209" t="n">
        <v>841521</v>
      </c>
      <c r="B105" s="209" t="inlineStr">
        <is>
          <t>Braccio Multibase  - Fondo Forato</t>
        </is>
      </c>
      <c r="C105" s="209" t="n">
        <v>10</v>
      </c>
      <c r="D105" s="960" t="n">
        <v>5.0985</v>
      </c>
      <c r="E105" s="215" t="n"/>
      <c r="F105" s="267" t="n">
        <v>111454</v>
      </c>
      <c r="G105" s="263" t="inlineStr">
        <is>
          <t>Kit completo di 4 ruote di cui 2 con fermo</t>
        </is>
      </c>
      <c r="H105" s="264" t="n">
        <v>10</v>
      </c>
      <c r="I105" s="265" t="n">
        <v>4.101</v>
      </c>
      <c r="J105" s="215" t="n"/>
      <c r="K105" s="209" t="n"/>
      <c r="L105" s="425" t="n"/>
      <c r="M105" s="962" t="n"/>
      <c r="N105" s="215" t="n"/>
    </row>
    <row r="106" ht="12.75" customHeight="1">
      <c r="A106" s="207" t="n">
        <v>950836</v>
      </c>
      <c r="B106" s="209" t="inlineStr">
        <is>
          <t>Braccio Telescopico Promobase Magnetico - Asta Da 400 A 850mm</t>
        </is>
      </c>
      <c r="C106" s="207" t="n">
        <v>5</v>
      </c>
      <c r="D106" s="960" t="n">
        <v>7.416</v>
      </c>
      <c r="E106" s="215" t="n"/>
      <c r="F106" s="267" t="n">
        <v>111459</v>
      </c>
      <c r="G106" s="263" t="inlineStr">
        <is>
          <t>Piegò 7000</t>
        </is>
      </c>
      <c r="H106" s="264" t="n">
        <v>50</v>
      </c>
      <c r="I106" s="265" t="n">
        <v>1.413</v>
      </c>
      <c r="J106" s="215" t="n"/>
      <c r="K106" s="207" t="n"/>
      <c r="L106" s="425" t="n"/>
      <c r="M106" s="961" t="n"/>
      <c r="N106" s="215" t="n"/>
    </row>
    <row r="107" ht="12.75" customHeight="1">
      <c r="A107" s="207" t="n">
        <v>841530</v>
      </c>
      <c r="B107" s="209" t="inlineStr">
        <is>
          <t>Braccio Telescopico A Cremagliera - Asta Da 450 A 850mm</t>
        </is>
      </c>
      <c r="C107" s="207" t="n">
        <v>10</v>
      </c>
      <c r="D107" s="960" t="n">
        <v>4.8925</v>
      </c>
      <c r="E107" s="215" t="n"/>
      <c r="F107" s="267" t="n">
        <v>111460</v>
      </c>
      <c r="G107" s="263" t="inlineStr">
        <is>
          <t>Piegò 5000</t>
        </is>
      </c>
      <c r="H107" s="264" t="n">
        <v>50</v>
      </c>
      <c r="I107" s="265" t="n">
        <v>1.928</v>
      </c>
      <c r="J107" s="215" t="n"/>
      <c r="K107" s="207" t="n"/>
      <c r="L107" s="425" t="n"/>
      <c r="M107" s="961" t="n"/>
      <c r="N107" s="215" t="n"/>
    </row>
    <row r="108">
      <c r="A108" s="207" t="n">
        <v>950820</v>
      </c>
      <c r="B108" s="209" t="inlineStr">
        <is>
          <t>Braccio Fisso In Alluminio - Base A Ventosa</t>
        </is>
      </c>
      <c r="C108" s="207" t="n">
        <v>10</v>
      </c>
      <c r="D108" s="960" t="n">
        <v>2.0085</v>
      </c>
      <c r="E108" s="214" t="n"/>
      <c r="F108" s="267" t="n">
        <v>111461</v>
      </c>
      <c r="G108" s="263" t="inlineStr">
        <is>
          <t>Piegò 4000</t>
        </is>
      </c>
      <c r="H108" s="264" t="n">
        <v>50</v>
      </c>
      <c r="I108" s="265" t="n">
        <v>2.723</v>
      </c>
      <c r="J108" s="214" t="n"/>
      <c r="K108" s="208" t="n"/>
      <c r="L108" s="424" t="n"/>
      <c r="M108" s="961" t="n"/>
      <c r="N108" s="214" t="n"/>
    </row>
    <row r="109">
      <c r="A109" s="207" t="n">
        <v>797621</v>
      </c>
      <c r="B109" s="209" t="inlineStr">
        <is>
          <t>Reggi-Asta - Ø 5-7 mm - SuPPorto Adesivo 60°</t>
        </is>
      </c>
      <c r="C109" s="207" t="n">
        <v>100</v>
      </c>
      <c r="D109" s="960" t="n">
        <v>0.1545</v>
      </c>
      <c r="E109" s="214" t="n"/>
      <c r="F109" s="267" t="n">
        <v>111466</v>
      </c>
      <c r="G109" s="263" t="inlineStr">
        <is>
          <t>Perfecto 7000 orizzontale</t>
        </is>
      </c>
      <c r="H109" s="264" t="n">
        <v>50</v>
      </c>
      <c r="I109" s="265" t="n">
        <v>1.974</v>
      </c>
      <c r="J109" s="214" t="n"/>
      <c r="K109" s="208" t="n"/>
      <c r="L109" s="424" t="n"/>
      <c r="M109" s="961" t="n"/>
      <c r="N109" s="214" t="n"/>
    </row>
    <row r="110">
      <c r="A110" s="207" t="n">
        <v>797622</v>
      </c>
      <c r="B110" s="209" t="inlineStr">
        <is>
          <t>Reggi-Asta - Ø 5-7 mm - SuPPorto Adesivo 90°</t>
        </is>
      </c>
      <c r="C110" s="207" t="n">
        <v>100</v>
      </c>
      <c r="D110" s="960" t="n">
        <v>0.1442</v>
      </c>
      <c r="E110" s="214" t="n"/>
      <c r="F110" s="267" t="n">
        <v>111471</v>
      </c>
      <c r="G110" s="263" t="inlineStr">
        <is>
          <t>Perfecto 5000</t>
        </is>
      </c>
      <c r="H110" s="264" t="n">
        <v>50</v>
      </c>
      <c r="I110" s="265" t="n">
        <v>1.72</v>
      </c>
      <c r="J110" s="214" t="n"/>
      <c r="K110" s="208" t="n"/>
      <c r="L110" s="424" t="n"/>
      <c r="M110" s="961" t="n"/>
      <c r="N110" s="214" t="n"/>
    </row>
    <row r="111">
      <c r="A111" s="207" t="n">
        <v>792664</v>
      </c>
      <c r="B111" s="209" t="inlineStr">
        <is>
          <t>Asta - Ø 5-7 mm - Lunghezza 300mm</t>
        </is>
      </c>
      <c r="C111" s="207" t="n">
        <v>100</v>
      </c>
      <c r="D111" s="960" t="n">
        <v>0.2369</v>
      </c>
      <c r="E111" s="214" t="n"/>
      <c r="F111" s="267" t="n">
        <v>111472</v>
      </c>
      <c r="G111" s="263" t="inlineStr">
        <is>
          <t>Perfecto 4000</t>
        </is>
      </c>
      <c r="H111" s="264" t="n">
        <v>20</v>
      </c>
      <c r="I111" s="265" t="n">
        <v>3.588</v>
      </c>
      <c r="J111" s="214" t="n"/>
      <c r="K111" s="208" t="n"/>
      <c r="L111" s="424" t="n"/>
      <c r="M111" s="961" t="n"/>
      <c r="N111" s="214" t="n"/>
    </row>
    <row r="112">
      <c r="A112" s="209" t="n">
        <v>797618</v>
      </c>
      <c r="B112" s="209" t="inlineStr">
        <is>
          <t>Asta - Ø 5-7 mm - Lunghezza 500mm</t>
        </is>
      </c>
      <c r="C112" s="209" t="n">
        <v>100</v>
      </c>
      <c r="D112" s="960" t="n">
        <v>0.3399</v>
      </c>
      <c r="E112" s="215" t="n"/>
      <c r="F112" s="267" t="n">
        <v>111475</v>
      </c>
      <c r="G112" s="263" t="inlineStr">
        <is>
          <t>Perfecto 7000</t>
        </is>
      </c>
      <c r="H112" s="264" t="n">
        <v>20</v>
      </c>
      <c r="I112" s="265" t="n">
        <v>1.56</v>
      </c>
      <c r="J112" s="215" t="n"/>
      <c r="K112" s="209" t="n"/>
      <c r="L112" s="425" t="n"/>
      <c r="M112" s="962" t="n"/>
      <c r="N112" s="215" t="n"/>
    </row>
    <row r="113">
      <c r="A113" s="207" t="n">
        <v>797630</v>
      </c>
      <c r="B113" s="209" t="inlineStr">
        <is>
          <t>Asta - Ø 5-7 mm - Lunghezza 700mm</t>
        </is>
      </c>
      <c r="C113" s="207" t="n">
        <v>100</v>
      </c>
      <c r="D113" s="960" t="n">
        <v>0.5047</v>
      </c>
      <c r="E113" s="214" t="n"/>
      <c r="F113" s="267" t="n">
        <v>111479</v>
      </c>
      <c r="G113" s="263" t="inlineStr">
        <is>
          <t>Perfecto wall 7000 orizzontale</t>
        </is>
      </c>
      <c r="H113" s="264" t="n">
        <v>20</v>
      </c>
      <c r="I113" s="265" t="n">
        <v>2.103</v>
      </c>
      <c r="J113" s="214" t="n"/>
      <c r="K113" s="209" t="n"/>
      <c r="L113" s="425" t="n"/>
      <c r="M113" s="961" t="n"/>
      <c r="N113" s="214" t="n"/>
    </row>
    <row r="114">
      <c r="A114" s="207" t="n">
        <v>797619</v>
      </c>
      <c r="B114" s="209" t="inlineStr">
        <is>
          <t>TaPPo Per Aste Di Ø 5-7 mm</t>
        </is>
      </c>
      <c r="C114" s="207" t="n">
        <v>50</v>
      </c>
      <c r="D114" s="960" t="n">
        <v>0.0412</v>
      </c>
      <c r="E114" s="214" t="n"/>
      <c r="F114" s="267" t="n">
        <v>111480</v>
      </c>
      <c r="G114" s="263" t="inlineStr">
        <is>
          <t>Perfecto wall 7000</t>
        </is>
      </c>
      <c r="H114" s="264" t="n">
        <v>20</v>
      </c>
      <c r="I114" s="265" t="n">
        <v>1.488</v>
      </c>
      <c r="J114" s="214" t="n"/>
      <c r="K114" s="208" t="n"/>
      <c r="L114" s="424" t="n"/>
      <c r="M114" s="961" t="n"/>
      <c r="N114" s="214" t="n"/>
    </row>
    <row r="115">
      <c r="A115" s="207" t="n">
        <v>443007</v>
      </c>
      <c r="B115" s="209" t="inlineStr">
        <is>
          <t>Kit Porta-Asta A 1 Posizione - 60°</t>
        </is>
      </c>
      <c r="C115" s="207" t="n">
        <v>100</v>
      </c>
      <c r="D115" s="960" t="n">
        <v>1.0197</v>
      </c>
      <c r="E115" s="214" t="n"/>
      <c r="F115" s="267" t="n">
        <v>111481</v>
      </c>
      <c r="G115" s="263" t="inlineStr">
        <is>
          <t>Perfecto wall 5000</t>
        </is>
      </c>
      <c r="H115" s="264" t="n">
        <v>20</v>
      </c>
      <c r="I115" s="265" t="n">
        <v>1.738</v>
      </c>
      <c r="J115" s="214" t="n"/>
      <c r="K115" s="208" t="n"/>
      <c r="L115" s="424" t="n"/>
      <c r="M115" s="961" t="n"/>
      <c r="N115" s="214" t="n"/>
    </row>
    <row r="116">
      <c r="A116" s="207" t="n">
        <v>443005</v>
      </c>
      <c r="B116" s="209" t="inlineStr">
        <is>
          <t>Kit Porta-Asta A 1-3 Posizioni - 0° / 35° / 90°</t>
        </is>
      </c>
      <c r="C116" s="207" t="n">
        <v>100</v>
      </c>
      <c r="D116" s="960" t="n">
        <v>1.0197</v>
      </c>
      <c r="E116" s="214" t="n"/>
      <c r="F116" s="267" t="n">
        <v>111482</v>
      </c>
      <c r="G116" s="263" t="inlineStr">
        <is>
          <t>Perfecto wall 4000</t>
        </is>
      </c>
      <c r="H116" s="264" t="n">
        <v>20</v>
      </c>
      <c r="I116" s="265" t="n">
        <v>4.08</v>
      </c>
      <c r="J116" s="214" t="n"/>
      <c r="K116" s="208" t="n"/>
      <c r="L116" s="424" t="n"/>
      <c r="M116" s="961" t="n"/>
      <c r="N116" s="214" t="n"/>
    </row>
    <row r="117">
      <c r="A117" s="207" t="n">
        <v>443001</v>
      </c>
      <c r="B117" s="209" t="inlineStr">
        <is>
          <t>SuPPorto Porta-Asta A 1 Posizione - 60°</t>
        </is>
      </c>
      <c r="C117" s="207" t="n">
        <v>100</v>
      </c>
      <c r="D117" s="960" t="n">
        <v>0.5459000000000001</v>
      </c>
      <c r="E117" s="214" t="n"/>
      <c r="F117" s="267" t="n">
        <v>111485</v>
      </c>
      <c r="G117" s="263" t="inlineStr">
        <is>
          <t>Perfecto multi 7000/3</t>
        </is>
      </c>
      <c r="H117" s="264" t="n">
        <v>25</v>
      </c>
      <c r="I117" s="265" t="n">
        <v>3.752</v>
      </c>
      <c r="J117" s="214" t="n"/>
      <c r="K117" s="208" t="n"/>
      <c r="L117" s="424" t="n"/>
      <c r="M117" s="961" t="n"/>
      <c r="N117" s="214" t="n"/>
    </row>
    <row r="118">
      <c r="A118" s="207" t="n">
        <v>443003</v>
      </c>
      <c r="B118" s="209" t="inlineStr">
        <is>
          <t>SuPPorto Porta-Asta A 1-3 Posizioni - 0° / 35° / 90°</t>
        </is>
      </c>
      <c r="C118" s="207" t="n">
        <v>50</v>
      </c>
      <c r="D118" s="960" t="n">
        <v>0.6798</v>
      </c>
      <c r="E118" s="214" t="n"/>
      <c r="F118" s="267" t="n">
        <v>111486</v>
      </c>
      <c r="G118" s="263" t="inlineStr">
        <is>
          <t>Perfecto multi 5000/3</t>
        </is>
      </c>
      <c r="H118" s="264" t="n">
        <v>16</v>
      </c>
      <c r="I118" s="265" t="n">
        <v>5.164</v>
      </c>
      <c r="J118" s="214" t="n"/>
      <c r="K118" s="208" t="n"/>
      <c r="L118" s="424" t="n"/>
      <c r="M118" s="961" t="n"/>
      <c r="N118" s="214" t="n"/>
    </row>
    <row r="119">
      <c r="A119" s="207" t="n">
        <v>792257</v>
      </c>
      <c r="B119" s="209" t="inlineStr">
        <is>
          <t>Tubo Pvc Bianco 17-19mm - Lunghezza: 600mm</t>
        </is>
      </c>
      <c r="C119" s="207" t="n">
        <v>100</v>
      </c>
      <c r="D119" s="960" t="n">
        <v>0.7252</v>
      </c>
      <c r="E119" s="214" t="n"/>
      <c r="F119" s="267" t="n">
        <v>111487</v>
      </c>
      <c r="G119" s="263" t="inlineStr">
        <is>
          <t>Perfecto multi 4000/3</t>
        </is>
      </c>
      <c r="H119" s="264" t="n">
        <v>12</v>
      </c>
      <c r="I119" s="265" t="n">
        <v>10.035</v>
      </c>
      <c r="J119" s="214" t="n"/>
      <c r="K119" s="208" t="n"/>
      <c r="L119" s="424" t="n"/>
      <c r="M119" s="961" t="n"/>
      <c r="N119" s="214" t="n"/>
    </row>
    <row r="120">
      <c r="A120" s="207" t="n">
        <v>792271</v>
      </c>
      <c r="B120" s="209" t="inlineStr">
        <is>
          <t>TaPPo Per Aste Di Ø 17-19 mm</t>
        </is>
      </c>
      <c r="C120" s="207" t="n">
        <v>100</v>
      </c>
      <c r="D120" s="960" t="n">
        <v>0.154</v>
      </c>
      <c r="E120" s="214" t="n"/>
      <c r="F120" s="267" t="n">
        <v>111488</v>
      </c>
      <c r="G120" s="263" t="inlineStr">
        <is>
          <t>Clip per perfecto multi</t>
        </is>
      </c>
      <c r="H120" s="264" t="n">
        <v>100</v>
      </c>
      <c r="I120" s="265" t="n">
        <v>0.212</v>
      </c>
      <c r="J120" s="214" t="n"/>
      <c r="K120" s="208" t="n"/>
      <c r="L120" s="424" t="n"/>
      <c r="M120" s="961" t="n"/>
      <c r="N120" s="214" t="n"/>
    </row>
    <row r="121">
      <c r="A121" s="207" t="n">
        <v>950840</v>
      </c>
      <c r="B121" s="209" t="inlineStr">
        <is>
          <t>Base Piana Magnetica - Promobase</t>
        </is>
      </c>
      <c r="C121" s="207" t="n">
        <v>10</v>
      </c>
      <c r="D121" s="960" t="n">
        <v>1.5965</v>
      </c>
      <c r="E121" s="214" t="n"/>
      <c r="F121" s="267" t="n">
        <v>111490</v>
      </c>
      <c r="G121" s="263" t="inlineStr">
        <is>
          <t>Divisorio per perfecto 4000</t>
        </is>
      </c>
      <c r="H121" s="264" t="n">
        <v>50</v>
      </c>
      <c r="I121" s="265" t="n">
        <v>0.8</v>
      </c>
      <c r="J121" s="214" t="n"/>
      <c r="K121" s="208" t="n"/>
      <c r="L121" s="424" t="n"/>
      <c r="M121" s="961" t="n"/>
      <c r="N121" s="214" t="n"/>
    </row>
    <row r="122">
      <c r="A122" s="207" t="n">
        <v>950842</v>
      </c>
      <c r="B122" s="209" t="inlineStr">
        <is>
          <t>Base Piana Magnetica - Promobase - Bianco</t>
        </is>
      </c>
      <c r="C122" s="207" t="n">
        <v>10</v>
      </c>
      <c r="D122" s="960" t="n">
        <v>2.3999</v>
      </c>
      <c r="E122" s="214" t="n"/>
      <c r="F122" s="267" t="n">
        <v>111491</v>
      </c>
      <c r="G122" s="263" t="inlineStr">
        <is>
          <t>Divisorio per perfecto wall 4000</t>
        </is>
      </c>
      <c r="H122" s="264" t="n">
        <v>50</v>
      </c>
      <c r="I122" s="265" t="n">
        <v>0.8080000000000001</v>
      </c>
      <c r="J122" s="214" t="n"/>
      <c r="K122" s="208" t="n"/>
      <c r="L122" s="424" t="n"/>
      <c r="M122" s="961" t="n"/>
      <c r="N122" s="214" t="n"/>
    </row>
    <row r="123">
      <c r="A123" s="207" t="n">
        <v>950844</v>
      </c>
      <c r="B123" s="209" t="inlineStr">
        <is>
          <t>Base Piana Magnetica - Promobase - Nero</t>
        </is>
      </c>
      <c r="C123" s="207" t="n">
        <v>10</v>
      </c>
      <c r="D123" s="960" t="n">
        <v>2.3999</v>
      </c>
      <c r="E123" s="214" t="n"/>
      <c r="F123" s="267" t="n">
        <v>111495</v>
      </c>
      <c r="G123" s="263" t="inlineStr">
        <is>
          <t>Piedino per perfecto wall 7000/5000</t>
        </is>
      </c>
      <c r="H123" s="264" t="n">
        <v>50</v>
      </c>
      <c r="I123" s="265" t="n">
        <v>0.777</v>
      </c>
      <c r="J123" s="214" t="n"/>
      <c r="K123" s="208" t="n"/>
      <c r="L123" s="424" t="n"/>
      <c r="M123" s="961" t="n"/>
      <c r="N123" s="214" t="n"/>
    </row>
    <row r="124">
      <c r="A124" s="207" t="n">
        <v>950850</v>
      </c>
      <c r="B124" s="209" t="inlineStr">
        <is>
          <t>Profili A Pinza - Lunghezza 300mm</t>
        </is>
      </c>
      <c r="C124" s="207" t="n">
        <v>25</v>
      </c>
      <c r="D124" s="960" t="n">
        <v>0.5253</v>
      </c>
      <c r="E124" s="214" t="n"/>
      <c r="F124" s="267" t="n">
        <v>111496</v>
      </c>
      <c r="G124" s="263" t="inlineStr">
        <is>
          <t>Piedino per perfecto wall 4000</t>
        </is>
      </c>
      <c r="H124" s="264" t="n">
        <v>50</v>
      </c>
      <c r="I124" s="265" t="n">
        <v>0.777</v>
      </c>
      <c r="J124" s="214" t="n"/>
      <c r="K124" s="208" t="n"/>
      <c r="L124" s="424" t="n"/>
      <c r="M124" s="961" t="n"/>
      <c r="N124" s="214" t="n"/>
    </row>
    <row r="125">
      <c r="A125" s="207" t="n">
        <v>950852</v>
      </c>
      <c r="B125" s="209" t="inlineStr">
        <is>
          <t>Profili A Pinza - Lunghezza 460mm</t>
        </is>
      </c>
      <c r="C125" s="207" t="n">
        <v>25</v>
      </c>
      <c r="D125" s="960" t="n">
        <v>0.6592</v>
      </c>
      <c r="E125" s="214" t="n"/>
      <c r="F125" s="267" t="n">
        <v>111502</v>
      </c>
      <c r="G125" s="263" t="inlineStr">
        <is>
          <t>Eco holder per 1 foglio formato A6</t>
        </is>
      </c>
      <c r="H125" s="264" t="n">
        <v>10</v>
      </c>
      <c r="I125" s="265" t="n">
        <v>0.843</v>
      </c>
      <c r="J125" s="214" t="n"/>
      <c r="K125" s="208" t="n"/>
      <c r="L125" s="424" t="n"/>
      <c r="M125" s="961" t="n"/>
      <c r="N125" s="214" t="n"/>
    </row>
    <row r="126">
      <c r="A126" s="207" t="n">
        <v>950854</v>
      </c>
      <c r="B126" s="209" t="inlineStr">
        <is>
          <t>Profili A Pinza - Lunghezza 600mm</t>
        </is>
      </c>
      <c r="C126" s="207" t="n">
        <v>25</v>
      </c>
      <c r="D126" s="960" t="n">
        <v>1.2154</v>
      </c>
      <c r="E126" s="214" t="n"/>
      <c r="F126" s="267" t="n">
        <v>111503</v>
      </c>
      <c r="G126" s="263" t="inlineStr">
        <is>
          <t>Eco holder per 1 foglio formato 1/3 A4</t>
        </is>
      </c>
      <c r="H126" s="264" t="n">
        <v>10</v>
      </c>
      <c r="I126" s="265" t="n">
        <v>0.961</v>
      </c>
      <c r="J126" s="214" t="n"/>
      <c r="K126" s="209" t="n"/>
      <c r="L126" s="425" t="n"/>
      <c r="M126" s="962" t="n"/>
      <c r="N126" s="214" t="n"/>
    </row>
    <row r="127">
      <c r="A127" s="207" t="n">
        <v>950860</v>
      </c>
      <c r="B127" s="209" t="inlineStr">
        <is>
          <t>Profili A Grip - Lunghezza 300mm</t>
        </is>
      </c>
      <c r="C127" s="207" t="n">
        <v>25</v>
      </c>
      <c r="D127" s="960" t="n">
        <v>0.5768</v>
      </c>
      <c r="E127" s="214" t="n"/>
      <c r="F127" s="267" t="n">
        <v>111504</v>
      </c>
      <c r="G127" s="263" t="inlineStr">
        <is>
          <t>Eco holder per 1 foglio formato A5</t>
        </is>
      </c>
      <c r="H127" s="264" t="n">
        <v>10</v>
      </c>
      <c r="I127" s="265" t="n">
        <v>1.196</v>
      </c>
      <c r="J127" s="214" t="n"/>
      <c r="K127" s="208" t="n"/>
      <c r="L127" s="424" t="n"/>
      <c r="M127" s="961" t="n"/>
      <c r="N127" s="214" t="n"/>
    </row>
    <row r="128">
      <c r="A128" s="207" t="n">
        <v>950862</v>
      </c>
      <c r="B128" s="209" t="inlineStr">
        <is>
          <t>Profili A Grip - Lunghezza 460mm</t>
        </is>
      </c>
      <c r="C128" s="207" t="n">
        <v>25</v>
      </c>
      <c r="D128" s="960" t="n">
        <v>0.7107</v>
      </c>
      <c r="E128" s="214" t="n"/>
      <c r="F128" s="267" t="n">
        <v>111505</v>
      </c>
      <c r="G128" s="263" t="inlineStr">
        <is>
          <t>Eco holder per 1 foglio formato A4</t>
        </is>
      </c>
      <c r="H128" s="264" t="n">
        <v>10</v>
      </c>
      <c r="I128" s="265" t="n">
        <v>2.062</v>
      </c>
      <c r="J128" s="214" t="n"/>
      <c r="K128" s="208" t="n"/>
      <c r="L128" s="424" t="n"/>
      <c r="M128" s="961" t="n"/>
      <c r="N128" s="214" t="n"/>
    </row>
    <row r="129">
      <c r="A129" s="207" t="n">
        <v>950400</v>
      </c>
      <c r="B129" s="209" t="inlineStr">
        <is>
          <t>Profilo Magnetico - Bianco - 100 cm</t>
        </is>
      </c>
      <c r="C129" s="207" t="n">
        <v>1</v>
      </c>
      <c r="D129" s="960" t="n">
        <v>17.51</v>
      </c>
      <c r="E129" s="214" t="n"/>
      <c r="F129" s="267" t="n">
        <v>111506</v>
      </c>
      <c r="G129" s="263" t="inlineStr">
        <is>
          <t>Eco holder per 1 foglio formato cm. 15 x 10</t>
        </is>
      </c>
      <c r="H129" s="264" t="n">
        <v>10</v>
      </c>
      <c r="I129" s="265" t="n">
        <v>0.843</v>
      </c>
      <c r="J129" s="214" t="n"/>
      <c r="K129" s="208" t="n"/>
      <c r="L129" s="424" t="n"/>
      <c r="M129" s="961" t="n"/>
      <c r="N129" s="214" t="n"/>
    </row>
    <row r="130">
      <c r="A130" s="207" t="n">
        <v>950401</v>
      </c>
      <c r="B130" s="209" t="inlineStr">
        <is>
          <t>Profilo Magnetico - Bianco - 130 cm</t>
        </is>
      </c>
      <c r="C130" s="207" t="n">
        <v>1</v>
      </c>
      <c r="D130" s="960" t="n">
        <v>19.57</v>
      </c>
      <c r="E130" s="214" t="n"/>
      <c r="F130" s="267" t="n">
        <v>111507</v>
      </c>
      <c r="G130" s="263" t="inlineStr">
        <is>
          <t>Eco holder per 1 foglio formato cm. 10 x 15</t>
        </is>
      </c>
      <c r="H130" s="264" t="n">
        <v>10</v>
      </c>
      <c r="I130" s="265" t="n">
        <v>0.843</v>
      </c>
      <c r="J130" s="214" t="n"/>
      <c r="K130" s="208" t="n"/>
      <c r="L130" s="424" t="n"/>
      <c r="M130" s="961" t="n"/>
      <c r="N130" s="214" t="n"/>
    </row>
    <row r="131">
      <c r="A131" s="207" t="n">
        <v>841227</v>
      </c>
      <c r="B131" s="209" t="inlineStr">
        <is>
          <t>Calamita Porta Frontale Promobase</t>
        </is>
      </c>
      <c r="C131" s="207" t="n">
        <v>10</v>
      </c>
      <c r="D131" s="960" t="n">
        <v>2.0085</v>
      </c>
      <c r="E131" s="214" t="n"/>
      <c r="F131" s="267" t="n">
        <v>111550</v>
      </c>
      <c r="G131" s="263" t="inlineStr">
        <is>
          <t>Promotable in polipropilene con ripiano intermedio e borsa</t>
        </is>
      </c>
      <c r="H131" s="264" t="n">
        <v>1</v>
      </c>
      <c r="I131" s="265" t="n">
        <v>101.269</v>
      </c>
      <c r="J131" s="214" t="n"/>
      <c r="K131" s="208" t="n"/>
      <c r="L131" s="424" t="n"/>
      <c r="M131" s="961" t="n"/>
      <c r="N131" s="214" t="n"/>
    </row>
    <row r="132">
      <c r="A132" s="207" t="n">
        <v>950412</v>
      </c>
      <c r="B132" s="209" t="inlineStr">
        <is>
          <t>Promobase® Clear Porta Frontale- 3mm</t>
        </is>
      </c>
      <c r="C132" s="207" t="n">
        <v>10</v>
      </c>
      <c r="D132" s="960" t="n">
        <v>2.1939</v>
      </c>
      <c r="E132" s="214" t="n"/>
      <c r="F132" s="267" t="n">
        <v>111552</v>
      </c>
      <c r="G132" s="263" t="inlineStr">
        <is>
          <t>Promotable in polipropilenesenza ripiano intermedio con borsa</t>
        </is>
      </c>
      <c r="H132" s="264" t="n">
        <v>1</v>
      </c>
      <c r="I132" s="265" t="n">
        <v>88.047</v>
      </c>
      <c r="J132" s="214" t="n"/>
      <c r="K132" s="208" t="n"/>
      <c r="L132" s="424" t="n"/>
      <c r="M132" s="961" t="n"/>
      <c r="N132" s="214" t="n"/>
    </row>
    <row r="133">
      <c r="A133" s="207" t="n">
        <v>950413</v>
      </c>
      <c r="B133" s="209" t="inlineStr">
        <is>
          <t>Promobase® Clear Porta Frontale- 5mm</t>
        </is>
      </c>
      <c r="C133" s="207" t="n">
        <v>10</v>
      </c>
      <c r="D133" s="960" t="n">
        <v>2.2145</v>
      </c>
      <c r="E133" s="214" t="n"/>
      <c r="F133" s="267" t="n">
        <v>111559</v>
      </c>
      <c r="G133" s="263" t="inlineStr">
        <is>
          <t>Gancio a c in plastica mm. 39 trasparente</t>
        </is>
      </c>
      <c r="H133" s="264" t="n">
        <v>1000</v>
      </c>
      <c r="I133" s="265" t="n">
        <v>0.042</v>
      </c>
      <c r="J133" s="214" t="n"/>
      <c r="K133" s="208" t="n"/>
      <c r="L133" s="424" t="n"/>
      <c r="M133" s="961" t="n"/>
      <c r="N133" s="214" t="n"/>
    </row>
    <row r="134">
      <c r="A134" s="207" t="n">
        <v>950414</v>
      </c>
      <c r="B134" s="209" t="inlineStr">
        <is>
          <t>Promobase Porta Frontale - 1 Posizione</t>
        </is>
      </c>
      <c r="C134" s="207" t="n">
        <v>10</v>
      </c>
      <c r="D134" s="960" t="n">
        <v>2.3175</v>
      </c>
      <c r="E134" s="214" t="n"/>
      <c r="F134" s="267" t="n">
        <v>111560</v>
      </c>
      <c r="G134" s="263" t="inlineStr">
        <is>
          <t>New wave sis display rettangolare a 3 ripiani</t>
        </is>
      </c>
      <c r="H134" s="264" t="n">
        <v>10</v>
      </c>
      <c r="I134" s="265" t="n">
        <v>33.832</v>
      </c>
      <c r="J134" s="214" t="n"/>
      <c r="K134" s="208" t="n"/>
      <c r="L134" s="424" t="n"/>
      <c r="M134" s="961" t="n"/>
      <c r="N134" s="214" t="n"/>
    </row>
    <row r="135">
      <c r="A135" s="207" t="n">
        <v>950415</v>
      </c>
      <c r="B135" s="209" t="inlineStr">
        <is>
          <t>Blocco Promobase Porta Frontale - Angolo Retto</t>
        </is>
      </c>
      <c r="C135" s="207" t="n">
        <v>10</v>
      </c>
      <c r="D135" s="960" t="n">
        <v>2.266</v>
      </c>
      <c r="E135" s="214" t="n"/>
      <c r="F135" s="267" t="n">
        <v>111561</v>
      </c>
      <c r="G135" s="263" t="inlineStr">
        <is>
          <t>New wave sis display rettangolare a 4 ripiani</t>
        </is>
      </c>
      <c r="H135" s="264" t="n">
        <v>10</v>
      </c>
      <c r="I135" s="265" t="n">
        <v>40.632</v>
      </c>
      <c r="J135" s="214" t="n"/>
      <c r="K135" s="208" t="n"/>
      <c r="L135" s="424" t="n"/>
      <c r="M135" s="961" t="n"/>
      <c r="N135" s="214" t="n"/>
    </row>
    <row r="136">
      <c r="A136" s="207" t="n">
        <v>950416</v>
      </c>
      <c r="B136" s="209" t="inlineStr">
        <is>
          <t>Blocco Promobase Porta Frontale - Angolo Inclinato</t>
        </is>
      </c>
      <c r="C136" s="207" t="n">
        <v>10</v>
      </c>
      <c r="D136" s="960" t="n">
        <v>2.266</v>
      </c>
      <c r="E136" s="214" t="n"/>
      <c r="F136" s="267" t="n">
        <v>111562</v>
      </c>
      <c r="G136" s="263" t="inlineStr">
        <is>
          <t>New wave sis display rettangolare a 5 ripiani</t>
        </is>
      </c>
      <c r="H136" s="264" t="n">
        <v>10</v>
      </c>
      <c r="I136" s="265" t="n">
        <v>46.255</v>
      </c>
      <c r="J136" s="214" t="n"/>
      <c r="K136" s="208" t="n"/>
      <c r="L136" s="424" t="n"/>
      <c r="M136" s="961" t="n"/>
      <c r="N136" s="214" t="n"/>
    </row>
    <row r="137">
      <c r="A137" s="207" t="n">
        <v>841225</v>
      </c>
      <c r="B137" s="209" t="inlineStr">
        <is>
          <t>Blocco Promobase Porta Frontale - Adesivo</t>
        </is>
      </c>
      <c r="C137" s="207" t="n">
        <v>10</v>
      </c>
      <c r="D137" s="960" t="n">
        <v>1.7407</v>
      </c>
      <c r="E137" s="214" t="n"/>
      <c r="F137" s="267" t="n">
        <v>111569</v>
      </c>
      <c r="G137" s="263" t="inlineStr">
        <is>
          <t>Display sis rettangolare cm 55x36 a 3 ripiani</t>
        </is>
      </c>
      <c r="H137" s="264" t="n">
        <v>10</v>
      </c>
      <c r="I137" s="265" t="n">
        <v>31.85</v>
      </c>
      <c r="J137" s="214" t="n"/>
      <c r="K137" s="208" t="n"/>
      <c r="L137" s="424" t="n"/>
      <c r="M137" s="961" t="n"/>
      <c r="N137" s="214" t="n"/>
    </row>
    <row r="138">
      <c r="A138" s="207" t="n">
        <v>774009</v>
      </c>
      <c r="B138" s="209" t="inlineStr">
        <is>
          <t>Braccio Per Palett Magnum - L Gris</t>
        </is>
      </c>
      <c r="C138" s="207" t="n">
        <v>1</v>
      </c>
      <c r="D138" s="960" t="n">
        <v>37.389</v>
      </c>
      <c r="E138" s="214" t="n"/>
      <c r="F138" s="267" t="n">
        <v>111573</v>
      </c>
      <c r="G138" s="263" t="inlineStr">
        <is>
          <t>Display sis rettangolare cm 55x36 a 4 ripiani</t>
        </is>
      </c>
      <c r="H138" s="264" t="n">
        <v>10</v>
      </c>
      <c r="I138" s="265" t="n">
        <v>39.863</v>
      </c>
      <c r="J138" s="214" t="n"/>
      <c r="K138" s="208" t="n"/>
      <c r="L138" s="424" t="n"/>
      <c r="M138" s="961" t="n"/>
      <c r="N138" s="214" t="n"/>
    </row>
    <row r="139">
      <c r="A139" s="207" t="n">
        <v>774012</v>
      </c>
      <c r="B139" s="209" t="inlineStr">
        <is>
          <t>Braccio Semplice In Metallo A Pinze</t>
        </is>
      </c>
      <c r="C139" s="207" t="n">
        <v>1</v>
      </c>
      <c r="D139" s="960" t="n">
        <v>27.81</v>
      </c>
      <c r="E139" s="214" t="n"/>
      <c r="F139" s="267" t="n">
        <v>111575</v>
      </c>
      <c r="G139" s="263" t="inlineStr">
        <is>
          <t>Display sis rettangolare cm 55x36 a 5 ripiani</t>
        </is>
      </c>
      <c r="H139" s="264" t="n">
        <v>10</v>
      </c>
      <c r="I139" s="265" t="n">
        <v>45.639</v>
      </c>
      <c r="J139" s="214" t="n"/>
      <c r="K139" s="208" t="n"/>
      <c r="L139" s="424" t="n"/>
      <c r="M139" s="961" t="n"/>
      <c r="N139" s="214" t="n"/>
    </row>
    <row r="140">
      <c r="A140" s="207" t="n">
        <v>774007</v>
      </c>
      <c r="B140" s="209" t="inlineStr">
        <is>
          <t>Braccio Per Palett Magnum - T Gris</t>
        </is>
      </c>
      <c r="C140" s="207" t="n">
        <v>1</v>
      </c>
      <c r="D140" s="960" t="n">
        <v>45.32</v>
      </c>
      <c r="E140" s="214" t="n"/>
      <c r="F140" s="267" t="n">
        <v>111580</v>
      </c>
      <c r="G140" s="263" t="inlineStr">
        <is>
          <t>Display sis tondo a 3 ripiani diametro mm. 490</t>
        </is>
      </c>
      <c r="H140" s="264" t="n">
        <v>10</v>
      </c>
      <c r="I140" s="265" t="n">
        <v>32.886</v>
      </c>
      <c r="J140" s="214" t="n"/>
      <c r="K140" s="208" t="n"/>
      <c r="L140" s="424" t="n"/>
      <c r="M140" s="961" t="n"/>
      <c r="N140" s="214" t="n"/>
    </row>
    <row r="141">
      <c r="A141" s="207" t="n">
        <v>852011</v>
      </c>
      <c r="B141" s="209" t="inlineStr">
        <is>
          <t>Profilo Pinza Poster - 400 mm - Trasparente</t>
        </is>
      </c>
      <c r="C141" s="207" t="n">
        <v>50</v>
      </c>
      <c r="D141" s="960" t="n">
        <v>0.1731</v>
      </c>
      <c r="E141" s="214" t="n"/>
      <c r="F141" s="267" t="n">
        <v>111581</v>
      </c>
      <c r="G141" s="263" t="inlineStr">
        <is>
          <t>Display sis tondo a 4 ripiani diametro mm. 490</t>
        </is>
      </c>
      <c r="H141" s="264" t="n">
        <v>10</v>
      </c>
      <c r="I141" s="265" t="n">
        <v>40.978</v>
      </c>
      <c r="J141" s="214" t="n"/>
      <c r="K141" s="208" t="n"/>
      <c r="L141" s="424" t="n"/>
      <c r="M141" s="961" t="n"/>
      <c r="N141" s="214" t="n"/>
    </row>
    <row r="142">
      <c r="A142" s="207" t="n">
        <v>852013</v>
      </c>
      <c r="B142" s="209" t="inlineStr">
        <is>
          <t>Profilo Pinza Poster - 600 mm - Trasparente</t>
        </is>
      </c>
      <c r="C142" s="207" t="n">
        <v>50</v>
      </c>
      <c r="D142" s="960" t="n">
        <v>0.2488</v>
      </c>
      <c r="E142" s="214" t="n"/>
      <c r="F142" s="267" t="n">
        <v>111582</v>
      </c>
      <c r="G142" s="263" t="inlineStr">
        <is>
          <t>Display sis tondo a 5 ripiani diametro mm. 490</t>
        </is>
      </c>
      <c r="H142" s="264" t="n">
        <v>10</v>
      </c>
      <c r="I142" s="265" t="n">
        <v>47.082</v>
      </c>
      <c r="J142" s="214" t="n"/>
      <c r="K142" s="208" t="n"/>
      <c r="L142" s="424" t="n"/>
      <c r="M142" s="961" t="n"/>
      <c r="N142" s="214" t="n"/>
    </row>
    <row r="143">
      <c r="A143" s="207" t="n">
        <v>852014</v>
      </c>
      <c r="B143" s="209" t="inlineStr">
        <is>
          <t>Profilo Pinza Poster - 700 mm - Trasparente</t>
        </is>
      </c>
      <c r="C143" s="207" t="n">
        <v>50</v>
      </c>
      <c r="D143" s="960" t="n">
        <v>0.2962</v>
      </c>
      <c r="E143" s="214" t="n"/>
      <c r="F143" s="267" t="n">
        <v>111598</v>
      </c>
      <c r="G143" s="263" t="inlineStr">
        <is>
          <t>Cerniera in plastica semitrasparente</t>
        </is>
      </c>
      <c r="H143" s="264" t="n">
        <v>1000</v>
      </c>
      <c r="I143" s="265" t="n">
        <v>0.104</v>
      </c>
      <c r="J143" s="214" t="n"/>
      <c r="K143" s="208" t="n"/>
      <c r="L143" s="424" t="n"/>
      <c r="M143" s="961" t="n"/>
      <c r="N143" s="214" t="n"/>
    </row>
    <row r="144">
      <c r="A144" s="207" t="n">
        <v>852015</v>
      </c>
      <c r="B144" s="209" t="inlineStr">
        <is>
          <t>Profilo Pinza Poster - 800 mm - Trasparente</t>
        </is>
      </c>
      <c r="C144" s="207" t="n">
        <v>50</v>
      </c>
      <c r="D144" s="960" t="n">
        <v>0.3436</v>
      </c>
      <c r="E144" s="214" t="n"/>
      <c r="F144" s="267" t="n">
        <v>111599</v>
      </c>
      <c r="G144" s="263" t="inlineStr">
        <is>
          <t>Cerniera in plastica semitrasparente adesiva</t>
        </is>
      </c>
      <c r="H144" s="264" t="n">
        <v>1000</v>
      </c>
      <c r="I144" s="265" t="n">
        <v>0.475</v>
      </c>
      <c r="J144" s="214" t="n"/>
      <c r="K144" s="208" t="n"/>
      <c r="L144" s="424" t="n"/>
      <c r="M144" s="961" t="n"/>
      <c r="N144" s="214" t="n"/>
    </row>
    <row r="145">
      <c r="A145" s="207" t="n">
        <v>852016</v>
      </c>
      <c r="B145" s="209" t="inlineStr">
        <is>
          <t>Profilo Pinza Poster - 1000 mm - Trasparente</t>
        </is>
      </c>
      <c r="C145" s="207" t="n">
        <v>50</v>
      </c>
      <c r="D145" s="960" t="n">
        <v>0.3811</v>
      </c>
      <c r="E145" s="214" t="n"/>
      <c r="F145" s="267" t="n">
        <v>111604</v>
      </c>
      <c r="G145" s="263" t="inlineStr">
        <is>
          <t>Gancio ad s in plastica mm. 39 trasparente</t>
        </is>
      </c>
      <c r="H145" s="264" t="n">
        <v>1000</v>
      </c>
      <c r="I145" s="265" t="n">
        <v>0.027</v>
      </c>
      <c r="J145" s="214" t="n"/>
      <c r="K145" s="208" t="n"/>
      <c r="L145" s="424" t="n"/>
      <c r="M145" s="961" t="n"/>
      <c r="N145" s="214" t="n"/>
    </row>
    <row r="146">
      <c r="A146" s="207" t="n">
        <v>852017</v>
      </c>
      <c r="B146" s="209" t="inlineStr">
        <is>
          <t>Profilo Pinza Poster - 1200 mm - Trasparente</t>
        </is>
      </c>
      <c r="C146" s="207" t="n">
        <v>50</v>
      </c>
      <c r="D146" s="960" t="n">
        <v>0.4961</v>
      </c>
      <c r="E146" s="214" t="n"/>
      <c r="F146" s="267" t="n">
        <v>111605</v>
      </c>
      <c r="G146" s="263" t="inlineStr">
        <is>
          <t>Gancio ad s in plastica mm. 50 trasparente</t>
        </is>
      </c>
      <c r="H146" s="264" t="n">
        <v>1000</v>
      </c>
      <c r="I146" s="265" t="n">
        <v>0.034</v>
      </c>
      <c r="J146" s="214" t="n"/>
      <c r="K146" s="208" t="n"/>
      <c r="L146" s="424" t="n"/>
      <c r="M146" s="961" t="n"/>
      <c r="N146" s="214" t="n"/>
    </row>
    <row r="147">
      <c r="A147" s="207" t="n">
        <v>174018</v>
      </c>
      <c r="B147" s="209" t="inlineStr">
        <is>
          <t>Profilo Pinza Poster -2000 mm - Trasparente</t>
        </is>
      </c>
      <c r="C147" s="207" t="n">
        <v>50</v>
      </c>
      <c r="D147" s="960" t="n">
        <v>0.6871</v>
      </c>
      <c r="E147" s="214" t="n"/>
      <c r="F147" s="267" t="n">
        <v>111606</v>
      </c>
      <c r="G147" s="263" t="inlineStr">
        <is>
          <t>Gancio di sospensione per profilo semplice</t>
        </is>
      </c>
      <c r="H147" s="264" t="n">
        <v>100</v>
      </c>
      <c r="I147" s="265" t="n">
        <v>0.063</v>
      </c>
      <c r="J147" s="214" t="n"/>
      <c r="K147" s="208" t="n"/>
      <c r="L147" s="424" t="n"/>
      <c r="M147" s="961" t="n"/>
      <c r="N147" s="214" t="n"/>
    </row>
    <row r="148">
      <c r="A148" s="207" t="n">
        <v>711319</v>
      </c>
      <c r="B148" s="209" t="inlineStr">
        <is>
          <t>Ganci Trasparenti</t>
        </is>
      </c>
      <c r="C148" s="207" t="n">
        <v>100</v>
      </c>
      <c r="D148" s="960" t="n">
        <v>0.0485</v>
      </c>
      <c r="E148" s="214" t="n"/>
      <c r="F148" s="267" t="n">
        <v>111611</v>
      </c>
      <c r="G148" s="263" t="inlineStr">
        <is>
          <t>Porta menù trifacciale formato A6</t>
        </is>
      </c>
      <c r="H148" s="264" t="n">
        <v>5</v>
      </c>
      <c r="I148" s="265" t="n">
        <v>8.18</v>
      </c>
      <c r="J148" s="214" t="n"/>
      <c r="K148" s="208" t="n"/>
      <c r="L148" s="424" t="n"/>
      <c r="M148" s="961" t="n"/>
      <c r="N148" s="214" t="n"/>
    </row>
    <row r="149">
      <c r="A149" s="207" t="n">
        <v>853140</v>
      </c>
      <c r="B149" s="209" t="inlineStr">
        <is>
          <t>Kit Profilo Pinza-Poster In Alluminio A Clip 420mm</t>
        </is>
      </c>
      <c r="C149" s="207" t="n">
        <v>1</v>
      </c>
      <c r="D149" s="960" t="n">
        <v>7.828</v>
      </c>
      <c r="E149" s="214" t="n"/>
      <c r="F149" s="267" t="n">
        <v>111611</v>
      </c>
      <c r="G149" s="263" t="inlineStr">
        <is>
          <t>Porta menù trifacciale formato A5</t>
        </is>
      </c>
      <c r="H149" s="264" t="n">
        <v>5</v>
      </c>
      <c r="I149" s="265" t="n">
        <v>9.555</v>
      </c>
      <c r="J149" s="214" t="n"/>
      <c r="K149" s="208" t="n"/>
      <c r="L149" s="424" t="n"/>
      <c r="M149" s="961" t="n"/>
      <c r="N149" s="214" t="n"/>
    </row>
    <row r="150">
      <c r="A150" s="207" t="n">
        <v>853142</v>
      </c>
      <c r="B150" s="209" t="inlineStr">
        <is>
          <t>Kit Profilo Pinza-Poster In Alluminio A Clip 600mm</t>
        </is>
      </c>
      <c r="C150" s="207" t="n">
        <v>1</v>
      </c>
      <c r="D150" s="960" t="n">
        <v>8.651999999999999</v>
      </c>
      <c r="E150" s="214" t="n"/>
      <c r="F150" s="267" t="n">
        <v>111611</v>
      </c>
      <c r="G150" s="263" t="inlineStr">
        <is>
          <t>Porta menù trifacciale formato A4</t>
        </is>
      </c>
      <c r="H150" s="264" t="n">
        <v>5</v>
      </c>
      <c r="I150" s="265" t="n">
        <v>15.664</v>
      </c>
      <c r="J150" s="214" t="n"/>
      <c r="K150" s="208" t="n"/>
      <c r="L150" s="424" t="n"/>
      <c r="M150" s="961" t="n"/>
      <c r="N150" s="214" t="n"/>
    </row>
    <row r="151">
      <c r="A151" s="207" t="n">
        <v>853146</v>
      </c>
      <c r="B151" s="209" t="inlineStr">
        <is>
          <t>Kit Profilo Pinza-Poster In Alluminio A Clip 850mm</t>
        </is>
      </c>
      <c r="C151" s="207" t="n">
        <v>1</v>
      </c>
      <c r="D151" s="960" t="n">
        <v>10.197</v>
      </c>
      <c r="E151" s="214" t="n"/>
      <c r="F151" s="267" t="n">
        <v>111611</v>
      </c>
      <c r="G151" s="263" t="inlineStr">
        <is>
          <t>Porta menù trifacciale formato A6</t>
        </is>
      </c>
      <c r="H151" s="264" t="n">
        <v>5</v>
      </c>
      <c r="I151" s="265" t="n">
        <v>11.154</v>
      </c>
      <c r="J151" s="214" t="n"/>
      <c r="K151" s="208" t="n"/>
      <c r="L151" s="424" t="n"/>
      <c r="M151" s="961" t="n"/>
      <c r="N151" s="214" t="n"/>
    </row>
    <row r="152">
      <c r="A152" s="207" t="n">
        <v>853148</v>
      </c>
      <c r="B152" s="209" t="inlineStr">
        <is>
          <t>Kit Profilo Pinza-Poster In Alluminio A Clip 1000mm</t>
        </is>
      </c>
      <c r="C152" s="207" t="n">
        <v>1</v>
      </c>
      <c r="D152" s="960" t="n">
        <v>12.051</v>
      </c>
      <c r="E152" s="214" t="n"/>
      <c r="F152" s="267" t="n">
        <v>111611</v>
      </c>
      <c r="G152" s="263" t="inlineStr">
        <is>
          <t>Porta menù trifacciale formato A5</t>
        </is>
      </c>
      <c r="H152" s="264" t="n">
        <v>5</v>
      </c>
      <c r="I152" s="265" t="n">
        <v>13.029</v>
      </c>
      <c r="J152" s="214" t="n"/>
      <c r="K152" s="208" t="n"/>
      <c r="L152" s="424" t="n"/>
      <c r="M152" s="961" t="n"/>
      <c r="N152" s="214" t="n"/>
    </row>
    <row r="153">
      <c r="A153" s="207" t="n">
        <v>853149</v>
      </c>
      <c r="B153" s="209" t="inlineStr">
        <is>
          <t>Kit Profilo Pinza-Poster In Alluminio A Clip 1200mm</t>
        </is>
      </c>
      <c r="C153" s="207" t="n">
        <v>1</v>
      </c>
      <c r="D153" s="960" t="n">
        <v>15.7487</v>
      </c>
      <c r="E153" s="214" t="n"/>
      <c r="F153" s="267" t="n">
        <v>111611</v>
      </c>
      <c r="G153" s="263" t="inlineStr">
        <is>
          <t>Porta menù trifacciale formato A4</t>
        </is>
      </c>
      <c r="H153" s="264" t="n">
        <v>5</v>
      </c>
      <c r="I153" s="265" t="n">
        <v>21.36</v>
      </c>
      <c r="J153" s="214" t="n"/>
      <c r="K153" s="209" t="n"/>
      <c r="L153" s="425" t="n"/>
      <c r="M153" s="961" t="n"/>
      <c r="N153" s="214" t="n"/>
    </row>
    <row r="154">
      <c r="A154" s="207" t="n">
        <v>852055</v>
      </c>
      <c r="B154" s="209" t="inlineStr">
        <is>
          <t>Profilo Di Sospensione A Clip Trasparente - Lunghezza 400mm</t>
        </is>
      </c>
      <c r="C154" s="207" t="n">
        <v>50</v>
      </c>
      <c r="D154" s="960" t="n">
        <v>0.7966</v>
      </c>
      <c r="E154" s="214" t="n"/>
      <c r="F154" s="267" t="n">
        <v>111614</v>
      </c>
      <c r="G154" s="263" t="inlineStr">
        <is>
          <t>Porta messaggi per formato 1/3 A4 - 3 lati</t>
        </is>
      </c>
      <c r="H154" s="264" t="n">
        <v>5</v>
      </c>
      <c r="I154" s="265" t="n">
        <v>11.119</v>
      </c>
      <c r="J154" s="214" t="n"/>
      <c r="K154" s="209" t="n"/>
      <c r="L154" s="425" t="n"/>
      <c r="M154" s="961" t="n"/>
      <c r="N154" s="214" t="n"/>
    </row>
    <row r="155">
      <c r="A155" s="207" t="n">
        <v>852065</v>
      </c>
      <c r="B155" s="209" t="inlineStr">
        <is>
          <t>Profilo Di Sospensione A Clip Trasparente - Lunghezza 600mm</t>
        </is>
      </c>
      <c r="C155" s="207" t="n">
        <v>50</v>
      </c>
      <c r="D155" s="960" t="n">
        <v>1.1948</v>
      </c>
      <c r="E155" s="214" t="n"/>
      <c r="F155" s="267" t="n">
        <v>111615</v>
      </c>
      <c r="G155" s="263" t="inlineStr">
        <is>
          <t>Piegato trasparente obliquo mm. 150 x 50</t>
        </is>
      </c>
      <c r="H155" s="264" t="n">
        <v>5</v>
      </c>
      <c r="I155" s="265" t="n">
        <v>1.34</v>
      </c>
      <c r="J155" s="214" t="n"/>
      <c r="K155" s="209" t="n"/>
      <c r="L155" s="425" t="n"/>
      <c r="M155" s="961" t="n"/>
      <c r="N155" s="214" t="n"/>
    </row>
    <row r="156">
      <c r="A156" s="207" t="n">
        <v>852075</v>
      </c>
      <c r="B156" s="209" t="inlineStr">
        <is>
          <t>Profilo Di Sospensione A Clip Trasparente - Lunghezza 700mm</t>
        </is>
      </c>
      <c r="C156" s="207" t="n">
        <v>50</v>
      </c>
      <c r="D156" s="960" t="n">
        <v>1.394</v>
      </c>
      <c r="E156" s="214" t="n"/>
      <c r="F156" s="267" t="n">
        <v>111617</v>
      </c>
      <c r="G156" s="263" t="inlineStr">
        <is>
          <t>Piegato trasparente obliquo mm. 200 x 70</t>
        </is>
      </c>
      <c r="H156" s="264" t="n">
        <v>5</v>
      </c>
      <c r="I156" s="265" t="n">
        <v>1.974</v>
      </c>
      <c r="J156" s="214" t="n"/>
      <c r="K156" s="208" t="n"/>
      <c r="L156" s="424" t="n"/>
      <c r="M156" s="961" t="n"/>
      <c r="N156" s="214" t="n"/>
    </row>
    <row r="157">
      <c r="A157" s="207" t="n">
        <v>852085</v>
      </c>
      <c r="B157" s="209" t="inlineStr">
        <is>
          <t>Profilo Di Sospensione A Clip Trasparente - Lunghezza 800mm</t>
        </is>
      </c>
      <c r="C157" s="207" t="n">
        <v>50</v>
      </c>
      <c r="D157" s="960" t="n">
        <v>1.4523</v>
      </c>
      <c r="E157" s="214" t="n"/>
      <c r="F157" s="267" t="n">
        <v>111619</v>
      </c>
      <c r="G157" s="263" t="inlineStr">
        <is>
          <t>Display sis quadrato cm 36x36 a 3 ripiani</t>
        </is>
      </c>
      <c r="H157" s="264" t="n">
        <v>5</v>
      </c>
      <c r="I157" s="265" t="n">
        <v>35.115</v>
      </c>
      <c r="J157" s="214" t="n"/>
      <c r="K157" s="208" t="n"/>
      <c r="L157" s="424" t="n"/>
      <c r="M157" s="961" t="n"/>
      <c r="N157" s="214" t="n"/>
    </row>
    <row r="158">
      <c r="A158" s="207" t="n">
        <v>852095</v>
      </c>
      <c r="B158" s="209" t="inlineStr">
        <is>
          <t>Profilo Di Sospensione A Clip Trasparente - Lunghezza 1000mm</t>
        </is>
      </c>
      <c r="C158" s="207" t="n">
        <v>50</v>
      </c>
      <c r="D158" s="960" t="n">
        <v>1.5553</v>
      </c>
      <c r="E158" s="214" t="n"/>
      <c r="F158" s="267" t="n">
        <v>111621</v>
      </c>
      <c r="G158" s="263" t="inlineStr">
        <is>
          <t>Display sis quadrato cm 36x36 a 4 ripiani</t>
        </is>
      </c>
      <c r="H158" s="264" t="n">
        <v>5</v>
      </c>
      <c r="I158" s="265" t="n">
        <v>35.115</v>
      </c>
      <c r="J158" s="214" t="n"/>
      <c r="K158" s="208" t="n"/>
      <c r="L158" s="424" t="n"/>
      <c r="M158" s="961" t="n"/>
      <c r="N158" s="214" t="n"/>
    </row>
    <row r="159">
      <c r="A159" s="207" t="n">
        <v>852125</v>
      </c>
      <c r="B159" s="209" t="inlineStr">
        <is>
          <t>Profilo Di Sospensione A Clip Trasparente - Lunghezza 1200mm</t>
        </is>
      </c>
      <c r="C159" s="207" t="n">
        <v>50</v>
      </c>
      <c r="D159" s="960" t="n">
        <v>1.6171</v>
      </c>
      <c r="E159" s="214" t="n"/>
      <c r="F159" s="267" t="n">
        <v>111622</v>
      </c>
      <c r="G159" s="263" t="inlineStr">
        <is>
          <t>Display sis quadrato cm 36x36 a 5 ripiani</t>
        </is>
      </c>
      <c r="H159" s="264" t="n">
        <v>5</v>
      </c>
      <c r="I159" s="265" t="n">
        <v>39.863</v>
      </c>
      <c r="J159" s="214" t="n"/>
      <c r="K159" s="208" t="n"/>
      <c r="L159" s="424" t="n"/>
      <c r="M159" s="961" t="n"/>
      <c r="N159" s="214" t="n"/>
    </row>
    <row r="160">
      <c r="A160" s="207" t="n">
        <v>852052</v>
      </c>
      <c r="B160" s="209" t="inlineStr">
        <is>
          <t>Profilo Di Sospensione A Clip Bianco - Lunghezza 400mm</t>
        </is>
      </c>
      <c r="C160" s="207" t="n">
        <v>50</v>
      </c>
      <c r="D160" s="960" t="n">
        <v>0.7966</v>
      </c>
      <c r="E160" s="214" t="n"/>
      <c r="F160" s="267" t="n">
        <v>111629</v>
      </c>
      <c r="G160" s="263" t="inlineStr">
        <is>
          <t>Display sis quarto di cerchio cm 36x36 a 3 ripiani</t>
        </is>
      </c>
      <c r="H160" s="264" t="n">
        <v>5</v>
      </c>
      <c r="I160" s="265" t="n">
        <v>28.817</v>
      </c>
      <c r="J160" s="214" t="n"/>
      <c r="K160" s="208" t="n"/>
      <c r="L160" s="424" t="n"/>
      <c r="M160" s="961" t="n"/>
      <c r="N160" s="214" t="n"/>
    </row>
    <row r="161">
      <c r="A161" s="207" t="n">
        <v>852062</v>
      </c>
      <c r="B161" s="209" t="inlineStr">
        <is>
          <t>Profilo Di Sospensione A Clip Bianco - Lunghezza 600mm</t>
        </is>
      </c>
      <c r="C161" s="207" t="n">
        <v>50</v>
      </c>
      <c r="D161" s="960" t="n">
        <v>1.1948</v>
      </c>
      <c r="E161" s="214" t="n"/>
      <c r="F161" s="267" t="n">
        <v>111631</v>
      </c>
      <c r="G161" s="263" t="inlineStr">
        <is>
          <t>Display sis quarto di cerchio cm 36x36 a 4 ripiani</t>
        </is>
      </c>
      <c r="H161" s="264" t="n">
        <v>5</v>
      </c>
      <c r="I161" s="265" t="n">
        <v>34.932</v>
      </c>
      <c r="J161" s="214" t="n"/>
      <c r="K161" s="208" t="n"/>
      <c r="L161" s="424" t="n"/>
      <c r="M161" s="961" t="n"/>
      <c r="N161" s="214" t="n"/>
    </row>
    <row r="162">
      <c r="A162" s="207" t="n">
        <v>852072</v>
      </c>
      <c r="B162" s="209" t="inlineStr">
        <is>
          <t>Profilo Di Sospensione A Clip Bianco - Lunghezza 700mm</t>
        </is>
      </c>
      <c r="C162" s="207" t="n">
        <v>50</v>
      </c>
      <c r="D162" s="960" t="n">
        <v>1.394</v>
      </c>
      <c r="E162" s="214" t="n"/>
      <c r="F162" s="267" t="n">
        <v>111632</v>
      </c>
      <c r="G162" s="263" t="inlineStr">
        <is>
          <t>Display sis quarto di cerchio cm 36x36 a 5 ripiani</t>
        </is>
      </c>
      <c r="H162" s="264" t="n">
        <v>5</v>
      </c>
      <c r="I162" s="265" t="n">
        <v>39.556</v>
      </c>
      <c r="J162" s="214" t="n"/>
      <c r="K162" s="208" t="n"/>
      <c r="L162" s="424" t="n"/>
      <c r="M162" s="961" t="n"/>
      <c r="N162" s="214" t="n"/>
    </row>
    <row r="163">
      <c r="A163" s="207" t="n">
        <v>852082</v>
      </c>
      <c r="B163" s="209" t="inlineStr">
        <is>
          <t>Profilo Di Sospensione A Clip Bianco - Lunghezza 800mm</t>
        </is>
      </c>
      <c r="C163" s="207" t="n">
        <v>50</v>
      </c>
      <c r="D163" s="960" t="n">
        <v>1.4523</v>
      </c>
      <c r="E163" s="214" t="n"/>
      <c r="F163" s="267" t="n">
        <v>111642</v>
      </c>
      <c r="G163" s="263" t="inlineStr">
        <is>
          <t>Porta blister 12 posti in pvc trasparente</t>
        </is>
      </c>
      <c r="H163" s="264" t="n">
        <v>100</v>
      </c>
      <c r="I163" s="265" t="n">
        <v>0.375</v>
      </c>
      <c r="J163" s="214" t="n"/>
      <c r="K163" s="208" t="n"/>
      <c r="L163" s="424" t="n"/>
      <c r="M163" s="961" t="n"/>
      <c r="N163" s="214" t="n"/>
    </row>
    <row r="164">
      <c r="A164" s="207" t="n">
        <v>852092</v>
      </c>
      <c r="B164" s="209" t="inlineStr">
        <is>
          <t>Profilo Di Sospensione A Clip Bianco - Lunghezza 1000mm</t>
        </is>
      </c>
      <c r="C164" s="207" t="n">
        <v>50</v>
      </c>
      <c r="D164" s="960" t="n">
        <v>1.5553</v>
      </c>
      <c r="E164" s="214" t="n"/>
      <c r="F164" s="267" t="n">
        <v>111649</v>
      </c>
      <c r="G164" s="263" t="inlineStr">
        <is>
          <t>Gancio ad "S" in metallo</t>
        </is>
      </c>
      <c r="H164" s="264" t="n">
        <v>100</v>
      </c>
      <c r="I164" s="265" t="n">
        <v>0.157</v>
      </c>
      <c r="J164" s="214" t="n"/>
      <c r="K164" s="208" t="n"/>
      <c r="L164" s="424" t="n"/>
      <c r="M164" s="961" t="n"/>
      <c r="N164" s="214" t="n"/>
    </row>
    <row r="165">
      <c r="A165" s="207" t="n">
        <v>852122</v>
      </c>
      <c r="B165" s="209" t="inlineStr">
        <is>
          <t>Profilo Di Sospensione A Clip Bianco - Lunghezza 1200mm</t>
        </is>
      </c>
      <c r="C165" s="207" t="n">
        <v>50</v>
      </c>
      <c r="D165" s="960" t="n">
        <v>1.6171</v>
      </c>
      <c r="E165" s="214" t="n"/>
      <c r="F165" s="267" t="n">
        <v>111660</v>
      </c>
      <c r="G165" s="263" t="inlineStr">
        <is>
          <t>Custodia rigida per cd</t>
        </is>
      </c>
      <c r="H165" s="264" t="n">
        <v>50</v>
      </c>
      <c r="I165" s="265" t="n">
        <v>0.5659999999999999</v>
      </c>
      <c r="J165" s="214" t="n"/>
      <c r="K165" s="208" t="n"/>
      <c r="L165" s="424" t="n"/>
      <c r="M165" s="961" t="n"/>
      <c r="N165" s="214" t="n"/>
    </row>
    <row r="166">
      <c r="A166" s="207" t="n">
        <v>852060</v>
      </c>
      <c r="B166" s="209" t="inlineStr">
        <is>
          <t>Gancio Trasparente</t>
        </is>
      </c>
      <c r="C166" s="207" t="n">
        <v>100</v>
      </c>
      <c r="D166" s="960" t="n">
        <v>0.1587</v>
      </c>
      <c r="E166" s="214" t="n"/>
      <c r="F166" s="267" t="n">
        <v>111662</v>
      </c>
      <c r="G166" s="263" t="inlineStr">
        <is>
          <t>Calendar box mm. 115x138</t>
        </is>
      </c>
      <c r="H166" s="264" t="n">
        <v>50</v>
      </c>
      <c r="I166" s="265" t="n">
        <v>0.631</v>
      </c>
      <c r="J166" s="214" t="n"/>
      <c r="K166" s="208" t="n"/>
      <c r="L166" s="424" t="n"/>
      <c r="M166" s="961" t="n"/>
      <c r="N166" s="214" t="n"/>
    </row>
    <row r="167">
      <c r="A167" s="207" t="n">
        <v>792294</v>
      </c>
      <c r="B167" s="209" t="inlineStr">
        <is>
          <t>Gancio Aperto - 23X23mm - Base Quadrata</t>
        </is>
      </c>
      <c r="C167" s="207" t="n">
        <v>200</v>
      </c>
      <c r="D167" s="960" t="n">
        <v>0.0927</v>
      </c>
      <c r="E167" s="214" t="n"/>
      <c r="F167" s="267" t="n">
        <v>111663</v>
      </c>
      <c r="G167" s="263" t="inlineStr">
        <is>
          <t>Calendar box mm. 90x92</t>
        </is>
      </c>
      <c r="H167" s="264" t="n">
        <v>50</v>
      </c>
      <c r="I167" s="265" t="n">
        <v>0.8120000000000001</v>
      </c>
      <c r="J167" s="214" t="n"/>
      <c r="K167" s="209" t="n"/>
      <c r="L167" s="425" t="n"/>
      <c r="M167" s="961" t="n"/>
      <c r="N167" s="214" t="n"/>
    </row>
    <row r="168">
      <c r="A168" s="207" t="n">
        <v>793314</v>
      </c>
      <c r="B168" s="209" t="inlineStr">
        <is>
          <t>Gancio Aperto - Ø 20mm - Base Rotonda</t>
        </is>
      </c>
      <c r="C168" s="207" t="n">
        <v>100</v>
      </c>
      <c r="D168" s="960" t="n">
        <v>0.0464</v>
      </c>
      <c r="E168" s="214" t="n"/>
      <c r="F168" s="267" t="n">
        <v>111664</v>
      </c>
      <c r="G168" s="263" t="inlineStr">
        <is>
          <t>Calendar box mm. 184x106</t>
        </is>
      </c>
      <c r="H168" s="264" t="n">
        <v>50</v>
      </c>
      <c r="I168" s="265" t="n">
        <v>0.695</v>
      </c>
      <c r="J168" s="214" t="n"/>
      <c r="K168" s="208" t="n"/>
      <c r="L168" s="424" t="n"/>
      <c r="M168" s="961" t="n"/>
      <c r="N168" s="214" t="n"/>
    </row>
    <row r="169">
      <c r="A169" s="207" t="n">
        <v>793309</v>
      </c>
      <c r="B169" s="209" t="inlineStr">
        <is>
          <t>Gancio Adesivo Rotante - Base Quadrata</t>
        </is>
      </c>
      <c r="C169" s="207" t="n">
        <v>100</v>
      </c>
      <c r="D169" s="960" t="n">
        <v>0.1133</v>
      </c>
      <c r="E169" s="214" t="n"/>
      <c r="F169" s="267" t="n">
        <v>111668</v>
      </c>
      <c r="G169" s="263" t="inlineStr">
        <is>
          <t>Anima per CD</t>
        </is>
      </c>
      <c r="H169" s="264" t="n">
        <v>50</v>
      </c>
      <c r="I169" s="265" t="n">
        <v>0.32</v>
      </c>
      <c r="J169" s="214" t="n"/>
      <c r="K169" s="208" t="n"/>
      <c r="L169" s="424" t="n"/>
      <c r="M169" s="961" t="n"/>
      <c r="N169" s="214" t="n"/>
    </row>
    <row r="170">
      <c r="A170" s="207" t="n">
        <v>793310</v>
      </c>
      <c r="B170" s="209" t="inlineStr">
        <is>
          <t>Gancio Metallico Chiuso - Base  Ø40 mm</t>
        </is>
      </c>
      <c r="C170" s="207" t="n">
        <v>50</v>
      </c>
      <c r="D170" s="960" t="n">
        <v>0.3605</v>
      </c>
      <c r="E170" s="214" t="n"/>
      <c r="F170" s="267" t="n">
        <v>111669</v>
      </c>
      <c r="G170" s="263" t="inlineStr">
        <is>
          <t>Anima per DVD</t>
        </is>
      </c>
      <c r="H170" s="264" t="n">
        <v>50</v>
      </c>
      <c r="I170" s="265" t="n">
        <v>0.454</v>
      </c>
      <c r="J170" s="214" t="n"/>
      <c r="K170" s="208" t="n"/>
      <c r="L170" s="424" t="n"/>
      <c r="M170" s="961" t="n"/>
      <c r="N170" s="214" t="n"/>
    </row>
    <row r="171">
      <c r="A171" s="207" t="n">
        <v>792295</v>
      </c>
      <c r="B171" s="209" t="inlineStr">
        <is>
          <t>Gancio Metallico Chiuso - Base  Ø60 mm</t>
        </is>
      </c>
      <c r="C171" s="207" t="n">
        <v>50</v>
      </c>
      <c r="D171" s="960" t="n">
        <v>0.4841</v>
      </c>
      <c r="E171" s="214" t="n"/>
      <c r="F171" s="267" t="n">
        <v>111674</v>
      </c>
      <c r="G171" s="263" t="inlineStr">
        <is>
          <t>Rullo di velcro mm. 20x25 m. bianco lunghezza 25 m</t>
        </is>
      </c>
      <c r="H171" s="264" t="n">
        <v>1</v>
      </c>
      <c r="I171" s="265" t="n">
        <v>40.476</v>
      </c>
      <c r="J171" s="214" t="n"/>
      <c r="K171" s="208" t="n"/>
      <c r="L171" s="424" t="n"/>
      <c r="M171" s="961" t="n"/>
      <c r="N171" s="214" t="n"/>
    </row>
    <row r="172">
      <c r="A172" s="207" t="n">
        <v>793302</v>
      </c>
      <c r="B172" s="209" t="inlineStr">
        <is>
          <t>Gancio - 18 X 18 mm</t>
        </is>
      </c>
      <c r="C172" s="207" t="n">
        <v>100</v>
      </c>
      <c r="D172" s="960" t="n">
        <v>0.0464</v>
      </c>
      <c r="E172" s="214" t="n"/>
      <c r="F172" s="267" t="n">
        <v>111675</v>
      </c>
      <c r="G172" s="263" t="inlineStr">
        <is>
          <t>Bollino di velcro maschio + femmina diametro mm. 13 bianco</t>
        </is>
      </c>
      <c r="H172" s="264" t="n">
        <v>1500</v>
      </c>
      <c r="I172" s="265">
        <f>127.694/H172</f>
        <v/>
      </c>
      <c r="J172" s="214" t="n"/>
      <c r="K172" s="208" t="n"/>
      <c r="L172" s="424" t="n"/>
      <c r="M172" s="961" t="n"/>
      <c r="N172" s="214" t="n"/>
    </row>
    <row r="173">
      <c r="A173" s="207" t="n">
        <v>792296</v>
      </c>
      <c r="B173" s="209" t="inlineStr">
        <is>
          <t>Gancio - 20 X 20 mm</t>
        </is>
      </c>
      <c r="C173" s="207" t="n">
        <v>100</v>
      </c>
      <c r="D173" s="960" t="n">
        <v>0.0515</v>
      </c>
      <c r="E173" s="214" t="n"/>
      <c r="F173" s="267" t="n">
        <v>111676</v>
      </c>
      <c r="G173" s="263" t="inlineStr">
        <is>
          <t>Bollino di velcro maschio + femmina diametro mm. 13 nero</t>
        </is>
      </c>
      <c r="H173" s="264" t="n">
        <v>1500</v>
      </c>
      <c r="I173" s="265">
        <f>127.694/H173</f>
        <v/>
      </c>
      <c r="J173" s="214" t="n"/>
      <c r="K173" s="208" t="n"/>
      <c r="L173" s="424" t="n"/>
      <c r="M173" s="961" t="n"/>
      <c r="N173" s="214" t="n"/>
    </row>
    <row r="174">
      <c r="A174" s="207" t="n">
        <v>793307</v>
      </c>
      <c r="B174" s="209" t="inlineStr">
        <is>
          <t>Gancio Adesivo 25X35mm</t>
        </is>
      </c>
      <c r="C174" s="207" t="n">
        <v>100</v>
      </c>
      <c r="D174" s="960" t="n">
        <v>0.0824</v>
      </c>
      <c r="E174" s="214" t="n"/>
      <c r="F174" s="267" t="n">
        <v>111677</v>
      </c>
      <c r="G174" s="263" t="inlineStr">
        <is>
          <t>Bollino di velcro maschio + femmina diametro mm. 19 bianco</t>
        </is>
      </c>
      <c r="H174" s="264" t="n">
        <v>1120</v>
      </c>
      <c r="I174" s="265">
        <f>114.485/H174</f>
        <v/>
      </c>
      <c r="J174" s="214" t="n"/>
      <c r="K174" s="208" t="n"/>
      <c r="L174" s="424" t="n"/>
      <c r="M174" s="961" t="n"/>
      <c r="N174" s="214" t="n"/>
    </row>
    <row r="175">
      <c r="A175" s="207" t="n">
        <v>793306</v>
      </c>
      <c r="B175" s="209" t="inlineStr">
        <is>
          <t>Gancio Chiuso  - Base Rotonda - Bianco - Adesivo Rimovibile</t>
        </is>
      </c>
      <c r="C175" s="207" t="n">
        <v>100</v>
      </c>
      <c r="D175" s="960" t="n">
        <v>0.0635</v>
      </c>
      <c r="E175" s="214" t="n"/>
      <c r="F175" s="267" t="n">
        <v>111678</v>
      </c>
      <c r="G175" s="263" t="inlineStr">
        <is>
          <t>Bollino di velcro maschio + femmina diametro mm. 19 nero</t>
        </is>
      </c>
      <c r="H175" s="264" t="n">
        <v>1120</v>
      </c>
      <c r="I175" s="265">
        <f>104.079/H175</f>
        <v/>
      </c>
      <c r="J175" s="214" t="n"/>
      <c r="K175" s="208" t="n"/>
      <c r="L175" s="424" t="n"/>
      <c r="M175" s="961" t="n"/>
      <c r="N175" s="214" t="n"/>
    </row>
    <row r="176">
      <c r="A176" s="207" t="n">
        <v>793308</v>
      </c>
      <c r="B176" s="209" t="inlineStr">
        <is>
          <t>Gancio Chiuso  - Base Rotonda - Bianco - Adesivo Permanente</t>
        </is>
      </c>
      <c r="C176" s="207" t="n">
        <v>100</v>
      </c>
      <c r="D176" s="960" t="n">
        <v>0.0439</v>
      </c>
      <c r="E176" s="214" t="n"/>
      <c r="F176" s="267" t="n">
        <v>111679</v>
      </c>
      <c r="G176" s="263" t="inlineStr">
        <is>
          <t>Bollino di schiuma adesivo porta cd-dvd bianco</t>
        </is>
      </c>
      <c r="H176" s="264" t="n">
        <v>1000</v>
      </c>
      <c r="I176" s="265" t="n">
        <v>0.036</v>
      </c>
      <c r="J176" s="214" t="n"/>
      <c r="K176" s="208" t="n"/>
      <c r="L176" s="424" t="n"/>
      <c r="M176" s="961" t="n"/>
      <c r="N176" s="214" t="n"/>
    </row>
    <row r="177">
      <c r="A177" s="207" t="n">
        <v>793312</v>
      </c>
      <c r="B177" s="209" t="inlineStr">
        <is>
          <t>Gancio Chiuso  - Base Rotonda - Trasparente - Adesivo Rimovibile - Con 2 Chiave</t>
        </is>
      </c>
      <c r="C177" s="207" t="n">
        <v>100</v>
      </c>
      <c r="D177" s="960" t="n">
        <v>0.17</v>
      </c>
      <c r="E177" s="214" t="n"/>
      <c r="F177" s="267" t="n">
        <v>111680</v>
      </c>
      <c r="G177" s="263" t="inlineStr">
        <is>
          <t>Bollino di schiuma adesivo porta cd-dvd nero</t>
        </is>
      </c>
      <c r="H177" s="264" t="n">
        <v>1000</v>
      </c>
      <c r="I177" s="265" t="n">
        <v>0.036</v>
      </c>
      <c r="J177" s="214" t="n"/>
      <c r="K177" s="208" t="n"/>
      <c r="L177" s="424" t="n"/>
      <c r="M177" s="961" t="n"/>
      <c r="N177" s="214" t="n"/>
    </row>
    <row r="178">
      <c r="A178" s="207" t="n">
        <v>797583</v>
      </c>
      <c r="B178" s="209" t="inlineStr">
        <is>
          <t>Gancio Per Controsoffitto Semplice</t>
        </is>
      </c>
      <c r="C178" s="209" t="n">
        <v>100</v>
      </c>
      <c r="D178" s="960" t="n">
        <v>0.0721</v>
      </c>
      <c r="E178" s="215" t="n"/>
      <c r="F178" s="267" t="n">
        <v>111683</v>
      </c>
      <c r="G178" s="263" t="inlineStr">
        <is>
          <t>Bollino di velcro maschio + femmina diametro mm. 16 bianco</t>
        </is>
      </c>
      <c r="H178" s="264" t="n">
        <v>1</v>
      </c>
      <c r="I178" s="265" t="n">
        <v>94.068</v>
      </c>
      <c r="J178" s="215" t="n"/>
      <c r="K178" s="209" t="n"/>
      <c r="L178" s="425" t="n"/>
      <c r="M178" s="962" t="n"/>
      <c r="N178" s="215" t="n"/>
    </row>
    <row r="179">
      <c r="A179" s="207" t="n">
        <v>797582</v>
      </c>
      <c r="B179" s="209" t="inlineStr">
        <is>
          <t>Gancio In Plastica Per Controsoffitto</t>
        </is>
      </c>
      <c r="C179" s="209" t="n">
        <v>100</v>
      </c>
      <c r="D179" s="960" t="n">
        <v>0.0491</v>
      </c>
      <c r="E179" s="215" t="n"/>
      <c r="F179" s="267" t="n">
        <v>111684</v>
      </c>
      <c r="G179" s="263" t="inlineStr">
        <is>
          <t>Bollino di velcro maschio + femmina diametro mm. 16 nero</t>
        </is>
      </c>
      <c r="H179" s="264" t="n">
        <v>1</v>
      </c>
      <c r="I179" s="265" t="n">
        <v>89.777</v>
      </c>
      <c r="J179" s="215" t="n"/>
      <c r="K179" s="209" t="n"/>
      <c r="L179" s="425" t="n"/>
      <c r="M179" s="962" t="n"/>
      <c r="N179" s="215" t="n"/>
    </row>
    <row r="180" ht="12.75" customHeight="1">
      <c r="A180" s="207" t="n">
        <v>172518</v>
      </c>
      <c r="B180" s="209" t="inlineStr">
        <is>
          <t>Clip In Metallo Per Controsoffitto</t>
        </is>
      </c>
      <c r="C180" s="209" t="n">
        <v>100</v>
      </c>
      <c r="D180" s="960" t="n">
        <v>0.2575</v>
      </c>
      <c r="E180" s="215" t="n"/>
      <c r="F180" s="267" t="n">
        <v>111685</v>
      </c>
      <c r="G180" s="263" t="inlineStr">
        <is>
          <t>Bollino di velcro per alte temperature bianco diam. mm. 19</t>
        </is>
      </c>
      <c r="H180" s="264" t="n">
        <v>1</v>
      </c>
      <c r="I180" s="265" t="n">
        <v>137.129</v>
      </c>
      <c r="J180" s="215" t="n"/>
      <c r="K180" s="209" t="n"/>
      <c r="L180" s="425" t="n"/>
      <c r="M180" s="962" t="n"/>
      <c r="N180" s="215" t="n"/>
    </row>
    <row r="181">
      <c r="A181" s="207" t="n">
        <v>172519</v>
      </c>
      <c r="B181" s="209" t="inlineStr">
        <is>
          <t>Gancio Per Controsoffitto In Metallo</t>
        </is>
      </c>
      <c r="C181" s="209" t="n">
        <v>100</v>
      </c>
      <c r="D181" s="960" t="n">
        <v>0.1412</v>
      </c>
      <c r="E181" s="215" t="n"/>
      <c r="F181" s="267" t="n">
        <v>111686</v>
      </c>
      <c r="G181" s="263" t="inlineStr">
        <is>
          <t>Gancio chiuso con schiuma biadesiva</t>
        </is>
      </c>
      <c r="H181" s="264" t="n">
        <v>500</v>
      </c>
      <c r="I181" s="265" t="n">
        <v>0.156</v>
      </c>
      <c r="J181" s="215" t="n"/>
      <c r="K181" s="209" t="n"/>
      <c r="L181" s="425" t="n"/>
      <c r="M181" s="962" t="n"/>
      <c r="N181" s="215" t="n"/>
    </row>
    <row r="182" ht="12.75" customHeight="1">
      <c r="A182" s="207" t="n">
        <v>715037</v>
      </c>
      <c r="B182" s="209" t="inlineStr">
        <is>
          <t>Calamita Ø  25 mm - 4Kg</t>
        </is>
      </c>
      <c r="C182" s="209" t="n">
        <v>10</v>
      </c>
      <c r="D182" s="960" t="n">
        <v>0.8137</v>
      </c>
      <c r="E182" s="215" t="n"/>
      <c r="F182" s="267" t="n">
        <v>111687</v>
      </c>
      <c r="G182" s="263" t="inlineStr">
        <is>
          <t>Gancio chiuso per broches singole o doppie</t>
        </is>
      </c>
      <c r="H182" s="264" t="n">
        <v>2000</v>
      </c>
      <c r="I182" s="265" t="n">
        <v>0.078</v>
      </c>
      <c r="J182" s="215" t="n"/>
      <c r="K182" s="209" t="n"/>
      <c r="L182" s="425" t="n"/>
      <c r="M182" s="962" t="n"/>
      <c r="N182" s="215" t="n"/>
    </row>
    <row r="183">
      <c r="A183" s="207" t="n">
        <v>715042</v>
      </c>
      <c r="B183" s="209" t="inlineStr">
        <is>
          <t>Calamita Ø  32 mm - 8Kg</t>
        </is>
      </c>
      <c r="C183" s="207" t="n">
        <v>10</v>
      </c>
      <c r="D183" s="960" t="n">
        <v>0.824</v>
      </c>
      <c r="E183" s="214" t="n"/>
      <c r="F183" s="267" t="n">
        <v>111688</v>
      </c>
      <c r="G183" s="263" t="inlineStr">
        <is>
          <t>Gancio aperto adesivo</t>
        </is>
      </c>
      <c r="H183" s="264" t="n">
        <v>2000</v>
      </c>
      <c r="I183" s="265" t="n">
        <v>0.054</v>
      </c>
      <c r="J183" s="214" t="n"/>
      <c r="K183" s="208" t="n"/>
      <c r="L183" s="424" t="n"/>
      <c r="M183" s="961" t="n"/>
      <c r="N183" s="214" t="n"/>
    </row>
    <row r="184">
      <c r="A184" s="207" t="n">
        <v>715036</v>
      </c>
      <c r="B184" s="209" t="inlineStr">
        <is>
          <t>Calamita Ø  36 mm - 10Kg</t>
        </is>
      </c>
      <c r="C184" s="207" t="n">
        <v>10</v>
      </c>
      <c r="D184" s="960" t="n">
        <v>0.9039</v>
      </c>
      <c r="E184" s="214" t="n"/>
      <c r="F184" s="267" t="n">
        <v>111690</v>
      </c>
      <c r="G184" s="263" t="inlineStr">
        <is>
          <t>Gancio aperto con schiuma adesiva</t>
        </is>
      </c>
      <c r="H184" s="264" t="n">
        <v>2000</v>
      </c>
      <c r="I184" s="265" t="n">
        <v>0.118</v>
      </c>
      <c r="J184" s="214" t="n"/>
      <c r="K184" s="209" t="n"/>
      <c r="L184" s="425" t="n"/>
      <c r="M184" s="961" t="n"/>
      <c r="N184" s="214" t="n"/>
    </row>
    <row r="185">
      <c r="A185" s="207" t="n">
        <v>715035</v>
      </c>
      <c r="B185" s="209" t="inlineStr">
        <is>
          <t>Calamita Ø  40 mm - 12,5Kg</t>
        </is>
      </c>
      <c r="C185" s="207" t="n">
        <v>10</v>
      </c>
      <c r="D185" s="960" t="n">
        <v>1.03</v>
      </c>
      <c r="E185" s="214" t="n"/>
      <c r="F185" s="267" t="n">
        <v>111691</v>
      </c>
      <c r="G185" s="263" t="inlineStr">
        <is>
          <t>Gancio adesivo - prezzo per 1 blocchetto da 10 pezzi</t>
        </is>
      </c>
      <c r="H185" s="264" t="n">
        <v>100</v>
      </c>
      <c r="I185" s="265" t="n">
        <v>0.064</v>
      </c>
      <c r="J185" s="214" t="n"/>
      <c r="K185" s="209" t="n"/>
      <c r="L185" s="425" t="n"/>
      <c r="M185" s="961" t="n"/>
      <c r="N185" s="214" t="n"/>
    </row>
    <row r="186" ht="12.75" customHeight="1">
      <c r="A186" s="207" t="n">
        <v>715003</v>
      </c>
      <c r="B186" s="209" t="inlineStr">
        <is>
          <t>Calamita Ø  47 mm - 18Kg</t>
        </is>
      </c>
      <c r="C186" s="207" t="n">
        <v>50</v>
      </c>
      <c r="D186" s="960" t="n">
        <v>1.1767</v>
      </c>
      <c r="E186" s="215" t="n"/>
      <c r="F186" s="267" t="n">
        <v>111692</v>
      </c>
      <c r="G186" s="263" t="inlineStr">
        <is>
          <t>Gancio aperto adesivo ribaltabile</t>
        </is>
      </c>
      <c r="H186" s="264" t="n">
        <v>2000</v>
      </c>
      <c r="I186" s="265" t="n">
        <v>0.078</v>
      </c>
      <c r="J186" s="215" t="n"/>
      <c r="K186" s="209" t="n"/>
      <c r="L186" s="425" t="n"/>
      <c r="M186" s="961" t="n"/>
      <c r="N186" s="215" t="n"/>
    </row>
    <row r="187" ht="12.75" customHeight="1">
      <c r="A187" s="207" t="n">
        <v>715039</v>
      </c>
      <c r="B187" s="209" t="inlineStr">
        <is>
          <t>Calamita Ø  50 mm - 22Kg</t>
        </is>
      </c>
      <c r="C187" s="207" t="n">
        <v>10</v>
      </c>
      <c r="D187" s="960" t="n">
        <v>1.7304</v>
      </c>
      <c r="E187" s="215" t="n"/>
      <c r="F187" s="267" t="n">
        <v>111693</v>
      </c>
      <c r="G187" s="263" t="inlineStr">
        <is>
          <t>Gancio chiuso adesivo ribaltabile</t>
        </is>
      </c>
      <c r="H187" s="264" t="n">
        <v>4000</v>
      </c>
      <c r="I187" s="265" t="n">
        <v>0.074</v>
      </c>
      <c r="J187" s="215" t="n"/>
      <c r="K187" s="209" t="n"/>
      <c r="L187" s="425" t="n"/>
      <c r="M187" s="961" t="n"/>
      <c r="N187" s="215" t="n"/>
    </row>
    <row r="188">
      <c r="A188" s="207" t="n">
        <v>173307</v>
      </c>
      <c r="B188" s="209" t="inlineStr">
        <is>
          <t>Calamita Ø  57 mm - 28Kg</t>
        </is>
      </c>
      <c r="C188" s="207" t="n">
        <v>30</v>
      </c>
      <c r="D188" s="960" t="n">
        <v>1.8128</v>
      </c>
      <c r="E188" s="214" t="n"/>
      <c r="F188" s="262" t="n">
        <v>111694</v>
      </c>
      <c r="G188" s="263" t="inlineStr">
        <is>
          <t>Gancio adesivo per broches singole</t>
        </is>
      </c>
      <c r="H188" s="264" t="n">
        <v>5000</v>
      </c>
      <c r="I188" s="265" t="n">
        <v>0.051</v>
      </c>
      <c r="J188" s="214" t="n"/>
      <c r="K188" s="209" t="n"/>
      <c r="L188" s="425" t="n"/>
      <c r="M188" s="961" t="n"/>
      <c r="N188" s="214" t="n"/>
    </row>
    <row r="189">
      <c r="A189" s="207" t="n">
        <v>715046</v>
      </c>
      <c r="B189" s="209" t="inlineStr">
        <is>
          <t>Calamita Ø  63 mm - 35Kg</t>
        </is>
      </c>
      <c r="C189" s="209" t="n">
        <v>10</v>
      </c>
      <c r="D189" s="960" t="n">
        <v>2.0188</v>
      </c>
      <c r="E189" s="214" t="n"/>
      <c r="F189" s="262" t="n">
        <v>111695</v>
      </c>
      <c r="G189" s="263" t="inlineStr">
        <is>
          <t>Gancio adesivo per prodotti tondi</t>
        </is>
      </c>
      <c r="H189" s="264" t="n">
        <v>4000</v>
      </c>
      <c r="I189" s="265" t="n">
        <v>0.097</v>
      </c>
      <c r="J189" s="214" t="n"/>
      <c r="K189" s="208" t="n"/>
      <c r="L189" s="424" t="n"/>
      <c r="M189" s="961" t="n"/>
      <c r="N189" s="214" t="n"/>
    </row>
    <row r="190">
      <c r="A190" s="207" t="n">
        <v>715049</v>
      </c>
      <c r="B190" s="209" t="inlineStr">
        <is>
          <t>Calamita Rettangolare 13X37mm</t>
        </is>
      </c>
      <c r="C190" s="207" t="n">
        <v>50</v>
      </c>
      <c r="D190" s="960" t="n">
        <v>1.6995</v>
      </c>
      <c r="E190" s="214" t="n"/>
      <c r="F190" s="262" t="n">
        <v>111696</v>
      </c>
      <c r="G190" s="263" t="inlineStr">
        <is>
          <t>Gancio adesivo per bottiglie</t>
        </is>
      </c>
      <c r="H190" s="264" t="n">
        <v>1000</v>
      </c>
      <c r="I190" s="265" t="n">
        <v>0.166</v>
      </c>
      <c r="J190" s="214" t="n"/>
      <c r="K190" s="208" t="n"/>
      <c r="L190" s="424" t="n"/>
      <c r="M190" s="961" t="n"/>
      <c r="N190" s="214" t="n"/>
    </row>
    <row r="191">
      <c r="A191" s="207" t="n">
        <v>715066</v>
      </c>
      <c r="B191" s="209" t="inlineStr">
        <is>
          <t>Calamita Rotonda Ø 16 mm</t>
        </is>
      </c>
      <c r="C191" s="207" t="n">
        <v>10</v>
      </c>
      <c r="D191" s="960" t="n">
        <v>2.1527</v>
      </c>
      <c r="E191" s="214" t="n"/>
      <c r="F191" s="262" t="n">
        <v>111697</v>
      </c>
      <c r="G191" s="263" t="inlineStr">
        <is>
          <t>Appendino bianco mm. 173</t>
        </is>
      </c>
      <c r="H191" s="264" t="n">
        <v>1000</v>
      </c>
      <c r="I191" s="265" t="n">
        <v>0.273</v>
      </c>
      <c r="J191" s="214" t="n"/>
      <c r="K191" s="208" t="n"/>
      <c r="L191" s="424" t="n"/>
      <c r="M191" s="961" t="n"/>
      <c r="N191" s="214" t="n"/>
    </row>
    <row r="192">
      <c r="A192" s="207" t="n">
        <v>715052</v>
      </c>
      <c r="B192" s="209" t="inlineStr">
        <is>
          <t>Calamita Anti-Scivolo Ø 43 mm</t>
        </is>
      </c>
      <c r="C192" s="207" t="n">
        <v>1</v>
      </c>
      <c r="D192" s="960" t="n">
        <v>4.6126</v>
      </c>
      <c r="E192" s="214" t="n"/>
      <c r="F192" s="262" t="n">
        <v>111698</v>
      </c>
      <c r="G192" s="263" t="inlineStr">
        <is>
          <t>Appendino trasparente mm. 173</t>
        </is>
      </c>
      <c r="H192" s="264" t="n">
        <v>1000</v>
      </c>
      <c r="I192" s="265" t="n">
        <v>0.273</v>
      </c>
      <c r="J192" s="214" t="n"/>
      <c r="K192" s="208" t="n"/>
      <c r="L192" s="424" t="n"/>
      <c r="M192" s="961" t="n"/>
      <c r="N192" s="214" t="n"/>
    </row>
    <row r="193">
      <c r="A193" s="207" t="n">
        <v>715053</v>
      </c>
      <c r="B193" s="209" t="inlineStr">
        <is>
          <t>Calamita Anti-Scivolo Ø 66 mm</t>
        </is>
      </c>
      <c r="C193" s="207" t="n">
        <v>1</v>
      </c>
      <c r="D193" s="960" t="n">
        <v>7.828</v>
      </c>
      <c r="E193" s="214" t="n"/>
      <c r="F193" s="262" t="n">
        <v>111716</v>
      </c>
      <c r="G193" s="263" t="inlineStr">
        <is>
          <t>Cordoncino con capocorda mm. 250</t>
        </is>
      </c>
      <c r="H193" s="264" t="n">
        <v>100</v>
      </c>
      <c r="I193" s="265" t="n">
        <v>0.134</v>
      </c>
      <c r="J193" s="214" t="n"/>
      <c r="K193" s="209" t="n"/>
      <c r="L193" s="425" t="n"/>
      <c r="M193" s="961" t="n"/>
      <c r="N193" s="214" t="n"/>
    </row>
    <row r="194">
      <c r="A194" s="207" t="n">
        <v>797038</v>
      </c>
      <c r="B194" s="209" t="inlineStr">
        <is>
          <t>Ventose A Pressione - Ø19mm</t>
        </is>
      </c>
      <c r="C194" s="207" t="n">
        <v>100</v>
      </c>
      <c r="D194" s="960" t="n">
        <v>0.1339</v>
      </c>
      <c r="E194" s="214" t="n"/>
      <c r="F194" s="262" t="n">
        <v>111718</v>
      </c>
      <c r="G194" s="263" t="inlineStr">
        <is>
          <t>Porta badge con spilla mm. 90x55</t>
        </is>
      </c>
      <c r="H194" s="264" t="n">
        <v>100</v>
      </c>
      <c r="I194" s="265" t="n">
        <v>0.367</v>
      </c>
      <c r="J194" s="214" t="n"/>
      <c r="K194" s="208" t="n"/>
      <c r="L194" s="424" t="n"/>
      <c r="M194" s="961" t="n"/>
      <c r="N194" s="214" t="n"/>
    </row>
    <row r="195">
      <c r="A195" s="207" t="n">
        <v>797039</v>
      </c>
      <c r="B195" s="209" t="inlineStr">
        <is>
          <t>Ventose A Pressione - Ø42mm</t>
        </is>
      </c>
      <c r="C195" s="207" t="n">
        <v>500</v>
      </c>
      <c r="D195" s="960" t="n">
        <v>0.1494</v>
      </c>
      <c r="E195" s="214" t="n"/>
      <c r="F195" s="262" t="n">
        <v>111719</v>
      </c>
      <c r="G195" s="263" t="inlineStr">
        <is>
          <t>Clip adesiva con spilla</t>
        </is>
      </c>
      <c r="H195" s="264" t="n">
        <v>100</v>
      </c>
      <c r="I195" s="265" t="n">
        <v>0.5620000000000001</v>
      </c>
      <c r="J195" s="214" t="n"/>
      <c r="K195" s="208" t="n"/>
      <c r="L195" s="424" t="n"/>
      <c r="M195" s="961" t="n"/>
      <c r="N195" s="214" t="n"/>
    </row>
    <row r="196">
      <c r="A196" s="207" t="n">
        <v>797789</v>
      </c>
      <c r="B196" s="209" t="inlineStr">
        <is>
          <t>Ventose - Ø 40 mm - A Vite - 5mm</t>
        </is>
      </c>
      <c r="C196" s="207" t="n">
        <v>100</v>
      </c>
      <c r="D196" s="960" t="n">
        <v>0.4429</v>
      </c>
      <c r="E196" s="214" t="n"/>
      <c r="F196" s="262" t="n">
        <v>111720</v>
      </c>
      <c r="G196" s="263" t="inlineStr">
        <is>
          <t>Pinzetta in metallo per cartelli</t>
        </is>
      </c>
      <c r="H196" s="264" t="n">
        <v>100</v>
      </c>
      <c r="I196" s="265" t="n">
        <v>0.184</v>
      </c>
      <c r="J196" s="214" t="n"/>
      <c r="K196" s="208" t="n"/>
      <c r="L196" s="424" t="n"/>
      <c r="M196" s="961" t="n"/>
      <c r="N196" s="214" t="n"/>
    </row>
    <row r="197">
      <c r="A197" s="207" t="n">
        <v>797020</v>
      </c>
      <c r="B197" s="209" t="inlineStr">
        <is>
          <t>Ventose - Ø 40 mm - A Vite - 10mm</t>
        </is>
      </c>
      <c r="C197" s="207" t="n">
        <v>100</v>
      </c>
      <c r="D197" s="960" t="n">
        <v>0.5228</v>
      </c>
      <c r="E197" s="214" t="n"/>
      <c r="F197" s="262" t="n">
        <v>111721</v>
      </c>
      <c r="G197" s="263" t="inlineStr">
        <is>
          <t>Porta badge con molletta mm. 90X55</t>
        </is>
      </c>
      <c r="H197" s="264" t="n">
        <v>100</v>
      </c>
      <c r="I197" s="265" t="n">
        <v>0.518</v>
      </c>
      <c r="J197" s="214" t="n"/>
      <c r="K197" s="208" t="n"/>
      <c r="L197" s="424" t="n"/>
      <c r="M197" s="961" t="n"/>
      <c r="N197" s="214" t="n"/>
    </row>
    <row r="198">
      <c r="A198" s="207" t="n">
        <v>797036</v>
      </c>
      <c r="B198" s="209" t="inlineStr">
        <is>
          <t>Ventose A Vite - 60mm</t>
        </is>
      </c>
      <c r="C198" s="207" t="n">
        <v>100</v>
      </c>
      <c r="D198" s="960" t="n">
        <v>0.824</v>
      </c>
      <c r="E198" s="214" t="n"/>
      <c r="F198" s="262" t="n">
        <v>111722</v>
      </c>
      <c r="G198" s="263" t="inlineStr">
        <is>
          <t>Clip porta badge nera</t>
        </is>
      </c>
      <c r="H198" s="264" t="n">
        <v>100</v>
      </c>
      <c r="I198" s="265" t="n">
        <v>0.347</v>
      </c>
      <c r="J198" s="214" t="n"/>
      <c r="K198" s="208" t="n"/>
      <c r="L198" s="424" t="n"/>
      <c r="M198" s="961" t="n"/>
      <c r="N198" s="214" t="n"/>
    </row>
    <row r="199">
      <c r="A199" s="207" t="n">
        <v>797041</v>
      </c>
      <c r="B199" s="209" t="inlineStr">
        <is>
          <t>Ventose A Punta Ø 20 mm</t>
        </is>
      </c>
      <c r="C199" s="207" t="n">
        <v>100</v>
      </c>
      <c r="D199" s="960" t="n">
        <v>0.0546</v>
      </c>
      <c r="E199" s="214" t="n"/>
      <c r="F199" s="262" t="n">
        <v>111730</v>
      </c>
      <c r="G199" s="263" t="inlineStr">
        <is>
          <t>Broche doppia in metallo con aggancio a corna di toro per pannelli forati mm. 300</t>
        </is>
      </c>
      <c r="H199" s="264" t="n">
        <v>20</v>
      </c>
      <c r="I199" s="265" t="n">
        <v>1.001</v>
      </c>
      <c r="J199" s="214" t="n"/>
      <c r="K199" s="208" t="n"/>
      <c r="L199" s="424" t="n"/>
      <c r="M199" s="961" t="n"/>
      <c r="N199" s="214" t="n"/>
    </row>
    <row r="200">
      <c r="A200" s="207" t="n">
        <v>797042</v>
      </c>
      <c r="B200" s="209" t="inlineStr">
        <is>
          <t>Ventose A Punta Ø 28 mm</t>
        </is>
      </c>
      <c r="C200" s="207" t="n">
        <v>100</v>
      </c>
      <c r="D200" s="960" t="n">
        <v>0.0876</v>
      </c>
      <c r="E200" s="214" t="n"/>
      <c r="F200" s="262" t="n">
        <v>111731</v>
      </c>
      <c r="G200" s="263" t="inlineStr">
        <is>
          <t>Broche doppia in metallo con aggancio a corna di toro per pannelli forati mm. 200</t>
        </is>
      </c>
      <c r="H200" s="264" t="n">
        <v>20</v>
      </c>
      <c r="I200" s="265" t="n">
        <v>0.9</v>
      </c>
      <c r="J200" s="214" t="n"/>
      <c r="K200" s="208" t="n"/>
      <c r="L200" s="424" t="n"/>
      <c r="M200" s="961" t="n"/>
      <c r="N200" s="214" t="n"/>
    </row>
    <row r="201">
      <c r="A201" s="207" t="n">
        <v>797044</v>
      </c>
      <c r="B201" s="209" t="inlineStr">
        <is>
          <t>Ventose A Punta Ø 40 mm</t>
        </is>
      </c>
      <c r="C201" s="207" t="n">
        <v>100</v>
      </c>
      <c r="D201" s="960" t="n">
        <v>0.0907</v>
      </c>
      <c r="E201" s="214" t="n"/>
      <c r="F201" s="262" t="n">
        <v>111732</v>
      </c>
      <c r="G201" s="263" t="inlineStr">
        <is>
          <t>Broche doppia in metallo con aggancio a corna di toro per pannelli forati mm. 150</t>
        </is>
      </c>
      <c r="H201" s="264" t="n">
        <v>20</v>
      </c>
      <c r="I201" s="265" t="n">
        <v>0.828</v>
      </c>
      <c r="J201" s="214" t="n"/>
      <c r="K201" s="208" t="n"/>
      <c r="L201" s="424" t="n"/>
      <c r="M201" s="961" t="n"/>
      <c r="N201" s="214" t="n"/>
    </row>
    <row r="202">
      <c r="A202" s="207" t="n">
        <v>797045</v>
      </c>
      <c r="B202" s="209" t="inlineStr">
        <is>
          <t>Ventose A Punta Ø 45 mm</t>
        </is>
      </c>
      <c r="C202" s="207" t="n">
        <v>100</v>
      </c>
      <c r="D202" s="960" t="n">
        <v>0.1545</v>
      </c>
      <c r="E202" s="214" t="n"/>
      <c r="F202" s="262" t="n">
        <v>111733</v>
      </c>
      <c r="G202" s="263" t="inlineStr">
        <is>
          <t>Broche doppia in metallo con aggancio a corna di toro per pannelli forati mm. 100</t>
        </is>
      </c>
      <c r="H202" s="264" t="n">
        <v>20</v>
      </c>
      <c r="I202" s="265" t="n">
        <v>0.795</v>
      </c>
      <c r="J202" s="214" t="n"/>
      <c r="K202" s="208" t="n"/>
      <c r="L202" s="424" t="n"/>
      <c r="M202" s="961" t="n"/>
      <c r="N202" s="214" t="n"/>
    </row>
    <row r="203">
      <c r="A203" s="207" t="n">
        <v>797048</v>
      </c>
      <c r="B203" s="209" t="inlineStr">
        <is>
          <t>Ventose A Punta Ø 30 mm - Testa Di Fungo Con Frontalino</t>
        </is>
      </c>
      <c r="C203" s="207" t="n">
        <v>100</v>
      </c>
      <c r="D203" s="960" t="n">
        <v>0.0819</v>
      </c>
      <c r="E203" s="214" t="n"/>
      <c r="F203" s="262" t="n">
        <v>111734</v>
      </c>
      <c r="G203" s="263" t="inlineStr">
        <is>
          <t>Broche doppia in metallo con aggancio a corna di toro per pannelli forati mm. 250</t>
        </is>
      </c>
      <c r="H203" s="264" t="n">
        <v>20</v>
      </c>
      <c r="I203" s="265" t="n">
        <v>0.949</v>
      </c>
      <c r="J203" s="214" t="n"/>
      <c r="K203" s="208" t="n"/>
      <c r="L203" s="424" t="n"/>
      <c r="M203" s="961" t="n"/>
      <c r="N203" s="214" t="n"/>
    </row>
    <row r="204">
      <c r="A204" s="207" t="n">
        <v>797037</v>
      </c>
      <c r="B204" s="209" t="inlineStr">
        <is>
          <t>Ventose DoPPia - Ø 46 mm</t>
        </is>
      </c>
      <c r="C204" s="207" t="n">
        <v>100</v>
      </c>
      <c r="D204" s="960" t="n">
        <v>0.17</v>
      </c>
      <c r="E204" s="214" t="n"/>
      <c r="F204" s="262" t="n">
        <v>111735</v>
      </c>
      <c r="G204" s="263" t="inlineStr">
        <is>
          <t>Broche doppia in metallo con aggancio semplice per pannelli forati mm. 50</t>
        </is>
      </c>
      <c r="H204" s="264" t="n">
        <v>20</v>
      </c>
      <c r="I204" s="265" t="n">
        <v>0.344</v>
      </c>
      <c r="J204" s="214" t="n"/>
      <c r="K204" s="208" t="n"/>
      <c r="L204" s="424" t="n"/>
      <c r="M204" s="961" t="n"/>
      <c r="N204" s="214" t="n"/>
    </row>
    <row r="205">
      <c r="A205" s="207" t="n">
        <v>797033</v>
      </c>
      <c r="B205" s="209" t="inlineStr">
        <is>
          <t>Ventose Gancio Metallico - Ø 40 mm</t>
        </is>
      </c>
      <c r="C205" s="207" t="n">
        <v>500</v>
      </c>
      <c r="D205" s="960" t="n">
        <v>0.1133</v>
      </c>
      <c r="E205" s="214" t="n"/>
      <c r="F205" s="262" t="n">
        <v>111736</v>
      </c>
      <c r="G205" s="263" t="inlineStr">
        <is>
          <t>Broche doppia in metallo con aggancio semplice per pannelli forati mm. 100</t>
        </is>
      </c>
      <c r="H205" s="264" t="n">
        <v>20</v>
      </c>
      <c r="I205" s="265" t="n">
        <v>0.415</v>
      </c>
      <c r="J205" s="214" t="n"/>
      <c r="K205" s="208" t="n"/>
      <c r="L205" s="424" t="n"/>
      <c r="M205" s="961" t="n"/>
      <c r="N205" s="214" t="n"/>
    </row>
    <row r="206" ht="12.75" customHeight="1">
      <c r="A206" s="207" t="n">
        <v>950790</v>
      </c>
      <c r="B206" s="209" t="inlineStr">
        <is>
          <t>Ventose Gancio Da Fissare - Ø 65 mm</t>
        </is>
      </c>
      <c r="C206" s="209" t="n">
        <v>2</v>
      </c>
      <c r="D206" s="960" t="n">
        <v>2.5235</v>
      </c>
      <c r="E206" s="214" t="n"/>
      <c r="F206" s="262" t="n">
        <v>111737</v>
      </c>
      <c r="G206" s="263" t="inlineStr">
        <is>
          <t>Broche doppia in metallo con aggancio semplice per pannelli forati mm. 150</t>
        </is>
      </c>
      <c r="H206" s="264" t="n">
        <v>20</v>
      </c>
      <c r="I206" s="265" t="n">
        <v>0.498</v>
      </c>
      <c r="J206" s="214" t="n"/>
      <c r="K206" s="208" t="n"/>
      <c r="L206" s="424" t="n"/>
      <c r="M206" s="961" t="n"/>
      <c r="N206" s="214" t="n"/>
    </row>
    <row r="207" ht="12.75" customHeight="1">
      <c r="A207" s="207" t="n">
        <v>792034</v>
      </c>
      <c r="B207" s="209" t="inlineStr">
        <is>
          <t>Filo In Nylon Trasparente - Rotolo Da 25M - Peso Fino A 7,5Kg</t>
        </is>
      </c>
      <c r="C207" s="209" t="n">
        <v>1</v>
      </c>
      <c r="D207" s="960" t="n">
        <v>2.2145</v>
      </c>
      <c r="E207" s="214" t="n"/>
      <c r="F207" s="262" t="n">
        <v>111738</v>
      </c>
      <c r="G207" s="263" t="inlineStr">
        <is>
          <t>Broche doppia in metallo con aggancio semplice per pannelli forati mm. 200</t>
        </is>
      </c>
      <c r="H207" s="264" t="n">
        <v>20</v>
      </c>
      <c r="I207" s="265" t="n">
        <v>0.609</v>
      </c>
      <c r="J207" s="214" t="n"/>
      <c r="K207" s="208" t="n"/>
      <c r="L207" s="424" t="n"/>
      <c r="M207" s="961" t="n"/>
      <c r="N207" s="214" t="n"/>
    </row>
    <row r="208" ht="12.75" customHeight="1">
      <c r="A208" s="207" t="n">
        <v>792032</v>
      </c>
      <c r="B208" s="209" t="inlineStr">
        <is>
          <t>Filo In Nylon Trasparente - Rotolo Da 200M - Peso Fino A 7,5Kg</t>
        </is>
      </c>
      <c r="C208" s="209" t="n">
        <v>1</v>
      </c>
      <c r="D208" s="960" t="n">
        <v>7.313</v>
      </c>
      <c r="E208" s="214" t="n"/>
      <c r="F208" s="262" t="n">
        <v>111739</v>
      </c>
      <c r="G208" s="263" t="inlineStr">
        <is>
          <t>Broche doppia in metallo con aggancio semplice per pannelli forati mm. 300</t>
        </is>
      </c>
      <c r="H208" s="264" t="n">
        <v>20</v>
      </c>
      <c r="I208" s="265" t="n">
        <v>0.774</v>
      </c>
      <c r="J208" s="214" t="n"/>
      <c r="K208" s="208" t="n"/>
      <c r="L208" s="424" t="n"/>
      <c r="M208" s="961" t="n"/>
      <c r="N208" s="214" t="n"/>
    </row>
    <row r="209" ht="12.75" customHeight="1">
      <c r="A209" s="207" t="n">
        <v>792030</v>
      </c>
      <c r="B209" s="209" t="inlineStr">
        <is>
          <t>Filo In Nylon Trasparente - Rotolo Da 100M - Peso Fino A 11Kg</t>
        </is>
      </c>
      <c r="C209" s="209" t="n">
        <v>1</v>
      </c>
      <c r="D209" s="960" t="n">
        <v>4.7</v>
      </c>
      <c r="E209" s="214" t="n"/>
      <c r="F209" s="262" t="n">
        <v>111740</v>
      </c>
      <c r="G209" s="263" t="inlineStr">
        <is>
          <t>Broche singola in metallo con aggancio a corna di toro per pannelli forati con asta</t>
        </is>
      </c>
      <c r="H209" s="264" t="n">
        <v>20</v>
      </c>
      <c r="I209" s="265" t="n">
        <v>1.258</v>
      </c>
      <c r="J209" s="214" t="n"/>
      <c r="K209" s="208" t="n"/>
      <c r="L209" s="424" t="n"/>
      <c r="M209" s="961" t="n"/>
      <c r="N209" s="214" t="n"/>
    </row>
    <row r="210">
      <c r="A210" s="207" t="n">
        <v>792281</v>
      </c>
      <c r="B210" s="209" t="inlineStr">
        <is>
          <t>Filo Di Nylon Con Fermo A T - Lunghezza 100mm</t>
        </is>
      </c>
      <c r="C210" s="209" t="n">
        <v>100</v>
      </c>
      <c r="D210" s="960" t="n">
        <v>0.17</v>
      </c>
      <c r="E210" s="214" t="n"/>
      <c r="F210" s="262" t="n">
        <v>111741</v>
      </c>
      <c r="G210" s="263" t="inlineStr">
        <is>
          <t>Broche singola in metallo con aggancio a corna di toro per pannelli forati con asta</t>
        </is>
      </c>
      <c r="H210" s="264" t="n">
        <v>20</v>
      </c>
      <c r="I210" s="265" t="n">
        <v>1.49</v>
      </c>
      <c r="J210" s="214" t="n"/>
      <c r="K210" s="208" t="n"/>
      <c r="L210" s="424" t="n"/>
      <c r="M210" s="961" t="n"/>
      <c r="N210" s="214" t="n"/>
    </row>
    <row r="211" ht="12.75" customHeight="1">
      <c r="A211" s="207" t="n">
        <v>792282</v>
      </c>
      <c r="B211" s="209" t="inlineStr">
        <is>
          <t>Filo Di Nylon Con Fermo A T - Lunghezza 150mm</t>
        </is>
      </c>
      <c r="C211" s="209" t="n">
        <v>100</v>
      </c>
      <c r="D211" s="960" t="n">
        <v>0.1751</v>
      </c>
      <c r="E211" s="214" t="n"/>
      <c r="F211" s="262" t="n">
        <v>111742</v>
      </c>
      <c r="G211" s="263" t="inlineStr">
        <is>
          <t>Targhetta in metallo per broches doppie</t>
        </is>
      </c>
      <c r="H211" s="264" t="n">
        <v>20</v>
      </c>
      <c r="I211" s="265" t="n">
        <v>0.24</v>
      </c>
      <c r="J211" s="214" t="n"/>
      <c r="K211" s="208" t="n"/>
      <c r="L211" s="424" t="n"/>
      <c r="M211" s="961" t="n"/>
      <c r="N211" s="214" t="n"/>
    </row>
    <row r="212" ht="12.75" customHeight="1">
      <c r="A212" s="207" t="n">
        <v>792283</v>
      </c>
      <c r="B212" s="209" t="inlineStr">
        <is>
          <t>Filo Di Nylon Con Fermo A T - Lunghezza 200mm</t>
        </is>
      </c>
      <c r="C212" s="209" t="n">
        <v>100</v>
      </c>
      <c r="D212" s="960" t="n">
        <v>0.1906</v>
      </c>
      <c r="E212" s="214" t="n"/>
      <c r="F212" s="262" t="n">
        <v>111743</v>
      </c>
      <c r="G212" s="263" t="inlineStr">
        <is>
          <t>Broche doppia in metallo con aggancio semplice per pannelli forati mm. 250</t>
        </is>
      </c>
      <c r="H212" s="264" t="n">
        <v>20</v>
      </c>
      <c r="I212" s="265" t="n">
        <v>0.706</v>
      </c>
      <c r="J212" s="214" t="n"/>
      <c r="K212" s="208" t="n"/>
      <c r="L212" s="424" t="n"/>
      <c r="M212" s="961" t="n"/>
      <c r="N212" s="214" t="n"/>
    </row>
    <row r="213" ht="12.75" customHeight="1">
      <c r="A213" s="207" t="n">
        <v>792284</v>
      </c>
      <c r="B213" s="209" t="inlineStr">
        <is>
          <t>Filo Di Nylon Con Fermo A T - Lunghezza 300mm</t>
        </is>
      </c>
      <c r="C213" s="209" t="n">
        <v>100</v>
      </c>
      <c r="D213" s="960" t="n">
        <v>0.2009</v>
      </c>
      <c r="E213" s="214" t="n"/>
      <c r="F213" s="262" t="n">
        <v>111745</v>
      </c>
      <c r="G213" s="263" t="inlineStr">
        <is>
          <t>Broche singola in metallo con aggancio a corna di toro per pannelli forati mm 100</t>
        </is>
      </c>
      <c r="H213" s="264" t="n">
        <v>20</v>
      </c>
      <c r="I213" s="265" t="n">
        <v>0.345</v>
      </c>
      <c r="J213" s="214" t="n"/>
      <c r="K213" s="208" t="n"/>
      <c r="L213" s="424" t="n"/>
      <c r="M213" s="961" t="n"/>
      <c r="N213" s="214" t="n"/>
    </row>
    <row r="214">
      <c r="A214" s="207" t="n">
        <v>792285</v>
      </c>
      <c r="B214" s="209" t="inlineStr">
        <is>
          <t>Filo Di Nylon Con Fermo A T - Lunghezza 450mm</t>
        </is>
      </c>
      <c r="C214" s="209" t="n">
        <v>100</v>
      </c>
      <c r="D214" s="960" t="n">
        <v>0.2369</v>
      </c>
      <c r="E214" s="214" t="n"/>
      <c r="F214" s="262" t="n">
        <v>111746</v>
      </c>
      <c r="G214" s="263" t="inlineStr">
        <is>
          <t>Broche singola in metallo con aggancio a corna di toro per pannelli forati mm 150</t>
        </is>
      </c>
      <c r="H214" s="264" t="n">
        <v>20</v>
      </c>
      <c r="I214" s="265" t="n">
        <v>0.422</v>
      </c>
      <c r="J214" s="214" t="n"/>
      <c r="K214" s="208" t="n"/>
      <c r="L214" s="424" t="n"/>
      <c r="M214" s="961" t="n"/>
      <c r="N214" s="214" t="n"/>
    </row>
    <row r="215">
      <c r="A215" s="207" t="n">
        <v>792286</v>
      </c>
      <c r="B215" s="209" t="inlineStr">
        <is>
          <t>Filo Di Nylon Con Fermo A T - Lunghezza 610mm</t>
        </is>
      </c>
      <c r="C215" s="209" t="n">
        <v>100</v>
      </c>
      <c r="D215" s="960" t="n">
        <v>0.2967</v>
      </c>
      <c r="E215" s="214" t="n"/>
      <c r="F215" s="262" t="n">
        <v>111747</v>
      </c>
      <c r="G215" s="263" t="inlineStr">
        <is>
          <t>Broche singola in metallo con aggancio a corna di toro per pannelli forati mm 200</t>
        </is>
      </c>
      <c r="H215" s="264" t="n">
        <v>20</v>
      </c>
      <c r="I215" s="265" t="n">
        <v>0.5</v>
      </c>
      <c r="J215" s="214" t="n"/>
      <c r="K215" s="208" t="n"/>
      <c r="L215" s="424" t="n"/>
      <c r="M215" s="961" t="n"/>
      <c r="N215" s="214" t="n"/>
    </row>
    <row r="216">
      <c r="A216" s="207" t="n">
        <v>792287</v>
      </c>
      <c r="B216" s="209" t="inlineStr">
        <is>
          <t>Lacetti Di Nylon - Lunghezza 40 mm</t>
        </is>
      </c>
      <c r="C216" s="207" t="n">
        <v>1000</v>
      </c>
      <c r="D216" s="960" t="n">
        <v>0.07190000000000001</v>
      </c>
      <c r="E216" s="214" t="n"/>
      <c r="F216" s="262" t="n">
        <v>111748</v>
      </c>
      <c r="G216" s="263" t="inlineStr">
        <is>
          <t>Broche singola in metallo con aggancio a corna di toro per pannelli forati mm 300</t>
        </is>
      </c>
      <c r="H216" s="264" t="n">
        <v>20</v>
      </c>
      <c r="I216" s="265" t="n">
        <v>0.705</v>
      </c>
      <c r="J216" s="214" t="n"/>
      <c r="K216" s="208" t="n"/>
      <c r="L216" s="424" t="n"/>
      <c r="M216" s="961" t="n"/>
      <c r="N216" s="214" t="n"/>
    </row>
    <row r="217">
      <c r="A217" s="207" t="n">
        <v>792288</v>
      </c>
      <c r="B217" s="209" t="inlineStr">
        <is>
          <t>Lacetti Di Nylon - Lunghezza 60 mm</t>
        </is>
      </c>
      <c r="C217" s="207" t="n">
        <v>1000</v>
      </c>
      <c r="D217" s="960" t="n">
        <v>0.08119999999999999</v>
      </c>
      <c r="E217" s="214" t="n"/>
      <c r="F217" s="262" t="n">
        <v>111749</v>
      </c>
      <c r="G217" s="263" t="inlineStr">
        <is>
          <t>Broche singola in metallo con aggancio a corna di toro per pannelli forati mm 250</t>
        </is>
      </c>
      <c r="H217" s="264" t="n">
        <v>20</v>
      </c>
      <c r="I217" s="265" t="n">
        <v>0.621</v>
      </c>
      <c r="J217" s="214" t="n"/>
      <c r="K217" s="208" t="n"/>
      <c r="L217" s="424" t="n"/>
      <c r="M217" s="961" t="n"/>
      <c r="N217" s="214" t="n"/>
    </row>
    <row r="218">
      <c r="A218" s="207" t="n">
        <v>792289</v>
      </c>
      <c r="B218" s="209" t="inlineStr">
        <is>
          <t>Lacetti Di Nylon - Lunghezza 100 mm</t>
        </is>
      </c>
      <c r="C218" s="207" t="n">
        <v>1000</v>
      </c>
      <c r="D218" s="960" t="n">
        <v>0.0926</v>
      </c>
      <c r="E218" s="214" t="n"/>
      <c r="F218" s="262" t="n">
        <v>111750</v>
      </c>
      <c r="G218" s="263" t="inlineStr">
        <is>
          <t>Broche universale larga in plastica nera mm. 20</t>
        </is>
      </c>
      <c r="H218" s="264" t="n">
        <v>20</v>
      </c>
      <c r="I218" s="265" t="n">
        <v>0.122</v>
      </c>
      <c r="J218" s="214" t="n"/>
      <c r="K218" s="208" t="n"/>
      <c r="L218" s="424" t="n"/>
      <c r="M218" s="961" t="n"/>
      <c r="N218" s="214" t="n"/>
    </row>
    <row r="219">
      <c r="A219" s="207" t="n">
        <v>792290</v>
      </c>
      <c r="B219" s="209" t="inlineStr">
        <is>
          <t>Lacetti Di Nylon - Lunghezza 140 mm</t>
        </is>
      </c>
      <c r="C219" s="207" t="n">
        <v>1000</v>
      </c>
      <c r="D219" s="960" t="n">
        <v>0.095</v>
      </c>
      <c r="E219" s="215" t="n"/>
      <c r="F219" s="262" t="n">
        <v>111751</v>
      </c>
      <c r="G219" s="263" t="inlineStr">
        <is>
          <t>Broche universale larga in plastica nera mm. 50</t>
        </is>
      </c>
      <c r="H219" s="264" t="n">
        <v>20</v>
      </c>
      <c r="I219" s="265" t="n">
        <v>0.129</v>
      </c>
      <c r="J219" s="215" t="n"/>
      <c r="K219" s="209" t="n"/>
      <c r="L219" s="425" t="n"/>
      <c r="M219" s="962" t="n"/>
      <c r="N219" s="215" t="n"/>
    </row>
    <row r="220">
      <c r="A220" s="207" t="n">
        <v>172018</v>
      </c>
      <c r="B220" s="209" t="inlineStr">
        <is>
          <t>Gancio A Molla Estensibile Fino A 1000 mm</t>
        </is>
      </c>
      <c r="C220" s="207" t="n">
        <v>100</v>
      </c>
      <c r="D220" s="960" t="n">
        <v>0.0442</v>
      </c>
      <c r="E220" s="214" t="n"/>
      <c r="F220" s="262" t="n">
        <v>111752</v>
      </c>
      <c r="G220" s="263" t="inlineStr">
        <is>
          <t>Broche universale larga in plastica nera mm. 70</t>
        </is>
      </c>
      <c r="H220" s="264" t="n">
        <v>20</v>
      </c>
      <c r="I220" s="265" t="n">
        <v>0.116</v>
      </c>
      <c r="J220" s="214" t="n"/>
      <c r="K220" s="208" t="n"/>
      <c r="L220" s="424" t="n"/>
      <c r="M220" s="961" t="n"/>
      <c r="N220" s="214" t="n"/>
    </row>
    <row r="221">
      <c r="A221" s="207" t="n">
        <v>792018</v>
      </c>
      <c r="B221" s="209" t="inlineStr">
        <is>
          <t>Gancio A Molla Estensibile Fino A 1000 mm</t>
        </is>
      </c>
      <c r="C221" s="207" t="n">
        <v>1000</v>
      </c>
      <c r="D221" s="960" t="n">
        <v>0.042</v>
      </c>
      <c r="E221" s="214" t="n"/>
      <c r="F221" s="262" t="n">
        <v>111753</v>
      </c>
      <c r="G221" s="263" t="inlineStr">
        <is>
          <t>Broche universale larga in plastica nera mm. 120</t>
        </is>
      </c>
      <c r="H221" s="264" t="n">
        <v>20</v>
      </c>
      <c r="I221" s="265" t="n">
        <v>0.135</v>
      </c>
      <c r="J221" s="214" t="n"/>
      <c r="K221" s="208" t="n"/>
      <c r="L221" s="424" t="n"/>
      <c r="M221" s="961" t="n"/>
      <c r="N221" s="214" t="n"/>
    </row>
    <row r="222">
      <c r="A222" s="207" t="n">
        <v>172020</v>
      </c>
      <c r="B222" s="209" t="inlineStr">
        <is>
          <t>Gancio A Molla Estensibile Fino A 1700 mm</t>
        </is>
      </c>
      <c r="C222" s="207" t="n">
        <v>100</v>
      </c>
      <c r="D222" s="960" t="n">
        <v>0.051</v>
      </c>
      <c r="E222" s="214" t="n"/>
      <c r="F222" s="262" t="n">
        <v>111754</v>
      </c>
      <c r="G222" s="263" t="inlineStr">
        <is>
          <t>Broche universale larga in plastica nera mm. 150</t>
        </is>
      </c>
      <c r="H222" s="264" t="n">
        <v>20</v>
      </c>
      <c r="I222" s="265" t="n">
        <v>0.147</v>
      </c>
      <c r="J222" s="214" t="n"/>
      <c r="K222" s="208" t="n"/>
      <c r="L222" s="424" t="n"/>
      <c r="M222" s="961" t="n"/>
      <c r="N222" s="214" t="n"/>
    </row>
    <row r="223">
      <c r="A223" s="207" t="n">
        <v>792020</v>
      </c>
      <c r="B223" s="209" t="inlineStr">
        <is>
          <t>Gancio A Molla Estensibile Fino A 1700 mm</t>
        </is>
      </c>
      <c r="C223" s="207" t="n">
        <v>1000</v>
      </c>
      <c r="D223" s="960" t="n">
        <v>0.051</v>
      </c>
      <c r="E223" s="214" t="n"/>
      <c r="F223" s="262" t="n">
        <v>111755</v>
      </c>
      <c r="G223" s="263" t="inlineStr">
        <is>
          <t>Broche universale larga in plastica nera mm. 170</t>
        </is>
      </c>
      <c r="H223" s="264" t="n">
        <v>20</v>
      </c>
      <c r="I223" s="265" t="n">
        <v>0.156</v>
      </c>
      <c r="J223" s="214" t="n"/>
      <c r="K223" s="208" t="n"/>
      <c r="L223" s="424" t="n"/>
      <c r="M223" s="961" t="n"/>
      <c r="N223" s="214" t="n"/>
    </row>
    <row r="224">
      <c r="A224" s="207" t="n">
        <v>172040</v>
      </c>
      <c r="B224" s="209" t="inlineStr">
        <is>
          <t>Gancio A Molla Estensibile Fino A 2000 mm</t>
        </is>
      </c>
      <c r="C224" s="207" t="n">
        <v>25</v>
      </c>
      <c r="D224" s="960" t="n">
        <v>0.0927</v>
      </c>
      <c r="E224" s="214" t="n"/>
      <c r="F224" s="262" t="n">
        <v>111756</v>
      </c>
      <c r="G224" s="263" t="inlineStr">
        <is>
          <t>Broche universale larga in plastica nera mm. 210</t>
        </is>
      </c>
      <c r="H224" s="264" t="n">
        <v>20</v>
      </c>
      <c r="I224" s="265" t="n">
        <v>0.279</v>
      </c>
      <c r="J224" s="214" t="n"/>
      <c r="K224" s="208" t="n"/>
      <c r="L224" s="424" t="n"/>
      <c r="M224" s="961" t="n"/>
      <c r="N224" s="214" t="n"/>
    </row>
    <row r="225">
      <c r="A225" s="207" t="n">
        <v>792040</v>
      </c>
      <c r="B225" s="209" t="inlineStr">
        <is>
          <t>Gancio A Molla Estensibile Fino A 2000 mm</t>
        </is>
      </c>
      <c r="C225" s="207" t="n">
        <v>1000</v>
      </c>
      <c r="D225" s="960" t="n">
        <v>0.1004</v>
      </c>
      <c r="E225" s="215" t="n"/>
      <c r="F225" s="262" t="n">
        <v>111757</v>
      </c>
      <c r="G225" s="263" t="inlineStr">
        <is>
          <t>Broche universale larga in plastica nera mm. 250</t>
        </is>
      </c>
      <c r="H225" s="264" t="n">
        <v>20</v>
      </c>
      <c r="I225" s="265" t="n">
        <v>0.305</v>
      </c>
      <c r="J225" s="215" t="n"/>
      <c r="K225" s="209" t="n"/>
      <c r="L225" s="425" t="n"/>
      <c r="M225" s="962" t="n"/>
      <c r="N225" s="215" t="n"/>
    </row>
    <row r="226">
      <c r="A226" s="207" t="n">
        <v>792011</v>
      </c>
      <c r="B226" s="209" t="inlineStr">
        <is>
          <t>Ganci In Metallo Con Filo Di Nylon - 18mm - Regolabile 1200mm</t>
        </is>
      </c>
      <c r="C226" s="207" t="n">
        <v>100</v>
      </c>
      <c r="D226" s="960" t="n">
        <v>0.1185</v>
      </c>
      <c r="E226" s="214" t="n"/>
      <c r="F226" s="262" t="n">
        <v>111758</v>
      </c>
      <c r="G226" s="263" t="inlineStr">
        <is>
          <t>Broche universale larga in plastica nera mm. 10</t>
        </is>
      </c>
      <c r="H226" s="264" t="n">
        <v>20</v>
      </c>
      <c r="I226" s="265" t="n">
        <v>0.145</v>
      </c>
      <c r="J226" s="214" t="n"/>
      <c r="K226" s="208" t="n"/>
      <c r="L226" s="424" t="n"/>
      <c r="M226" s="961" t="n"/>
      <c r="N226" s="214" t="n"/>
    </row>
    <row r="227">
      <c r="A227" s="207" t="n">
        <v>792012</v>
      </c>
      <c r="B227" s="209" t="inlineStr">
        <is>
          <t>Ganci In Metallo Con Filo Di Nylon - 42mm - Regolabile 1500mm</t>
        </is>
      </c>
      <c r="C227" s="207" t="n">
        <v>100</v>
      </c>
      <c r="D227" s="960" t="n">
        <v>0.1473</v>
      </c>
      <c r="E227" s="214" t="n"/>
      <c r="F227" s="262" t="n">
        <v>111758</v>
      </c>
      <c r="G227" s="263" t="inlineStr">
        <is>
          <t>Broche universale larga in plastica nera mm. 10</t>
        </is>
      </c>
      <c r="H227" s="264" t="n">
        <v>20</v>
      </c>
      <c r="I227" s="265" t="n">
        <v>0.139</v>
      </c>
      <c r="J227" s="214" t="n"/>
      <c r="K227" s="208" t="n"/>
      <c r="L227" s="424" t="n"/>
      <c r="M227" s="961" t="n"/>
      <c r="N227" s="214" t="n"/>
    </row>
    <row r="228">
      <c r="A228" s="207" t="n">
        <v>852200</v>
      </c>
      <c r="B228" s="209" t="inlineStr">
        <is>
          <t>SuPPorti Per Visual Triangolare</t>
        </is>
      </c>
      <c r="C228" s="207" t="n">
        <v>1</v>
      </c>
      <c r="D228" s="960" t="n">
        <v>0.8166</v>
      </c>
      <c r="E228" s="214" t="n"/>
      <c r="F228" s="262" t="n">
        <v>111760</v>
      </c>
      <c r="G228" s="263" t="inlineStr">
        <is>
          <t>Broche universale singola in plastica nera mm. 50</t>
        </is>
      </c>
      <c r="H228" s="264" t="n">
        <v>20</v>
      </c>
      <c r="I228" s="265" t="n">
        <v>0.096</v>
      </c>
      <c r="J228" s="214" t="n"/>
      <c r="K228" s="208" t="n"/>
      <c r="L228" s="424" t="n"/>
      <c r="M228" s="961" t="n"/>
      <c r="N228" s="214" t="n"/>
    </row>
    <row r="229">
      <c r="A229" s="207" t="n">
        <v>852201</v>
      </c>
      <c r="B229" s="209" t="inlineStr">
        <is>
          <t>SuPPorti Per Visual Quandrangolare</t>
        </is>
      </c>
      <c r="C229" s="207" t="n">
        <v>1</v>
      </c>
      <c r="D229" s="960" t="n">
        <v>1.9055</v>
      </c>
      <c r="E229" s="214" t="n"/>
      <c r="F229" s="262" t="n">
        <v>111761</v>
      </c>
      <c r="G229" s="263" t="inlineStr">
        <is>
          <t>Broche universale singola in plastica nera mm. 100</t>
        </is>
      </c>
      <c r="H229" s="264" t="n">
        <v>20</v>
      </c>
      <c r="I229" s="265" t="n">
        <v>0.097</v>
      </c>
      <c r="J229" s="214" t="n"/>
      <c r="K229" s="208" t="n"/>
      <c r="L229" s="424" t="n"/>
      <c r="M229" s="961" t="n"/>
      <c r="N229" s="214" t="n"/>
    </row>
    <row r="230">
      <c r="A230" s="207" t="n">
        <v>172075</v>
      </c>
      <c r="B230" s="209" t="inlineStr">
        <is>
          <t>Asta Con DoPPio Gancio - Lunghezza 60 mm</t>
        </is>
      </c>
      <c r="C230" s="207" t="n">
        <v>50</v>
      </c>
      <c r="D230" s="960" t="n">
        <v>0.0423</v>
      </c>
      <c r="E230" s="214" t="n"/>
      <c r="F230" s="262" t="n">
        <v>111762</v>
      </c>
      <c r="G230" s="263" t="inlineStr">
        <is>
          <t>Broche universale singola in plastica nera mm. 150</t>
        </is>
      </c>
      <c r="H230" s="264" t="n">
        <v>20</v>
      </c>
      <c r="I230" s="265" t="n">
        <v>0.11</v>
      </c>
      <c r="J230" s="214" t="n"/>
      <c r="K230" s="208" t="n"/>
      <c r="L230" s="424" t="n"/>
      <c r="M230" s="961" t="n"/>
      <c r="N230" s="214" t="n"/>
    </row>
    <row r="231">
      <c r="A231" s="207" t="n">
        <v>172077</v>
      </c>
      <c r="B231" s="209" t="inlineStr">
        <is>
          <t>Asta Con DoPPio Gancio - Lunghezza 150 mm</t>
        </is>
      </c>
      <c r="C231" s="207" t="n">
        <v>50</v>
      </c>
      <c r="D231" s="960" t="n">
        <v>0.0485</v>
      </c>
      <c r="E231" s="214" t="n"/>
      <c r="F231" s="262" t="n">
        <v>111770</v>
      </c>
      <c r="G231" s="263" t="inlineStr">
        <is>
          <t>Broche doppia ad inserimento automatico bianca mm. 50</t>
        </is>
      </c>
      <c r="H231" s="264" t="n">
        <v>20</v>
      </c>
      <c r="I231" s="265" t="n">
        <v>0.141</v>
      </c>
      <c r="J231" s="214" t="n"/>
      <c r="K231" s="208" t="n"/>
      <c r="L231" s="424" t="n"/>
      <c r="M231" s="961" t="n"/>
      <c r="N231" s="214" t="n"/>
    </row>
    <row r="232">
      <c r="A232" s="207" t="n">
        <v>172078</v>
      </c>
      <c r="B232" s="209" t="inlineStr">
        <is>
          <t>Asta Con DoPPio Gancio - Lunghezza 300 mm</t>
        </is>
      </c>
      <c r="C232" s="207" t="n">
        <v>50</v>
      </c>
      <c r="D232" s="960" t="n">
        <v>0.0608</v>
      </c>
      <c r="E232" s="214" t="n"/>
      <c r="F232" s="262" t="n">
        <v>111771</v>
      </c>
      <c r="G232" s="263" t="inlineStr">
        <is>
          <t>Broche doppia ad inserimento automatico bianca mm. 100</t>
        </is>
      </c>
      <c r="H232" s="264" t="n">
        <v>20</v>
      </c>
      <c r="I232" s="265" t="n">
        <v>0.162</v>
      </c>
      <c r="J232" s="214" t="n"/>
      <c r="K232" s="208" t="n"/>
      <c r="L232" s="424" t="n"/>
      <c r="M232" s="961" t="n"/>
      <c r="N232" s="214" t="n"/>
    </row>
    <row r="233">
      <c r="A233" s="207" t="n">
        <v>172087</v>
      </c>
      <c r="B233" s="209" t="inlineStr">
        <is>
          <t>Asta Con DoPPio Gancio - Lunghezza 400 mm</t>
        </is>
      </c>
      <c r="C233" s="207" t="n">
        <v>50</v>
      </c>
      <c r="D233" s="960" t="n">
        <v>0.066</v>
      </c>
      <c r="E233" s="214" t="n"/>
      <c r="F233" s="262" t="n">
        <v>111772</v>
      </c>
      <c r="G233" s="263" t="inlineStr">
        <is>
          <t>Broche doppia ad inserimento automatico bianca mm. 150</t>
        </is>
      </c>
      <c r="H233" s="264" t="n">
        <v>20</v>
      </c>
      <c r="I233" s="265" t="n">
        <v>0.205</v>
      </c>
      <c r="J233" s="214" t="n"/>
      <c r="K233" s="208" t="n"/>
      <c r="L233" s="424" t="n"/>
      <c r="M233" s="961" t="n"/>
      <c r="N233" s="214" t="n"/>
    </row>
    <row r="234">
      <c r="A234" s="207" t="n">
        <v>172079</v>
      </c>
      <c r="B234" s="209" t="inlineStr">
        <is>
          <t>Asta Con DoPPio Gancio - Lunghezza 500 mm</t>
        </is>
      </c>
      <c r="C234" s="207" t="n">
        <v>50</v>
      </c>
      <c r="D234" s="960" t="n">
        <v>0.07729999999999999</v>
      </c>
      <c r="E234" s="214" t="n"/>
      <c r="F234" s="262" t="n">
        <v>111773</v>
      </c>
      <c r="G234" s="263" t="inlineStr">
        <is>
          <t>Broche doppia ad inserimento automatico bianca mm. 200</t>
        </is>
      </c>
      <c r="H234" s="264" t="n">
        <v>20</v>
      </c>
      <c r="I234" s="265" t="n">
        <v>0.215</v>
      </c>
      <c r="J234" s="214" t="n"/>
      <c r="K234" s="208" t="n"/>
      <c r="L234" s="424" t="n"/>
      <c r="M234" s="961" t="n"/>
      <c r="N234" s="214" t="n"/>
    </row>
    <row r="235">
      <c r="A235" s="207" t="n">
        <v>172084</v>
      </c>
      <c r="B235" s="209" t="inlineStr">
        <is>
          <t>Asta Con DoPPio Gancio - Lunghezza 600 mm</t>
        </is>
      </c>
      <c r="C235" s="207" t="n">
        <v>50</v>
      </c>
      <c r="D235" s="960" t="n">
        <v>0.1236</v>
      </c>
      <c r="E235" s="214" t="n"/>
      <c r="F235" s="262" t="n">
        <v>111774</v>
      </c>
      <c r="G235" s="263" t="inlineStr">
        <is>
          <t>Broche doppia ad inserimento automatico bianca mm. 250</t>
        </is>
      </c>
      <c r="H235" s="264" t="n">
        <v>20</v>
      </c>
      <c r="I235" s="265" t="n">
        <v>0.252</v>
      </c>
      <c r="J235" s="214" t="n"/>
      <c r="K235" s="208" t="n"/>
      <c r="L235" s="424" t="n"/>
      <c r="M235" s="961" t="n"/>
      <c r="N235" s="214" t="n"/>
    </row>
    <row r="236">
      <c r="A236" s="207" t="n">
        <v>172080</v>
      </c>
      <c r="B236" s="209" t="inlineStr">
        <is>
          <t>Asta Con DoPPio Gancio - Lunghezza : 700 mm</t>
        </is>
      </c>
      <c r="C236" s="207" t="n">
        <v>50</v>
      </c>
      <c r="D236" s="960" t="n">
        <v>0.09379999999999999</v>
      </c>
      <c r="E236" s="214" t="n"/>
      <c r="F236" s="262" t="n">
        <v>111775</v>
      </c>
      <c r="G236" s="263" t="inlineStr">
        <is>
          <t>Broche doppia ad inserimento automatico bianca mm. 300</t>
        </is>
      </c>
      <c r="H236" s="264" t="n">
        <v>20</v>
      </c>
      <c r="I236" s="265" t="n">
        <v>0.321</v>
      </c>
      <c r="J236" s="214" t="n"/>
      <c r="K236" s="208" t="n"/>
      <c r="L236" s="424" t="n"/>
      <c r="M236" s="961" t="n"/>
      <c r="N236" s="214" t="n"/>
    </row>
    <row r="237">
      <c r="A237" s="207" t="n">
        <v>172088</v>
      </c>
      <c r="B237" s="209" t="inlineStr">
        <is>
          <t>Asta Con DoPPio Gancio - Lunghezza : 750 mm</t>
        </is>
      </c>
      <c r="C237" s="207" t="n">
        <v>50</v>
      </c>
      <c r="D237" s="960" t="n">
        <v>0.0979</v>
      </c>
      <c r="E237" s="214" t="n"/>
      <c r="F237" s="262" t="n">
        <v>111778</v>
      </c>
      <c r="G237" s="263" t="inlineStr">
        <is>
          <t>Broche singola ad inserimento automatico bianca mm. 50</t>
        </is>
      </c>
      <c r="H237" s="264" t="n">
        <v>20</v>
      </c>
      <c r="I237" s="265" t="n">
        <v>0.159</v>
      </c>
      <c r="J237" s="214" t="n"/>
      <c r="K237" s="208" t="n"/>
      <c r="L237" s="424" t="n"/>
      <c r="M237" s="961" t="n"/>
      <c r="N237" s="214" t="n"/>
    </row>
    <row r="238">
      <c r="A238" s="207" t="n">
        <v>172085</v>
      </c>
      <c r="B238" s="209" t="inlineStr">
        <is>
          <t>Asta Con DoPPio Gancio - Lunghezza : 800 mm</t>
        </is>
      </c>
      <c r="C238" s="207" t="n">
        <v>50</v>
      </c>
      <c r="D238" s="960" t="n">
        <v>0.148</v>
      </c>
      <c r="E238" s="214" t="n"/>
      <c r="F238" s="262" t="n">
        <v>111779</v>
      </c>
      <c r="G238" s="263" t="inlineStr">
        <is>
          <t>Broche singola ad inserimento automatico bianca mm. 100</t>
        </is>
      </c>
      <c r="H238" s="264" t="n">
        <v>20</v>
      </c>
      <c r="I238" s="265" t="n">
        <v>0.167</v>
      </c>
      <c r="J238" s="214" t="n"/>
      <c r="K238" s="208" t="n"/>
      <c r="L238" s="424" t="n"/>
      <c r="M238" s="961" t="n"/>
      <c r="N238" s="214" t="n"/>
    </row>
    <row r="239">
      <c r="A239" s="207" t="n">
        <v>725021</v>
      </c>
      <c r="B239" s="209" t="inlineStr">
        <is>
          <t>Asta Con DoPPio Gancio - Lunghezza : 1000 mm</t>
        </is>
      </c>
      <c r="C239" s="207" t="n">
        <v>50</v>
      </c>
      <c r="D239" s="960" t="n">
        <v>0.1545</v>
      </c>
      <c r="E239" s="214" t="n"/>
      <c r="F239" s="262" t="n">
        <v>111780</v>
      </c>
      <c r="G239" s="263" t="inlineStr">
        <is>
          <t>Broche singola ad inserimento automatico bianca mm. 150</t>
        </is>
      </c>
      <c r="H239" s="264" t="n">
        <v>20</v>
      </c>
      <c r="I239" s="265" t="n">
        <v>0.185</v>
      </c>
      <c r="J239" s="214" t="n"/>
      <c r="K239" s="208" t="n"/>
      <c r="L239" s="424" t="n"/>
      <c r="M239" s="961" t="n"/>
      <c r="N239" s="214" t="n"/>
    </row>
    <row r="240">
      <c r="A240" s="207" t="n">
        <v>172081</v>
      </c>
      <c r="B240" s="209" t="inlineStr">
        <is>
          <t>Asta Con DoPPio Gancio - Lunghezza 1500 mm</t>
        </is>
      </c>
      <c r="C240" s="207" t="n">
        <v>50</v>
      </c>
      <c r="D240" s="960" t="n">
        <v>0.3193</v>
      </c>
      <c r="E240" s="214" t="n"/>
      <c r="F240" s="262" t="n">
        <v>111781</v>
      </c>
      <c r="G240" s="263" t="inlineStr">
        <is>
          <t>Broche singola ad inserimento automatico bianca mm. 200</t>
        </is>
      </c>
      <c r="H240" s="264" t="n">
        <v>20</v>
      </c>
      <c r="I240" s="265" t="n">
        <v>0.21</v>
      </c>
      <c r="J240" s="214" t="n"/>
      <c r="K240" s="208" t="n"/>
      <c r="L240" s="424" t="n"/>
      <c r="M240" s="961" t="n"/>
      <c r="N240" s="214" t="n"/>
    </row>
    <row r="241">
      <c r="A241" s="207" t="n">
        <v>172082</v>
      </c>
      <c r="B241" s="209" t="inlineStr">
        <is>
          <t>Asta Con DoPPio Gancio - Lunghezza 2000 mm</t>
        </is>
      </c>
      <c r="C241" s="207" t="n">
        <v>50</v>
      </c>
      <c r="D241" s="960" t="n">
        <v>0.2987</v>
      </c>
      <c r="E241" s="214" t="n"/>
      <c r="F241" s="262" t="n">
        <v>111782</v>
      </c>
      <c r="G241" s="263" t="inlineStr">
        <is>
          <t>Broche singola ad inserimento automatico bianca mm. 250</t>
        </is>
      </c>
      <c r="H241" s="264" t="n">
        <v>20</v>
      </c>
      <c r="I241" s="265" t="n">
        <v>0.285</v>
      </c>
      <c r="J241" s="214" t="n"/>
      <c r="K241" s="208" t="n"/>
      <c r="L241" s="424" t="n"/>
      <c r="M241" s="961" t="n"/>
      <c r="N241" s="214" t="n"/>
    </row>
    <row r="242">
      <c r="A242" s="207" t="n">
        <v>724008</v>
      </c>
      <c r="B242" s="209" t="inlineStr">
        <is>
          <t>Rotolo Di Cavo In Acciaio</t>
        </is>
      </c>
      <c r="C242" s="207" t="n">
        <v>1</v>
      </c>
      <c r="D242" s="960" t="n">
        <v>25.75</v>
      </c>
      <c r="E242" s="214" t="n"/>
      <c r="F242" s="262" t="n">
        <v>111784</v>
      </c>
      <c r="G242" s="263" t="inlineStr">
        <is>
          <t>Broche singola ad inserimento automatico nera mm. 50</t>
        </is>
      </c>
      <c r="H242" s="264" t="n">
        <v>20</v>
      </c>
      <c r="I242" s="265" t="n">
        <v>0.175</v>
      </c>
      <c r="J242" s="214" t="n"/>
      <c r="K242" s="208" t="n"/>
      <c r="L242" s="424" t="n"/>
      <c r="M242" s="961" t="n"/>
      <c r="N242" s="214" t="n"/>
    </row>
    <row r="243">
      <c r="A243" s="207" t="n">
        <v>726305</v>
      </c>
      <c r="B243" s="209" t="inlineStr">
        <is>
          <t>Manicotto</t>
        </is>
      </c>
      <c r="C243" s="207" t="n">
        <v>500</v>
      </c>
      <c r="D243" s="960" t="n">
        <v>0.0948</v>
      </c>
      <c r="E243" s="214" t="n"/>
      <c r="F243" s="262" t="n">
        <v>111785</v>
      </c>
      <c r="G243" s="263" t="inlineStr">
        <is>
          <t>Broche singola ad inserimento automatico nera mm. 100</t>
        </is>
      </c>
      <c r="H243" s="264" t="n">
        <v>20</v>
      </c>
      <c r="I243" s="265" t="n">
        <v>0.183</v>
      </c>
      <c r="J243" s="214" t="n"/>
      <c r="K243" s="208" t="n"/>
      <c r="L243" s="424" t="n"/>
      <c r="M243" s="961" t="n"/>
      <c r="N243" s="214" t="n"/>
    </row>
    <row r="244">
      <c r="A244" s="207" t="n">
        <v>724006</v>
      </c>
      <c r="B244" s="209" t="inlineStr">
        <is>
          <t>Pinza Di Taglio</t>
        </is>
      </c>
      <c r="C244" s="207" t="n">
        <v>1</v>
      </c>
      <c r="D244" s="960" t="n">
        <v>48.41</v>
      </c>
      <c r="E244" s="214" t="n"/>
      <c r="F244" s="262" t="n">
        <v>111786</v>
      </c>
      <c r="G244" s="263" t="inlineStr">
        <is>
          <t>Broche singola ad inserimento automatico nera mm. 150</t>
        </is>
      </c>
      <c r="H244" s="264" t="n">
        <v>20</v>
      </c>
      <c r="I244" s="265" t="n">
        <v>0.201</v>
      </c>
      <c r="J244" s="214" t="n"/>
      <c r="K244" s="208" t="n"/>
      <c r="L244" s="424" t="n"/>
      <c r="M244" s="961" t="n"/>
      <c r="N244" s="214" t="n"/>
    </row>
    <row r="245">
      <c r="A245" s="207" t="n">
        <v>792421</v>
      </c>
      <c r="B245" s="209" t="inlineStr">
        <is>
          <t>Gancio A S - Lunghezza 24 mm - Fori Ø 2 mm</t>
        </is>
      </c>
      <c r="C245" s="207" t="n">
        <v>100</v>
      </c>
      <c r="D245" s="960" t="n">
        <v>0.0253</v>
      </c>
      <c r="E245" s="214" t="n"/>
      <c r="F245" s="262" t="n">
        <v>111787</v>
      </c>
      <c r="G245" s="263" t="inlineStr">
        <is>
          <t>Broche singola ad inserimento automatico nera mm. 200</t>
        </is>
      </c>
      <c r="H245" s="264" t="n">
        <v>20</v>
      </c>
      <c r="I245" s="265" t="n">
        <v>0.231</v>
      </c>
      <c r="J245" s="214" t="n"/>
      <c r="K245" s="208" t="n"/>
      <c r="L245" s="424" t="n"/>
      <c r="M245" s="961" t="n"/>
      <c r="N245" s="214" t="n"/>
    </row>
    <row r="246">
      <c r="A246" s="207" t="n">
        <v>792427</v>
      </c>
      <c r="B246" s="209" t="inlineStr">
        <is>
          <t>Gancio A S - Lunghezza 30 mm - Fori Ø 2 mm</t>
        </is>
      </c>
      <c r="C246" s="207" t="n">
        <v>100</v>
      </c>
      <c r="D246" s="960" t="n">
        <v>0.0284</v>
      </c>
      <c r="E246" s="214" t="n"/>
      <c r="F246" s="262" t="n">
        <v>111788</v>
      </c>
      <c r="G246" s="263" t="inlineStr">
        <is>
          <t>Broche singola ad inserimento automatico nera mm. 250</t>
        </is>
      </c>
      <c r="H246" s="264" t="n">
        <v>20</v>
      </c>
      <c r="I246" s="265" t="n">
        <v>0.314</v>
      </c>
      <c r="J246" s="214" t="n"/>
      <c r="K246" s="208" t="n"/>
      <c r="L246" s="424" t="n"/>
      <c r="M246" s="961" t="n"/>
      <c r="N246" s="214" t="n"/>
    </row>
    <row r="247">
      <c r="A247" s="207" t="n">
        <v>792432</v>
      </c>
      <c r="B247" s="209" t="inlineStr">
        <is>
          <t>Gancio A S - Lunghezza 36 mm - Fori Ø 2 mm</t>
        </is>
      </c>
      <c r="C247" s="207" t="n">
        <v>100</v>
      </c>
      <c r="D247" s="960" t="n">
        <v>0.0412</v>
      </c>
      <c r="E247" s="214" t="n"/>
      <c r="F247" s="262" t="n">
        <v>111793</v>
      </c>
      <c r="G247" s="263" t="inlineStr">
        <is>
          <t>Broche doppia ad inserimento automatico nera mm. 50</t>
        </is>
      </c>
      <c r="H247" s="264" t="n">
        <v>20</v>
      </c>
      <c r="I247" s="265" t="n">
        <v>0.155</v>
      </c>
      <c r="J247" s="214" t="n"/>
      <c r="K247" s="208" t="n"/>
      <c r="L247" s="424" t="n"/>
      <c r="M247" s="961" t="n"/>
      <c r="N247" s="214" t="n"/>
    </row>
    <row r="248">
      <c r="A248" s="207" t="n">
        <v>792451</v>
      </c>
      <c r="B248" s="209" t="inlineStr">
        <is>
          <t>Gancio A S - Lunghezza 59 mm - Fori Ø 2 mm</t>
        </is>
      </c>
      <c r="C248" s="207" t="n">
        <v>100</v>
      </c>
      <c r="D248" s="960" t="n">
        <v>0.0459</v>
      </c>
      <c r="E248" s="214" t="n"/>
      <c r="F248" s="262" t="n">
        <v>111794</v>
      </c>
      <c r="G248" s="263" t="inlineStr">
        <is>
          <t>Broche doppia ad inserimento automatico nera mm. 100</t>
        </is>
      </c>
      <c r="H248" s="264" t="n">
        <v>20</v>
      </c>
      <c r="I248" s="265" t="n">
        <v>0.178</v>
      </c>
      <c r="J248" s="214" t="n"/>
      <c r="K248" s="208" t="n"/>
      <c r="L248" s="424" t="n"/>
      <c r="M248" s="961" t="n"/>
      <c r="N248" s="214" t="n"/>
    </row>
    <row r="249">
      <c r="A249" s="207" t="n">
        <v>792452</v>
      </c>
      <c r="B249" s="209" t="inlineStr">
        <is>
          <t>Gancio A S - Lunghezza 65 mm - Fori Ø 2,5 mm</t>
        </is>
      </c>
      <c r="C249" s="207" t="n">
        <v>100</v>
      </c>
      <c r="D249" s="960" t="n">
        <v>0.0618</v>
      </c>
      <c r="E249" s="214" t="n"/>
      <c r="F249" s="262" t="n">
        <v>111795</v>
      </c>
      <c r="G249" s="263" t="inlineStr">
        <is>
          <t>Broche doppia ad inserimento automatico nera mm. 150</t>
        </is>
      </c>
      <c r="H249" s="264" t="n">
        <v>20</v>
      </c>
      <c r="I249" s="265" t="n">
        <v>0.226</v>
      </c>
      <c r="J249" s="214" t="n"/>
      <c r="K249" s="208" t="n"/>
      <c r="L249" s="424" t="n"/>
      <c r="M249" s="961" t="n"/>
      <c r="N249" s="214" t="n"/>
    </row>
    <row r="250">
      <c r="A250" s="207" t="n">
        <v>792438</v>
      </c>
      <c r="B250" s="209" t="inlineStr">
        <is>
          <t>Gancio A S Asimmetrico - Lunghezza 39 mm - Fori Ø 2 mm</t>
        </is>
      </c>
      <c r="C250" s="207" t="n">
        <v>100</v>
      </c>
      <c r="D250" s="960" t="n">
        <v>0.0752</v>
      </c>
      <c r="E250" s="214" t="n"/>
      <c r="F250" s="262" t="n">
        <v>111796</v>
      </c>
      <c r="G250" s="263" t="inlineStr">
        <is>
          <t>Broche doppia ad inserimento automatico nera mm. 200</t>
        </is>
      </c>
      <c r="H250" s="264" t="n">
        <v>20</v>
      </c>
      <c r="I250" s="265" t="n">
        <v>0.236</v>
      </c>
      <c r="J250" s="214" t="n"/>
      <c r="K250" s="208" t="n"/>
      <c r="L250" s="424" t="n"/>
      <c r="M250" s="961" t="n"/>
      <c r="N250" s="214" t="n"/>
    </row>
    <row r="251">
      <c r="A251" s="207" t="n">
        <v>792436</v>
      </c>
      <c r="B251" s="209" t="inlineStr">
        <is>
          <t>Gancio A S Asimmetrico - Lunghezza 45 mm - Fori Ø 2 mm</t>
        </is>
      </c>
      <c r="C251" s="207" t="n">
        <v>100</v>
      </c>
      <c r="D251" s="960" t="n">
        <v>0.07829999999999999</v>
      </c>
      <c r="E251" s="214" t="n"/>
      <c r="F251" s="262" t="n">
        <v>111797</v>
      </c>
      <c r="G251" s="263" t="inlineStr">
        <is>
          <t>Broche doppia ad inserimento automatico nera mm. 250</t>
        </is>
      </c>
      <c r="H251" s="264" t="n">
        <v>20</v>
      </c>
      <c r="I251" s="265" t="n">
        <v>0.262</v>
      </c>
      <c r="J251" s="214" t="n"/>
      <c r="K251" s="208" t="n"/>
      <c r="L251" s="424" t="n"/>
      <c r="M251" s="961" t="n"/>
      <c r="N251" s="214" t="n"/>
    </row>
    <row r="252">
      <c r="A252" s="207" t="n">
        <v>792426</v>
      </c>
      <c r="B252" s="209" t="inlineStr">
        <is>
          <t>Gancio A S Asimmetrico - Lunghezza 32 mm - Fori Ø 2 mm</t>
        </is>
      </c>
      <c r="C252" s="207" t="n">
        <v>1000</v>
      </c>
      <c r="D252" s="960" t="n">
        <v>0.0374</v>
      </c>
      <c r="E252" s="214" t="n"/>
      <c r="F252" s="262" t="n">
        <v>111798</v>
      </c>
      <c r="G252" s="263" t="inlineStr">
        <is>
          <t>Broche doppia ad inserimento automatico nera mm. 300</t>
        </is>
      </c>
      <c r="H252" s="264" t="n">
        <v>20</v>
      </c>
      <c r="I252" s="265" t="n">
        <v>0.353</v>
      </c>
      <c r="J252" s="214" t="n"/>
      <c r="K252" s="208" t="n"/>
      <c r="L252" s="424" t="n"/>
      <c r="M252" s="961" t="n"/>
      <c r="N252" s="214" t="n"/>
    </row>
    <row r="253">
      <c r="A253" s="207" t="n">
        <v>792437</v>
      </c>
      <c r="B253" s="209" t="inlineStr">
        <is>
          <t>Gancio A S Asimmetrico - Lunghezza 40 mm - Fori Ø 2 mm</t>
        </is>
      </c>
      <c r="C253" s="207" t="n">
        <v>100</v>
      </c>
      <c r="D253" s="960" t="n">
        <v>0.0711</v>
      </c>
      <c r="E253" s="214" t="n"/>
      <c r="F253" s="262" t="n">
        <v>111801</v>
      </c>
      <c r="G253" s="263" t="inlineStr">
        <is>
          <t>Broche universale larga in plastica bianca mm. 10</t>
        </is>
      </c>
      <c r="H253" s="264" t="n">
        <v>20</v>
      </c>
      <c r="I253" s="265" t="n">
        <v>0.131</v>
      </c>
      <c r="J253" s="214" t="n"/>
      <c r="K253" s="208" t="n"/>
      <c r="L253" s="424" t="n"/>
      <c r="M253" s="961" t="n"/>
      <c r="N253" s="214" t="n"/>
    </row>
    <row r="254">
      <c r="A254" s="207" t="n">
        <v>792429</v>
      </c>
      <c r="B254" s="209" t="inlineStr">
        <is>
          <t>Gancio A S - Lunghezza 65 mm - Fori Ø 9 &amp; 20 mm</t>
        </is>
      </c>
      <c r="C254" s="207" t="n">
        <v>100</v>
      </c>
      <c r="D254" s="960" t="n">
        <v>0.0742</v>
      </c>
      <c r="E254" s="214" t="n"/>
      <c r="F254" s="262" t="n">
        <v>111801</v>
      </c>
      <c r="G254" s="263" t="inlineStr">
        <is>
          <t>Broche universale larga in plastica bianca mm. 10</t>
        </is>
      </c>
      <c r="H254" s="264" t="n">
        <v>20</v>
      </c>
      <c r="I254" s="265" t="n">
        <v>0.126</v>
      </c>
      <c r="J254" s="214" t="n"/>
      <c r="K254" s="208" t="n"/>
      <c r="L254" s="424" t="n"/>
      <c r="M254" s="961" t="n"/>
      <c r="N254" s="214" t="n"/>
    </row>
    <row r="255">
      <c r="A255" s="207" t="n">
        <v>792445</v>
      </c>
      <c r="B255" s="209" t="inlineStr">
        <is>
          <t>Gancio A S Asimmetrico - Lunghezza 110 mm - Fori Ø 5 mm</t>
        </is>
      </c>
      <c r="C255" s="207" t="n">
        <v>10</v>
      </c>
      <c r="D255" s="960" t="n">
        <v>0.7107</v>
      </c>
      <c r="E255" s="214" t="n"/>
      <c r="F255" s="262" t="n">
        <v>111802</v>
      </c>
      <c r="G255" s="263" t="inlineStr">
        <is>
          <t>Broche universale larga in plastica bianca mm. 20</t>
        </is>
      </c>
      <c r="H255" s="264" t="n">
        <v>20</v>
      </c>
      <c r="I255" s="265" t="n">
        <v>0.122</v>
      </c>
      <c r="J255" s="214" t="n"/>
      <c r="K255" s="208" t="n"/>
      <c r="L255" s="424" t="n"/>
      <c r="M255" s="961" t="n"/>
      <c r="N255" s="214" t="n"/>
    </row>
    <row r="256">
      <c r="A256" s="207" t="n">
        <v>792440</v>
      </c>
      <c r="B256" s="209" t="inlineStr">
        <is>
          <t>Gancio A S Asimmetrico - Lunghezza 45 mm - Fori Ø 2 mm</t>
        </is>
      </c>
      <c r="C256" s="207" t="n">
        <v>100</v>
      </c>
      <c r="D256" s="960" t="n">
        <v>0.07729999999999999</v>
      </c>
      <c r="E256" s="214" t="n"/>
      <c r="F256" s="262" t="n">
        <v>111803</v>
      </c>
      <c r="G256" s="263" t="inlineStr">
        <is>
          <t>Broche universale larga in plastica bianca mm. 50</t>
        </is>
      </c>
      <c r="H256" s="264" t="n">
        <v>20</v>
      </c>
      <c r="I256" s="265" t="n">
        <v>0.129</v>
      </c>
      <c r="J256" s="214" t="n"/>
      <c r="K256" s="208" t="n"/>
      <c r="L256" s="424" t="n"/>
      <c r="M256" s="961" t="n"/>
      <c r="N256" s="214" t="n"/>
    </row>
    <row r="257">
      <c r="A257" s="207" t="n">
        <v>792463</v>
      </c>
      <c r="B257" s="209" t="inlineStr">
        <is>
          <t>Gancio A S Asimmetrico - Lunghezza 50 mm - Fori Ø 4 mm - Bianco Pvc</t>
        </is>
      </c>
      <c r="C257" s="207" t="n">
        <v>100</v>
      </c>
      <c r="D257" s="960" t="n">
        <v>0.0515</v>
      </c>
      <c r="E257" s="214" t="n"/>
      <c r="F257" s="262" t="n">
        <v>111808</v>
      </c>
      <c r="G257" s="263" t="inlineStr">
        <is>
          <t>Broche universale larga in plastica bianca mm. 210</t>
        </is>
      </c>
      <c r="H257" s="264" t="n">
        <v>20</v>
      </c>
      <c r="I257" s="265" t="n">
        <v>0.279</v>
      </c>
      <c r="J257" s="214" t="n"/>
      <c r="K257" s="208" t="n"/>
      <c r="L257" s="424" t="n"/>
      <c r="M257" s="961" t="n"/>
      <c r="N257" s="214" t="n"/>
    </row>
    <row r="258">
      <c r="A258" s="207" t="n">
        <v>792430</v>
      </c>
      <c r="B258" s="209" t="inlineStr">
        <is>
          <t>Anello En C - Lunghezza 40 mm</t>
        </is>
      </c>
      <c r="C258" s="207" t="n">
        <v>100</v>
      </c>
      <c r="D258" s="960" t="n">
        <v>0.0402</v>
      </c>
      <c r="E258" s="214" t="n"/>
      <c r="F258" s="262" t="n">
        <v>111809</v>
      </c>
      <c r="G258" s="263" t="inlineStr">
        <is>
          <t>Broche universale larga in plastica bianca mm. 250</t>
        </is>
      </c>
      <c r="H258" s="264" t="n">
        <v>20</v>
      </c>
      <c r="I258" s="265" t="n">
        <v>0.305</v>
      </c>
      <c r="J258" s="214" t="n"/>
      <c r="K258" s="208" t="n"/>
      <c r="L258" s="424" t="n"/>
      <c r="M258" s="961" t="n"/>
      <c r="N258" s="214" t="n"/>
    </row>
    <row r="259">
      <c r="A259" s="207" t="n">
        <v>792448</v>
      </c>
      <c r="B259" s="209" t="inlineStr">
        <is>
          <t>Anello En C Chiuso - Lunghezza 40 mm</t>
        </is>
      </c>
      <c r="C259" s="207" t="n">
        <v>100</v>
      </c>
      <c r="D259" s="960" t="n">
        <v>0.0402</v>
      </c>
      <c r="E259" s="214" t="n"/>
      <c r="F259" s="262" t="n">
        <v>111815</v>
      </c>
      <c r="G259" s="263" t="inlineStr">
        <is>
          <t>Targa informativa per broches doppie diametro mm. 4</t>
        </is>
      </c>
      <c r="H259" s="264" t="n">
        <v>100</v>
      </c>
      <c r="I259" s="265" t="n">
        <v>0.215</v>
      </c>
      <c r="J259" s="214" t="n"/>
      <c r="K259" s="208" t="n"/>
      <c r="L259" s="424" t="n"/>
      <c r="M259" s="961" t="n"/>
      <c r="N259" s="214" t="n"/>
    </row>
    <row r="260">
      <c r="A260" s="207" t="n">
        <v>792449</v>
      </c>
      <c r="B260" s="209" t="inlineStr">
        <is>
          <t>Anello En C Chiuso - Lunghezza 60 mm</t>
        </is>
      </c>
      <c r="C260" s="207" t="n">
        <v>100</v>
      </c>
      <c r="D260" s="960" t="n">
        <v>0.0433</v>
      </c>
      <c r="E260" s="214" t="n"/>
      <c r="F260" s="262" t="n">
        <v>111816</v>
      </c>
      <c r="G260" s="263" t="inlineStr">
        <is>
          <t>Targa informativa per broches doppie diametro mm. 5</t>
        </is>
      </c>
      <c r="H260" s="264" t="n">
        <v>100</v>
      </c>
      <c r="I260" s="265" t="n">
        <v>0.215</v>
      </c>
      <c r="J260" s="214" t="n"/>
      <c r="K260" s="208" t="n"/>
      <c r="L260" s="424" t="n"/>
      <c r="M260" s="961" t="n"/>
      <c r="N260" s="214" t="n"/>
    </row>
    <row r="261">
      <c r="A261" s="207" t="n">
        <v>172594</v>
      </c>
      <c r="B261" s="209" t="inlineStr">
        <is>
          <t>Anello Portachiave Ø 20mm</t>
        </is>
      </c>
      <c r="C261" s="207" t="n">
        <v>100</v>
      </c>
      <c r="D261" s="960" t="n">
        <v>0.0515</v>
      </c>
      <c r="E261" s="214" t="n"/>
      <c r="F261" s="262" t="n">
        <v>111821</v>
      </c>
      <c r="G261" s="263" t="inlineStr">
        <is>
          <t>Fermo tondo per broches</t>
        </is>
      </c>
      <c r="H261" s="264" t="n">
        <v>100</v>
      </c>
      <c r="I261" s="265" t="n">
        <v>0.079</v>
      </c>
      <c r="J261" s="214" t="n"/>
      <c r="K261" s="208" t="n"/>
      <c r="L261" s="424" t="n"/>
      <c r="M261" s="961" t="n"/>
      <c r="N261" s="214" t="n"/>
    </row>
    <row r="262">
      <c r="A262" s="207" t="n">
        <v>172593</v>
      </c>
      <c r="B262" s="209" t="inlineStr">
        <is>
          <t>Anello Portachiave Ø 30mm</t>
        </is>
      </c>
      <c r="C262" s="207" t="n">
        <v>100</v>
      </c>
      <c r="D262" s="960" t="n">
        <v>0.0721</v>
      </c>
      <c r="E262" s="214" t="n"/>
      <c r="F262" s="262" t="n">
        <v>111830</v>
      </c>
      <c r="G262" s="263" t="inlineStr">
        <is>
          <t>Distanziatore adesivo tondo per display mm. 20</t>
        </is>
      </c>
      <c r="H262" s="264" t="n">
        <v>100</v>
      </c>
      <c r="I262" s="265" t="n">
        <v>0.153</v>
      </c>
      <c r="J262" s="214" t="n"/>
      <c r="K262" s="208" t="n"/>
      <c r="L262" s="424" t="n"/>
      <c r="M262" s="961" t="n"/>
      <c r="N262" s="214" t="n"/>
    </row>
    <row r="263">
      <c r="A263" s="207" t="n">
        <v>172590</v>
      </c>
      <c r="B263" s="209" t="inlineStr">
        <is>
          <t>Anello In Metallo - Lunghezza : 70 mm</t>
        </is>
      </c>
      <c r="C263" s="207" t="n">
        <v>100</v>
      </c>
      <c r="D263" s="960" t="n">
        <v>0.08450000000000001</v>
      </c>
      <c r="E263" s="214" t="n"/>
      <c r="F263" s="262" t="n">
        <v>111831</v>
      </c>
      <c r="G263" s="263" t="inlineStr">
        <is>
          <t>Piedino adesivo bianco</t>
        </is>
      </c>
      <c r="H263" s="264" t="n">
        <v>50</v>
      </c>
      <c r="I263" s="265" t="n">
        <v>0.531</v>
      </c>
      <c r="J263" s="214" t="n"/>
      <c r="K263" s="208" t="n"/>
      <c r="L263" s="424" t="n"/>
      <c r="M263" s="961" t="n"/>
      <c r="N263" s="214" t="n"/>
    </row>
    <row r="264">
      <c r="A264" s="207" t="n">
        <v>792314</v>
      </c>
      <c r="B264" s="209" t="inlineStr">
        <is>
          <t>Anello Pvc Ø20mm Ovale Bianco</t>
        </is>
      </c>
      <c r="C264" s="207" t="n">
        <v>100</v>
      </c>
      <c r="D264" s="960" t="n">
        <v>0.0402</v>
      </c>
      <c r="E264" s="214" t="n"/>
      <c r="F264" s="262" t="n">
        <v>111832</v>
      </c>
      <c r="G264" s="263" t="inlineStr">
        <is>
          <t>Piedino adesivo nero</t>
        </is>
      </c>
      <c r="H264" s="264" t="n">
        <v>50</v>
      </c>
      <c r="I264" s="265" t="n">
        <v>0.531</v>
      </c>
      <c r="J264" s="214" t="n"/>
      <c r="K264" s="208" t="n"/>
      <c r="L264" s="424" t="n"/>
      <c r="M264" s="961" t="n"/>
      <c r="N264" s="214" t="n"/>
    </row>
    <row r="265">
      <c r="A265" s="207" t="n">
        <v>792315</v>
      </c>
      <c r="B265" s="209" t="inlineStr">
        <is>
          <t>Anello Pvc Ø50mm Ovale Bianco</t>
        </is>
      </c>
      <c r="C265" s="207" t="n">
        <v>100</v>
      </c>
      <c r="D265" s="960" t="n">
        <v>0.0412</v>
      </c>
      <c r="E265" s="214" t="n"/>
      <c r="F265" s="262" t="n">
        <v>111833</v>
      </c>
      <c r="G265" s="263" t="inlineStr">
        <is>
          <t>Piedino in plexiglass per display</t>
        </is>
      </c>
      <c r="H265" s="264" t="n">
        <v>20</v>
      </c>
      <c r="I265" s="265" t="n">
        <v>1.314</v>
      </c>
      <c r="J265" s="214" t="n"/>
      <c r="K265" s="208" t="n"/>
      <c r="L265" s="424" t="n"/>
      <c r="M265" s="961" t="n"/>
      <c r="N265" s="214" t="n"/>
    </row>
    <row r="266">
      <c r="A266" s="207" t="n">
        <v>792318</v>
      </c>
      <c r="B266" s="209" t="inlineStr">
        <is>
          <t>Anello Pvc Ø15mm Rotondo Bianco</t>
        </is>
      </c>
      <c r="C266" s="207" t="n">
        <v>100</v>
      </c>
      <c r="D266" s="960" t="n">
        <v>0.0227</v>
      </c>
      <c r="E266" s="214" t="n"/>
      <c r="F266" s="262" t="n">
        <v>111834</v>
      </c>
      <c r="G266" s="263" t="inlineStr">
        <is>
          <t>Piedino in plexiglass trasparente a T rovesciata</t>
        </is>
      </c>
      <c r="H266" s="264" t="n">
        <v>30</v>
      </c>
      <c r="I266" s="265" t="n">
        <v>0.8</v>
      </c>
      <c r="J266" s="214" t="n"/>
      <c r="K266" s="208" t="n"/>
      <c r="L266" s="424" t="n"/>
      <c r="M266" s="961" t="n"/>
      <c r="N266" s="214" t="n"/>
    </row>
    <row r="267">
      <c r="A267" s="207" t="n">
        <v>172579</v>
      </c>
      <c r="B267" s="209" t="inlineStr">
        <is>
          <t>Anello In Metallo Ø 14 mm</t>
        </is>
      </c>
      <c r="C267" s="207" t="n">
        <v>100</v>
      </c>
      <c r="D267" s="960" t="n">
        <v>0.0721</v>
      </c>
      <c r="E267" s="214" t="n"/>
      <c r="F267" s="262" t="n">
        <v>111836</v>
      </c>
      <c r="G267" s="263" t="inlineStr">
        <is>
          <t>Piedino in cartone mm. 110X110</t>
        </is>
      </c>
      <c r="H267" s="264" t="n">
        <v>50</v>
      </c>
      <c r="I267" s="265" t="n">
        <v>0.36</v>
      </c>
      <c r="J267" s="214" t="n"/>
      <c r="K267" s="208" t="n"/>
      <c r="L267" s="424" t="n"/>
      <c r="M267" s="961" t="n"/>
      <c r="N267" s="214" t="n"/>
    </row>
    <row r="268">
      <c r="A268" s="207" t="n">
        <v>172580</v>
      </c>
      <c r="B268" s="209" t="inlineStr">
        <is>
          <t>Anello In Metallo Ø 19 mm</t>
        </is>
      </c>
      <c r="C268" s="207" t="n">
        <v>100</v>
      </c>
      <c r="D268" s="960" t="n">
        <v>0.0702</v>
      </c>
      <c r="E268" s="214" t="n"/>
      <c r="F268" s="262" t="n">
        <v>111837</v>
      </c>
      <c r="G268" s="263" t="inlineStr">
        <is>
          <t>Piedino in cartone mm. 160X170</t>
        </is>
      </c>
      <c r="H268" s="264" t="n">
        <v>50</v>
      </c>
      <c r="I268" s="265" t="n">
        <v>0.36</v>
      </c>
      <c r="J268" s="214" t="n"/>
      <c r="K268" s="208" t="n"/>
      <c r="L268" s="424" t="n"/>
      <c r="M268" s="961" t="n"/>
      <c r="N268" s="214" t="n"/>
    </row>
    <row r="269">
      <c r="A269" s="207" t="n">
        <v>172582</v>
      </c>
      <c r="B269" s="209" t="inlineStr">
        <is>
          <t>Anello In Metallo Ø 25 mm</t>
        </is>
      </c>
      <c r="C269" s="207" t="n">
        <v>100</v>
      </c>
      <c r="D269" s="960" t="n">
        <v>0.08749999999999999</v>
      </c>
      <c r="E269" s="214" t="n"/>
      <c r="F269" s="262" t="n">
        <v>111838</v>
      </c>
      <c r="G269" s="263" t="inlineStr">
        <is>
          <t>Piedino in cartone mm. 240X220</t>
        </is>
      </c>
      <c r="H269" s="264" t="n">
        <v>50</v>
      </c>
      <c r="I269" s="265" t="n">
        <v>0.36</v>
      </c>
      <c r="J269" s="214" t="n"/>
      <c r="K269" s="208" t="n"/>
      <c r="L269" s="424" t="n"/>
      <c r="M269" s="961" t="n"/>
      <c r="N269" s="214" t="n"/>
    </row>
    <row r="270">
      <c r="A270" s="207" t="n">
        <v>172583</v>
      </c>
      <c r="B270" s="209" t="inlineStr">
        <is>
          <t>Anello In Metallo Ø 32 mm</t>
        </is>
      </c>
      <c r="C270" s="207" t="n">
        <v>100</v>
      </c>
      <c r="D270" s="960" t="n">
        <v>0.09039999999999999</v>
      </c>
      <c r="E270" s="214" t="n"/>
      <c r="F270" s="262" t="n">
        <v>111839</v>
      </c>
      <c r="G270" s="263" t="inlineStr">
        <is>
          <t>Piedino in cartone mm. 280X250</t>
        </is>
      </c>
      <c r="H270" s="264" t="n">
        <v>50</v>
      </c>
      <c r="I270" s="265" t="n">
        <v>0.36</v>
      </c>
      <c r="J270" s="214" t="n"/>
      <c r="K270" s="208" t="n"/>
      <c r="L270" s="424" t="n"/>
      <c r="M270" s="961" t="n"/>
      <c r="N270" s="214" t="n"/>
    </row>
    <row r="271">
      <c r="A271" s="207" t="n">
        <v>172584</v>
      </c>
      <c r="B271" s="209" t="inlineStr">
        <is>
          <t>Anello In Metallo Ø 38 mm</t>
        </is>
      </c>
      <c r="C271" s="207" t="n">
        <v>100</v>
      </c>
      <c r="D271" s="960" t="n">
        <v>0.09760000000000001</v>
      </c>
      <c r="E271" s="214" t="n"/>
      <c r="F271" s="262" t="n">
        <v>111840</v>
      </c>
      <c r="G271" s="263" t="inlineStr">
        <is>
          <t>Piedino in cartone mm. 340X250</t>
        </is>
      </c>
      <c r="H271" s="264" t="n">
        <v>50</v>
      </c>
      <c r="I271" s="265" t="n">
        <v>0.432</v>
      </c>
      <c r="J271" s="214" t="n"/>
      <c r="K271" s="208" t="n"/>
      <c r="L271" s="424" t="n"/>
      <c r="M271" s="961" t="n"/>
      <c r="N271" s="214" t="n"/>
    </row>
    <row r="272">
      <c r="A272" s="207" t="n">
        <v>172591</v>
      </c>
      <c r="B272" s="209" t="inlineStr">
        <is>
          <t>Anello In Metallo Ø 51 mm</t>
        </is>
      </c>
      <c r="C272" s="207" t="n">
        <v>100</v>
      </c>
      <c r="D272" s="960" t="n">
        <v>0.1103</v>
      </c>
      <c r="E272" s="214" t="n"/>
      <c r="F272" s="262" t="n">
        <v>111841</v>
      </c>
      <c r="G272" s="263" t="inlineStr">
        <is>
          <t>Piedino in cartone mm. 485x335</t>
        </is>
      </c>
      <c r="H272" s="264" t="n">
        <v>50</v>
      </c>
      <c r="I272" s="265" t="n">
        <v>0.648</v>
      </c>
      <c r="J272" s="214" t="n"/>
      <c r="K272" s="208" t="n"/>
      <c r="L272" s="424" t="n"/>
      <c r="M272" s="961" t="n"/>
      <c r="N272" s="214" t="n"/>
    </row>
    <row r="273">
      <c r="A273" s="207" t="n">
        <v>172596</v>
      </c>
      <c r="B273" s="209" t="inlineStr">
        <is>
          <t>Anello In Metallo Ø 60 mm</t>
        </is>
      </c>
      <c r="C273" s="207" t="n">
        <v>25</v>
      </c>
      <c r="D273" s="960" t="n">
        <v>0.1442</v>
      </c>
      <c r="E273" s="214" t="n"/>
      <c r="F273" s="262" t="n">
        <v>111843</v>
      </c>
      <c r="G273" s="266" t="inlineStr">
        <is>
          <t>Piedino in cartone mm. 790x550</t>
        </is>
      </c>
      <c r="H273" s="264" t="n">
        <v>50</v>
      </c>
      <c r="I273" s="265" t="n">
        <v>1.584</v>
      </c>
      <c r="J273" s="214" t="n"/>
      <c r="K273" s="208" t="n"/>
      <c r="L273" s="424" t="n"/>
      <c r="M273" s="961" t="n"/>
      <c r="N273" s="214" t="n"/>
    </row>
    <row r="274">
      <c r="A274" s="207" t="n">
        <v>172597</v>
      </c>
      <c r="B274" s="209" t="inlineStr">
        <is>
          <t>Anello In Metallo Ø 76 mm</t>
        </is>
      </c>
      <c r="C274" s="207" t="n">
        <v>10</v>
      </c>
      <c r="D274" s="960" t="n">
        <v>0.2287</v>
      </c>
      <c r="E274" s="214" t="n"/>
      <c r="F274" s="262" t="n">
        <v>111844</v>
      </c>
      <c r="G274" s="263" t="inlineStr">
        <is>
          <t>Piedino in cartone mm. 145x340</t>
        </is>
      </c>
      <c r="H274" s="264" t="n">
        <v>50</v>
      </c>
      <c r="I274" s="265" t="n">
        <v>0.36</v>
      </c>
      <c r="J274" s="214" t="n"/>
      <c r="K274" s="208" t="n"/>
      <c r="L274" s="424" t="n"/>
      <c r="M274" s="961" t="n"/>
      <c r="N274" s="214" t="n"/>
    </row>
    <row r="275">
      <c r="A275" s="207" t="n">
        <v>172172</v>
      </c>
      <c r="B275" s="209" t="inlineStr">
        <is>
          <t>Anelli A Catena</t>
        </is>
      </c>
      <c r="C275" s="207" t="n">
        <v>100</v>
      </c>
      <c r="D275" s="960" t="n">
        <v>0.3296</v>
      </c>
      <c r="E275" s="214" t="n"/>
      <c r="F275" s="262" t="n">
        <v>111845</v>
      </c>
      <c r="G275" s="263" t="inlineStr">
        <is>
          <t>Piedino in cartone mm. 230x165</t>
        </is>
      </c>
      <c r="H275" s="264" t="n">
        <v>50</v>
      </c>
      <c r="I275" s="265" t="n">
        <v>0.432</v>
      </c>
      <c r="J275" s="214" t="n"/>
      <c r="K275" s="208" t="n"/>
      <c r="L275" s="424" t="n"/>
      <c r="M275" s="961" t="n"/>
      <c r="N275" s="214" t="n"/>
    </row>
    <row r="276">
      <c r="A276" s="207" t="n">
        <v>172173</v>
      </c>
      <c r="B276" s="209" t="inlineStr">
        <is>
          <t>Fibbia Di Fissaggio Trasparente</t>
        </is>
      </c>
      <c r="C276" s="207" t="n">
        <v>100</v>
      </c>
      <c r="D276" s="960" t="n">
        <v>0.0567</v>
      </c>
      <c r="E276" s="214" t="n"/>
      <c r="F276" s="262" t="n">
        <v>111846</v>
      </c>
      <c r="G276" s="263" t="inlineStr">
        <is>
          <t>Piedino in cartone mm. 255x160</t>
        </is>
      </c>
      <c r="H276" s="264" t="n">
        <v>50</v>
      </c>
      <c r="I276" s="265" t="n">
        <v>0.36</v>
      </c>
      <c r="J276" s="214" t="n"/>
      <c r="K276" s="208" t="n"/>
      <c r="L276" s="424" t="n"/>
      <c r="M276" s="961" t="n"/>
      <c r="N276" s="214" t="n"/>
    </row>
    <row r="277">
      <c r="A277" s="207" t="n">
        <v>172159</v>
      </c>
      <c r="B277" s="209" t="inlineStr">
        <is>
          <t>Catena A Pallini 50 M - Ø 2,4mm</t>
        </is>
      </c>
      <c r="C277" s="207" t="n">
        <v>50</v>
      </c>
      <c r="D277" s="960" t="n">
        <v>0.5493</v>
      </c>
      <c r="E277" s="214" t="n"/>
      <c r="F277" s="262" t="n">
        <v>111847</v>
      </c>
      <c r="G277" s="263" t="inlineStr">
        <is>
          <t>Piedino in cartone mm. 340X320</t>
        </is>
      </c>
      <c r="H277" s="264" t="n">
        <v>50</v>
      </c>
      <c r="I277" s="265" t="n">
        <v>0.432</v>
      </c>
      <c r="J277" s="214" t="n"/>
      <c r="K277" s="208" t="n"/>
      <c r="L277" s="424" t="n"/>
      <c r="M277" s="961" t="n"/>
      <c r="N277" s="214" t="n"/>
    </row>
    <row r="278">
      <c r="A278" s="207" t="n">
        <v>172161</v>
      </c>
      <c r="B278" s="209" t="inlineStr">
        <is>
          <t>Catena A Pallini 50 M - Ø 3,2mm</t>
        </is>
      </c>
      <c r="C278" s="207" t="n">
        <v>50</v>
      </c>
      <c r="D278" s="960" t="n">
        <v>0.721</v>
      </c>
      <c r="E278" s="214" t="n"/>
      <c r="F278" s="262" t="n">
        <v>111848</v>
      </c>
      <c r="G278" s="263" t="inlineStr">
        <is>
          <t>Piedino in cartone mm. 370x310</t>
        </is>
      </c>
      <c r="H278" s="264" t="n">
        <v>50</v>
      </c>
      <c r="I278" s="265" t="n">
        <v>0.432</v>
      </c>
      <c r="J278" s="214" t="n"/>
      <c r="K278" s="208" t="n"/>
      <c r="L278" s="424" t="n"/>
      <c r="M278" s="961" t="n"/>
      <c r="N278" s="214" t="n"/>
    </row>
    <row r="279">
      <c r="A279" s="207" t="n">
        <v>172174</v>
      </c>
      <c r="B279" s="209" t="inlineStr">
        <is>
          <t>Braccialetto A Pallini 100 mm - Ø 2,4mm</t>
        </is>
      </c>
      <c r="C279" s="207" t="n">
        <v>100</v>
      </c>
      <c r="D279" s="960" t="n">
        <v>0.0549</v>
      </c>
      <c r="E279" s="214" t="n"/>
      <c r="F279" s="262" t="n">
        <v>111849</v>
      </c>
      <c r="G279" s="263" t="inlineStr">
        <is>
          <t>Piedino in cartone mm. 660x430</t>
        </is>
      </c>
      <c r="H279" s="264" t="n">
        <v>50</v>
      </c>
      <c r="I279" s="265" t="n">
        <v>1.35</v>
      </c>
      <c r="J279" s="214" t="n"/>
      <c r="K279" s="208" t="n"/>
      <c r="L279" s="424" t="n"/>
      <c r="M279" s="961" t="n"/>
      <c r="N279" s="214" t="n"/>
    </row>
    <row r="280">
      <c r="A280" s="207" t="n">
        <v>172165</v>
      </c>
      <c r="B280" s="209" t="inlineStr">
        <is>
          <t>Braccialetto A Pallini 150 mm - Ø 2,4mm</t>
        </is>
      </c>
      <c r="C280" s="207" t="n">
        <v>100</v>
      </c>
      <c r="D280" s="960" t="n">
        <v>0.0907</v>
      </c>
      <c r="E280" s="214" t="n"/>
      <c r="F280" s="262" t="n">
        <v>111854</v>
      </c>
      <c r="G280" s="263" t="inlineStr">
        <is>
          <t>Calamita cilindrica diametro mm 8 - spessore mm 3</t>
        </is>
      </c>
      <c r="H280" s="264" t="n">
        <v>100</v>
      </c>
      <c r="I280" s="265" t="n">
        <v>0.203</v>
      </c>
      <c r="J280" s="214" t="n"/>
      <c r="K280" s="208" t="n"/>
      <c r="L280" s="424" t="n"/>
      <c r="M280" s="961" t="n"/>
      <c r="N280" s="214" t="n"/>
    </row>
    <row r="281">
      <c r="A281" s="207" t="n">
        <v>172175</v>
      </c>
      <c r="B281" s="209" t="inlineStr">
        <is>
          <t>Braccialetto A Pallini 220 mm - Ø 2,4mm</t>
        </is>
      </c>
      <c r="C281" s="207" t="n">
        <v>100</v>
      </c>
      <c r="D281" s="960" t="n">
        <v>0.133</v>
      </c>
      <c r="E281" s="214" t="n"/>
      <c r="F281" s="262" t="n">
        <v>111855</v>
      </c>
      <c r="G281" s="263" t="inlineStr">
        <is>
          <t>Calamita cilindrica diametro mm 12 - spessore mm 3</t>
        </is>
      </c>
      <c r="H281" s="264" t="n">
        <v>100</v>
      </c>
      <c r="I281" s="265" t="n">
        <v>0.337</v>
      </c>
      <c r="J281" s="214" t="n"/>
      <c r="K281" s="208" t="n"/>
      <c r="L281" s="424" t="n"/>
      <c r="M281" s="961" t="n"/>
      <c r="N281" s="214" t="n"/>
    </row>
    <row r="282">
      <c r="A282" s="207" t="n">
        <v>172176</v>
      </c>
      <c r="B282" s="209" t="inlineStr">
        <is>
          <t>Braccialetto A Pallini 300 mm - Ø 2,4mm</t>
        </is>
      </c>
      <c r="C282" s="207" t="n">
        <v>100</v>
      </c>
      <c r="D282" s="960" t="n">
        <v>0.1648</v>
      </c>
      <c r="E282" s="214" t="n"/>
      <c r="F282" s="262" t="n">
        <v>111856</v>
      </c>
      <c r="G282" s="263" t="inlineStr">
        <is>
          <t>Calamita cilindrica diametro mm 15 - spessore mm 3</t>
        </is>
      </c>
      <c r="H282" s="264" t="n">
        <v>100</v>
      </c>
      <c r="I282" s="265" t="n">
        <v>0.51</v>
      </c>
      <c r="J282" s="214" t="n"/>
      <c r="K282" s="208" t="n"/>
      <c r="L282" s="424" t="n"/>
      <c r="M282" s="961" t="n"/>
      <c r="N282" s="214" t="n"/>
    </row>
    <row r="283">
      <c r="A283" s="207" t="n">
        <v>172166</v>
      </c>
      <c r="B283" s="209" t="inlineStr">
        <is>
          <t>Braccialetto A Pallini 150 mm - Ø 3,2mm</t>
        </is>
      </c>
      <c r="C283" s="207" t="n">
        <v>100</v>
      </c>
      <c r="D283" s="960" t="n">
        <v>0.1545</v>
      </c>
      <c r="E283" s="214" t="n"/>
      <c r="F283" s="262" t="n">
        <v>111857</v>
      </c>
      <c r="G283" s="263" t="inlineStr">
        <is>
          <t>Calamita cilindrica diametro mm 18 - spessore mm 2</t>
        </is>
      </c>
      <c r="H283" s="264" t="n">
        <v>100</v>
      </c>
      <c r="I283" s="265" t="n">
        <v>0.648</v>
      </c>
      <c r="J283" s="214" t="n"/>
      <c r="K283" s="208" t="n"/>
      <c r="L283" s="424" t="n"/>
      <c r="M283" s="961" t="n"/>
      <c r="N283" s="214" t="n"/>
    </row>
    <row r="284">
      <c r="A284" s="207" t="n">
        <v>172168</v>
      </c>
      <c r="B284" s="209" t="inlineStr">
        <is>
          <t>Braccialetto A Pallini 200 mm - Ø 3,2mm</t>
        </is>
      </c>
      <c r="C284" s="207" t="n">
        <v>100</v>
      </c>
      <c r="D284" s="960" t="n">
        <v>0.206</v>
      </c>
      <c r="E284" s="214" t="n"/>
      <c r="F284" s="262" t="n">
        <v>111858</v>
      </c>
      <c r="G284" s="263" t="inlineStr">
        <is>
          <t>Calamita cilindrica diametro mm 20 - spessore mm 2</t>
        </is>
      </c>
      <c r="H284" s="264" t="n">
        <v>100</v>
      </c>
      <c r="I284" s="265" t="n">
        <v>0.734</v>
      </c>
      <c r="J284" s="214" t="n"/>
      <c r="K284" s="208" t="n"/>
      <c r="L284" s="424" t="n"/>
      <c r="M284" s="961" t="n"/>
      <c r="N284" s="214" t="n"/>
    </row>
    <row r="285">
      <c r="A285" s="207" t="n">
        <v>172170</v>
      </c>
      <c r="B285" s="209" t="inlineStr">
        <is>
          <t>Braccialetto A Pallini 300 mm - Ø 3,2mm</t>
        </is>
      </c>
      <c r="C285" s="207" t="n">
        <v>100</v>
      </c>
      <c r="D285" s="960" t="n">
        <v>0.309</v>
      </c>
      <c r="E285" s="214" t="n"/>
      <c r="F285" s="262" t="n">
        <v>111860</v>
      </c>
      <c r="G285" s="263" t="inlineStr">
        <is>
          <t>Calamita cilindrica mm. 9,5x1,5</t>
        </is>
      </c>
      <c r="H285" s="264" t="n">
        <v>100</v>
      </c>
      <c r="I285" s="265" t="n">
        <v>0.162</v>
      </c>
      <c r="J285" s="214" t="n"/>
      <c r="K285" s="208" t="n"/>
      <c r="L285" s="424" t="n"/>
      <c r="M285" s="961" t="n"/>
      <c r="N285" s="214" t="n"/>
    </row>
    <row r="286">
      <c r="A286" s="207" t="n">
        <v>172163</v>
      </c>
      <c r="B286" s="209" t="inlineStr">
        <is>
          <t>Fermo Per Catena A Pallini - Ø 2,4mm</t>
        </is>
      </c>
      <c r="C286" s="207" t="n">
        <v>100</v>
      </c>
      <c r="D286" s="960" t="n">
        <v>0.0392</v>
      </c>
      <c r="E286" s="214" t="n"/>
      <c r="F286" s="262" t="n">
        <v>111861</v>
      </c>
      <c r="G286" s="263" t="inlineStr">
        <is>
          <t>Calamita cilindrica mm. 9,5x2</t>
        </is>
      </c>
      <c r="H286" s="264" t="n">
        <v>100</v>
      </c>
      <c r="I286" s="265" t="n">
        <v>0.162</v>
      </c>
      <c r="J286" s="214" t="n"/>
      <c r="K286" s="208" t="n"/>
      <c r="L286" s="424" t="n"/>
      <c r="M286" s="961" t="n"/>
      <c r="N286" s="214" t="n"/>
    </row>
    <row r="287">
      <c r="A287" s="207" t="n">
        <v>172162</v>
      </c>
      <c r="B287" s="209" t="inlineStr">
        <is>
          <t>Fermo Per Catena A Pallini - Ø 3,2mm</t>
        </is>
      </c>
      <c r="C287" s="207" t="n">
        <v>100</v>
      </c>
      <c r="D287" s="960" t="n">
        <v>0.0392</v>
      </c>
      <c r="E287" s="214" t="n"/>
      <c r="F287" s="262" t="n">
        <v>111862</v>
      </c>
      <c r="G287" s="263" t="inlineStr">
        <is>
          <t>Calamita cilindrica mm. 12X1,5</t>
        </is>
      </c>
      <c r="H287" s="264" t="n">
        <v>100</v>
      </c>
      <c r="I287" s="265" t="n">
        <v>0.216</v>
      </c>
      <c r="J287" s="214" t="n"/>
      <c r="K287" s="208" t="n"/>
      <c r="L287" s="424" t="n"/>
      <c r="M287" s="961" t="n"/>
      <c r="N287" s="214" t="n"/>
    </row>
    <row r="288">
      <c r="A288" s="207" t="n">
        <v>172180</v>
      </c>
      <c r="B288" s="209" t="inlineStr">
        <is>
          <t>Fermaglio Per Catena A Pallini - Ø 2,4mm</t>
        </is>
      </c>
      <c r="C288" s="207" t="n">
        <v>100</v>
      </c>
      <c r="D288" s="960" t="n">
        <v>0.0423</v>
      </c>
      <c r="E288" s="214" t="n"/>
      <c r="F288" s="262" t="n">
        <v>111863</v>
      </c>
      <c r="G288" s="263" t="inlineStr">
        <is>
          <t>Calamita cilindrica mm. 12X2</t>
        </is>
      </c>
      <c r="H288" s="264" t="n">
        <v>100</v>
      </c>
      <c r="I288" s="265" t="n">
        <v>0.259</v>
      </c>
      <c r="J288" s="214" t="n"/>
      <c r="K288" s="208" t="n"/>
      <c r="L288" s="424" t="n"/>
      <c r="M288" s="961" t="n"/>
      <c r="N288" s="214" t="n"/>
    </row>
    <row r="289">
      <c r="A289" s="207" t="n">
        <v>172181</v>
      </c>
      <c r="B289" s="209" t="inlineStr">
        <is>
          <t>Fermaglio Per Catena A Pallini - Ø 3,2mm</t>
        </is>
      </c>
      <c r="C289" s="207" t="n">
        <v>100</v>
      </c>
      <c r="D289" s="960" t="n">
        <v>0.0402</v>
      </c>
      <c r="E289" s="214" t="n"/>
      <c r="F289" s="262" t="n">
        <v>111864</v>
      </c>
      <c r="G289" s="263" t="inlineStr">
        <is>
          <t>Calamita cilindrica mm. 15X2</t>
        </is>
      </c>
      <c r="H289" s="264" t="n">
        <v>100</v>
      </c>
      <c r="I289" s="265" t="n">
        <v>0.41</v>
      </c>
      <c r="J289" s="214" t="n"/>
      <c r="K289" s="209" t="n"/>
      <c r="L289" s="425" t="n"/>
      <c r="M289" s="961" t="n"/>
      <c r="N289" s="214" t="n"/>
    </row>
    <row r="290">
      <c r="A290" s="207" t="n">
        <v>164010</v>
      </c>
      <c r="B290" s="209" t="inlineStr">
        <is>
          <t>Pinza A Clip In Pvc Da Filo</t>
        </is>
      </c>
      <c r="C290" s="207" t="n">
        <v>50</v>
      </c>
      <c r="D290" s="960" t="n">
        <v>0.2884</v>
      </c>
      <c r="E290" s="214" t="n"/>
      <c r="F290" s="262" t="n">
        <v>111865</v>
      </c>
      <c r="G290" s="263" t="inlineStr">
        <is>
          <t>Contropiastra per calamita cilindrica</t>
        </is>
      </c>
      <c r="H290" s="264" t="n">
        <v>100</v>
      </c>
      <c r="I290" s="265" t="n">
        <v>0.065</v>
      </c>
      <c r="J290" s="214" t="n"/>
      <c r="K290" s="208" t="n"/>
      <c r="L290" s="424" t="n"/>
      <c r="M290" s="961" t="n"/>
      <c r="N290" s="214" t="n"/>
    </row>
    <row r="291">
      <c r="A291" s="207" t="n">
        <v>164020</v>
      </c>
      <c r="B291" s="209" t="inlineStr">
        <is>
          <t>Pinza A Clip In Metallo A Molla</t>
        </is>
      </c>
      <c r="C291" s="207" t="n">
        <v>100</v>
      </c>
      <c r="D291" s="960" t="n">
        <v>0.1545</v>
      </c>
      <c r="E291" s="214" t="n"/>
      <c r="F291" s="262" t="n">
        <v>111868</v>
      </c>
      <c r="G291" s="263" t="inlineStr">
        <is>
          <t>Calamita cilindrica mm. 9,5x1</t>
        </is>
      </c>
      <c r="H291" s="264" t="n">
        <v>100</v>
      </c>
      <c r="I291" s="265" t="n">
        <v>0.123</v>
      </c>
      <c r="J291" s="214" t="n"/>
      <c r="K291" s="208" t="n"/>
      <c r="L291" s="424" t="n"/>
      <c r="M291" s="961" t="n"/>
      <c r="N291" s="214" t="n"/>
    </row>
    <row r="292">
      <c r="A292" s="207" t="n">
        <v>164025</v>
      </c>
      <c r="B292" s="209" t="inlineStr">
        <is>
          <t>Fermo Per Fogli</t>
        </is>
      </c>
      <c r="C292" s="207" t="n">
        <v>100</v>
      </c>
      <c r="D292" s="960" t="n">
        <v>0.4831</v>
      </c>
      <c r="E292" s="214" t="n"/>
      <c r="F292" s="262" t="n">
        <v>111872</v>
      </c>
      <c r="G292" s="263" t="inlineStr">
        <is>
          <t>Contropiastre per calamite dimensione mm 15x25 - spessore mm 0,30</t>
        </is>
      </c>
      <c r="H292" s="264" t="n">
        <v>1000</v>
      </c>
      <c r="I292" s="265" t="n">
        <v>0.065</v>
      </c>
      <c r="J292" s="214" t="n"/>
      <c r="K292" s="208" t="n"/>
      <c r="L292" s="424" t="n"/>
      <c r="M292" s="961" t="n"/>
      <c r="N292" s="214" t="n"/>
    </row>
    <row r="293">
      <c r="A293" s="207" t="n">
        <v>172190</v>
      </c>
      <c r="B293" s="209" t="inlineStr">
        <is>
          <t>Occhiello Per Rivetto</t>
        </is>
      </c>
      <c r="C293" s="207" t="n">
        <v>1000</v>
      </c>
      <c r="D293" s="960" t="n">
        <v>0.1854</v>
      </c>
      <c r="E293" s="214" t="n"/>
      <c r="F293" s="262" t="n">
        <v>111873</v>
      </c>
      <c r="G293" s="263" t="inlineStr">
        <is>
          <t>Contropiastre per calamite diametro mm 13 - spessore mm 0,5</t>
        </is>
      </c>
      <c r="H293" s="264" t="n">
        <v>1000</v>
      </c>
      <c r="I293" s="265" t="n">
        <v>0.065</v>
      </c>
      <c r="J293" s="214" t="n"/>
      <c r="K293" s="208" t="n"/>
      <c r="L293" s="424" t="n"/>
      <c r="M293" s="961" t="n"/>
      <c r="N293" s="214" t="n"/>
    </row>
    <row r="294">
      <c r="A294" s="207" t="n">
        <v>950008</v>
      </c>
      <c r="B294" s="209" t="inlineStr">
        <is>
          <t>Bobina Cavo Elastico</t>
        </is>
      </c>
      <c r="C294" s="207" t="n">
        <v>1</v>
      </c>
      <c r="D294" s="960" t="n">
        <v>74.16</v>
      </c>
      <c r="E294" s="214" t="n"/>
      <c r="F294" s="262" t="n">
        <v>111876</v>
      </c>
      <c r="G294" s="263" t="inlineStr">
        <is>
          <t>Profilo porta comunicazione in alluminio mm. 50X2200</t>
        </is>
      </c>
      <c r="H294" s="264" t="n">
        <v>10</v>
      </c>
      <c r="I294" s="265" t="n">
        <v>34.806</v>
      </c>
      <c r="J294" s="214" t="n"/>
      <c r="K294" s="208" t="n"/>
      <c r="L294" s="424" t="n"/>
      <c r="M294" s="961" t="n"/>
      <c r="N294" s="214" t="n"/>
    </row>
    <row r="295">
      <c r="A295" s="207" t="n">
        <v>950010</v>
      </c>
      <c r="B295" s="209" t="inlineStr">
        <is>
          <t>Tirante Cavo Elastico 200mm</t>
        </is>
      </c>
      <c r="C295" s="207" t="n">
        <v>10</v>
      </c>
      <c r="D295" s="960" t="n">
        <v>1.1742</v>
      </c>
      <c r="E295" s="214" t="n"/>
      <c r="F295" s="262" t="n">
        <v>111877</v>
      </c>
      <c r="G295" s="263" t="inlineStr">
        <is>
          <t>Profilo porta comunicazione in alluminio mm. 100X2200</t>
        </is>
      </c>
      <c r="H295" s="264" t="n">
        <v>10</v>
      </c>
      <c r="I295" s="265" t="n">
        <v>60.532</v>
      </c>
      <c r="J295" s="214" t="n"/>
      <c r="K295" s="208" t="n"/>
      <c r="L295" s="424" t="n"/>
      <c r="M295" s="961" t="n"/>
      <c r="N295" s="214" t="n"/>
    </row>
    <row r="296">
      <c r="A296" s="207" t="n">
        <v>950014</v>
      </c>
      <c r="B296" s="209" t="inlineStr">
        <is>
          <t>Tirante Cavo Elastico 250mm - 2 Ganci</t>
        </is>
      </c>
      <c r="C296" s="207" t="n">
        <v>10</v>
      </c>
      <c r="D296" s="960" t="n">
        <v>1.6377</v>
      </c>
      <c r="E296" s="214" t="n"/>
      <c r="F296" s="262" t="n">
        <v>111878</v>
      </c>
      <c r="G296" s="263" t="inlineStr">
        <is>
          <t>Tappo di chiusura per profilo porta comunicazione mm. 50</t>
        </is>
      </c>
      <c r="H296" s="264" t="n">
        <v>50</v>
      </c>
      <c r="I296" s="265" t="n">
        <v>0.501</v>
      </c>
      <c r="J296" s="214" t="n"/>
      <c r="K296" s="208" t="n"/>
      <c r="L296" s="424" t="n"/>
      <c r="M296" s="961" t="n"/>
      <c r="N296" s="214" t="n"/>
    </row>
    <row r="297">
      <c r="A297" s="207" t="n">
        <v>950012</v>
      </c>
      <c r="B297" s="209" t="inlineStr">
        <is>
          <t>Tirante Cavo Elastico 250mm - 1 Gancio</t>
        </is>
      </c>
      <c r="C297" s="207" t="n">
        <v>10</v>
      </c>
      <c r="D297" s="960" t="n">
        <v>1.545</v>
      </c>
      <c r="E297" s="214" t="n"/>
      <c r="F297" s="262" t="n">
        <v>111879</v>
      </c>
      <c r="G297" s="263" t="inlineStr">
        <is>
          <t>Tappo di chiusura per profilo porta comunicazione mm. 100</t>
        </is>
      </c>
      <c r="H297" s="264" t="n">
        <v>50</v>
      </c>
      <c r="I297" s="265" t="n">
        <v>0.534</v>
      </c>
      <c r="J297" s="214" t="n"/>
      <c r="K297" s="208" t="n"/>
      <c r="L297" s="424" t="n"/>
      <c r="M297" s="961" t="n"/>
      <c r="N297" s="214" t="n"/>
    </row>
    <row r="298">
      <c r="A298" s="207" t="n">
        <v>950020</v>
      </c>
      <c r="B298" s="209" t="inlineStr">
        <is>
          <t>Attacco Adesivo - 10mm</t>
        </is>
      </c>
      <c r="C298" s="207" t="n">
        <v>50</v>
      </c>
      <c r="D298" s="960" t="n">
        <v>0.3502</v>
      </c>
      <c r="E298" s="214" t="n"/>
      <c r="F298" s="262" t="n">
        <v>111880</v>
      </c>
      <c r="G298" s="263" t="inlineStr">
        <is>
          <t>Profilo porta poster semplice colore trasparente mm. 3030</t>
        </is>
      </c>
      <c r="H298" s="264" t="n">
        <v>20</v>
      </c>
      <c r="I298" s="265" t="n">
        <v>2.245</v>
      </c>
      <c r="J298" s="214" t="n"/>
      <c r="K298" s="208" t="n"/>
      <c r="L298" s="424" t="n"/>
      <c r="M298" s="961" t="n"/>
      <c r="N298" s="214" t="n"/>
    </row>
    <row r="299">
      <c r="A299" s="207" t="n">
        <v>950021</v>
      </c>
      <c r="B299" s="209" t="inlineStr">
        <is>
          <t>Mini Clip Autobloccante</t>
        </is>
      </c>
      <c r="C299" s="207" t="n">
        <v>50</v>
      </c>
      <c r="D299" s="960" t="n">
        <v>0.7622</v>
      </c>
      <c r="E299" s="214" t="n"/>
      <c r="F299" s="262" t="n">
        <v>111881</v>
      </c>
      <c r="G299" s="263" t="inlineStr">
        <is>
          <t>Profilo porta poster semplice colore bianco mm. 3030</t>
        </is>
      </c>
      <c r="H299" s="264" t="n">
        <v>20</v>
      </c>
      <c r="I299" s="265" t="n">
        <v>1.59</v>
      </c>
      <c r="J299" s="214" t="n"/>
      <c r="K299" s="208" t="n"/>
      <c r="L299" s="424" t="n"/>
      <c r="M299" s="961" t="n"/>
      <c r="N299" s="214" t="n"/>
    </row>
    <row r="300">
      <c r="A300" s="207" t="n">
        <v>950022</v>
      </c>
      <c r="B300" s="209" t="inlineStr">
        <is>
          <t>Maxi Clip Autobloccante</t>
        </is>
      </c>
      <c r="C300" s="207" t="n">
        <v>50</v>
      </c>
      <c r="D300" s="960" t="n">
        <v>0.9476</v>
      </c>
      <c r="E300" s="214" t="n"/>
      <c r="F300" s="262" t="n">
        <v>111882</v>
      </c>
      <c r="G300" s="263" t="inlineStr">
        <is>
          <t>Profilo porta poster semplice colore nero mm. 3030</t>
        </is>
      </c>
      <c r="H300" s="264" t="n">
        <v>20</v>
      </c>
      <c r="I300" s="265" t="n">
        <v>1.801</v>
      </c>
      <c r="J300" s="214" t="n"/>
      <c r="K300" s="208" t="n"/>
      <c r="L300" s="424" t="n"/>
      <c r="M300" s="961" t="n"/>
      <c r="N300" s="214" t="n"/>
    </row>
    <row r="301">
      <c r="A301" s="207" t="n">
        <v>950023</v>
      </c>
      <c r="B301" s="209" t="inlineStr">
        <is>
          <t>Occhiello In Pvc</t>
        </is>
      </c>
      <c r="C301" s="207" t="n">
        <v>50</v>
      </c>
      <c r="D301" s="960" t="n">
        <v>0.8137</v>
      </c>
      <c r="E301" s="214" t="n"/>
      <c r="F301" s="262" t="n">
        <v>111883</v>
      </c>
      <c r="G301" s="263" t="inlineStr">
        <is>
          <t>Profilo porta poster semplice colore metallizzato mm. 3030</t>
        </is>
      </c>
      <c r="H301" s="264" t="n">
        <v>15</v>
      </c>
      <c r="I301" s="265" t="n">
        <v>3.241</v>
      </c>
      <c r="J301" s="214" t="n"/>
      <c r="K301" s="209" t="n"/>
      <c r="L301" s="425" t="n"/>
      <c r="M301" s="961" t="n"/>
      <c r="N301" s="214" t="n"/>
    </row>
    <row r="302">
      <c r="A302" s="207" t="n">
        <v>950024</v>
      </c>
      <c r="B302" s="209" t="inlineStr">
        <is>
          <t>Punzonatrice</t>
        </is>
      </c>
      <c r="C302" s="207" t="n">
        <v>1</v>
      </c>
      <c r="D302" s="960" t="inlineStr">
        <is>
          <t>da confermare</t>
        </is>
      </c>
      <c r="E302" s="214" t="n"/>
      <c r="F302" s="262" t="n">
        <v>111890</v>
      </c>
      <c r="G302" s="263" t="inlineStr">
        <is>
          <t>Profilo porta poster a scatto colore trasparente mm. 3030</t>
        </is>
      </c>
      <c r="H302" s="264" t="n">
        <v>10</v>
      </c>
      <c r="I302" s="265" t="n">
        <v>4.772</v>
      </c>
      <c r="J302" s="214" t="n"/>
      <c r="K302" s="208" t="n"/>
      <c r="L302" s="424" t="n"/>
      <c r="M302" s="961" t="n"/>
      <c r="N302" s="214" t="n"/>
    </row>
    <row r="303">
      <c r="A303" s="207" t="n">
        <v>641027</v>
      </c>
      <c r="B303" s="209" t="inlineStr">
        <is>
          <t>Profilo Porta Etichette Piegato 40 X 1000 mm</t>
        </is>
      </c>
      <c r="C303" s="207" t="n">
        <v>50</v>
      </c>
      <c r="D303" s="960" t="n">
        <v>0.7725</v>
      </c>
      <c r="E303" s="214" t="n"/>
      <c r="F303" s="262" t="n">
        <v>111891</v>
      </c>
      <c r="G303" s="263" t="inlineStr">
        <is>
          <t>Profilo porta poster a scatto colore bianco mm. 3030</t>
        </is>
      </c>
      <c r="H303" s="264" t="n">
        <v>10</v>
      </c>
      <c r="I303" s="265" t="n">
        <v>3.573</v>
      </c>
      <c r="J303" s="214" t="n"/>
      <c r="K303" s="208" t="n"/>
      <c r="L303" s="424" t="n"/>
      <c r="M303" s="961" t="n"/>
      <c r="N303" s="214" t="n"/>
    </row>
    <row r="304">
      <c r="A304" s="207" t="n">
        <v>641025</v>
      </c>
      <c r="B304" s="209" t="inlineStr">
        <is>
          <t>Profilo Porta Etichette Piegato 40 X 1325 mm</t>
        </is>
      </c>
      <c r="C304" s="207" t="n">
        <v>50</v>
      </c>
      <c r="D304" s="960" t="n">
        <v>0.8754999999999999</v>
      </c>
      <c r="E304" s="214" t="n"/>
      <c r="F304" s="262" t="n">
        <v>111892</v>
      </c>
      <c r="G304" s="263" t="inlineStr">
        <is>
          <t>Profilo porta poster a scatto colore nero mm. 3030</t>
        </is>
      </c>
      <c r="H304" s="264" t="n">
        <v>15</v>
      </c>
      <c r="I304" s="265" t="n">
        <v>2.84</v>
      </c>
      <c r="J304" s="214" t="n"/>
      <c r="K304" s="208" t="n"/>
      <c r="L304" s="424" t="n"/>
      <c r="M304" s="961" t="n"/>
      <c r="N304" s="214" t="n"/>
    </row>
    <row r="305">
      <c r="A305" s="207" t="n">
        <v>137061</v>
      </c>
      <c r="B305" s="209" t="inlineStr">
        <is>
          <t>Profilo Porta Etichette Piegato 40 X 1330 mm</t>
        </is>
      </c>
      <c r="C305" s="207" t="n">
        <v>50</v>
      </c>
      <c r="D305" s="960" t="n">
        <v>0.9167</v>
      </c>
      <c r="E305" s="214" t="n"/>
      <c r="F305" s="262" t="n">
        <v>111893</v>
      </c>
      <c r="G305" s="263" t="inlineStr">
        <is>
          <t>Profilo porta poster a scatto colore metallizzato mm. 3030</t>
        </is>
      </c>
      <c r="H305" s="264" t="n">
        <v>15</v>
      </c>
      <c r="I305" s="265" t="n">
        <v>2.928</v>
      </c>
      <c r="J305" s="214" t="n"/>
      <c r="K305" s="208" t="n"/>
      <c r="L305" s="424" t="n"/>
      <c r="M305" s="961" t="n"/>
      <c r="N305" s="214" t="n"/>
    </row>
    <row r="306">
      <c r="A306" s="207" t="n">
        <v>137041</v>
      </c>
      <c r="B306" s="209" t="inlineStr">
        <is>
          <t>Profilo Porta Etichette Piegato 40 X 1325 mm</t>
        </is>
      </c>
      <c r="C306" s="207" t="n">
        <v>50</v>
      </c>
      <c r="D306" s="960" t="n">
        <v>0.9167</v>
      </c>
      <c r="E306" s="214" t="n"/>
      <c r="F306" s="262" t="n">
        <v>111899</v>
      </c>
      <c r="G306" s="263" t="inlineStr">
        <is>
          <t>Gancio di sospensione per profilo pinza poster</t>
        </is>
      </c>
      <c r="H306" s="264" t="n">
        <v>100</v>
      </c>
      <c r="I306" s="265" t="n">
        <v>0.099</v>
      </c>
      <c r="J306" s="214" t="n"/>
      <c r="K306" s="208" t="n"/>
      <c r="L306" s="424" t="n"/>
      <c r="M306" s="961" t="n"/>
      <c r="N306" s="214" t="n"/>
    </row>
    <row r="307">
      <c r="A307" s="207" t="n">
        <v>137140</v>
      </c>
      <c r="B307" s="209" t="inlineStr">
        <is>
          <t>Profilo Porta Etichette Piegato 40 X 1000 mm</t>
        </is>
      </c>
      <c r="C307" s="207" t="n">
        <v>100</v>
      </c>
      <c r="D307" s="960" t="n">
        <v>0.6695</v>
      </c>
      <c r="E307" s="214" t="n"/>
      <c r="F307" s="262" t="n">
        <v>111905</v>
      </c>
      <c r="G307" s="263" t="inlineStr">
        <is>
          <t>Rinforzo per maniglie 429784-794 e 429785-795</t>
        </is>
      </c>
      <c r="H307" s="264" t="n">
        <v>100</v>
      </c>
      <c r="I307" s="265" t="n">
        <v>0.112</v>
      </c>
      <c r="J307" s="214" t="n"/>
      <c r="K307" s="208" t="n"/>
      <c r="L307" s="424" t="n"/>
      <c r="M307" s="961" t="n"/>
      <c r="N307" s="214" t="n"/>
    </row>
    <row r="308">
      <c r="A308" s="207" t="n">
        <v>165110</v>
      </c>
      <c r="B308" s="209" t="inlineStr">
        <is>
          <t>Profilo Porta Etichette Piegato 40 X 1330 mm</t>
        </is>
      </c>
      <c r="C308" s="207" t="n">
        <v>50</v>
      </c>
      <c r="D308" s="960" t="n">
        <v>0.7725</v>
      </c>
      <c r="E308" s="214" t="n"/>
      <c r="F308" s="262" t="n">
        <v>111907</v>
      </c>
      <c r="G308" s="263" t="inlineStr">
        <is>
          <t>Rinforzo per maniglie 429912 e 429922</t>
        </is>
      </c>
      <c r="H308" s="264" t="n">
        <v>100</v>
      </c>
      <c r="I308" s="265" t="n">
        <v>0.093</v>
      </c>
      <c r="J308" s="214" t="n"/>
      <c r="K308" s="208" t="n"/>
      <c r="L308" s="424" t="n"/>
      <c r="M308" s="961" t="n"/>
      <c r="N308" s="214" t="n"/>
    </row>
    <row r="309">
      <c r="A309" s="207" t="n">
        <v>137031</v>
      </c>
      <c r="B309" s="209" t="inlineStr">
        <is>
          <t>Profilo Porta Etichette Piegato 40 X 1330 mm</t>
        </is>
      </c>
      <c r="C309" s="207" t="n">
        <v>50</v>
      </c>
      <c r="D309" s="960" t="n">
        <v>0.8137</v>
      </c>
      <c r="E309" s="214" t="n"/>
      <c r="F309" s="262" t="n">
        <v>111908</v>
      </c>
      <c r="G309" s="263" t="inlineStr">
        <is>
          <t>Rinforzo per maniglie 429911 e 429921</t>
        </is>
      </c>
      <c r="H309" s="264" t="n">
        <v>100</v>
      </c>
      <c r="I309" s="265" t="n">
        <v>0.093</v>
      </c>
      <c r="J309" s="214" t="n"/>
      <c r="K309" s="208" t="n"/>
      <c r="L309" s="424" t="n"/>
      <c r="M309" s="961" t="n"/>
      <c r="N309" s="214" t="n"/>
    </row>
    <row r="310">
      <c r="A310" s="207" t="n">
        <v>137033</v>
      </c>
      <c r="B310" s="209" t="inlineStr">
        <is>
          <t>Porta Etichette 40X65mm Con Adesivo</t>
        </is>
      </c>
      <c r="C310" s="207" t="n">
        <v>100</v>
      </c>
      <c r="D310" s="960" t="n">
        <v>0.0979</v>
      </c>
      <c r="E310" s="214" t="n"/>
      <c r="F310" s="262" t="n">
        <v>111909</v>
      </c>
      <c r="G310" s="263" t="inlineStr">
        <is>
          <t>Rinforzo grande per maniglie 429912 e 429922</t>
        </is>
      </c>
      <c r="H310" s="264" t="n">
        <v>100</v>
      </c>
      <c r="I310" s="265" t="n">
        <v>0.261</v>
      </c>
      <c r="J310" s="214" t="n"/>
      <c r="K310" s="208" t="n"/>
      <c r="L310" s="424" t="n"/>
      <c r="M310" s="961" t="n"/>
      <c r="N310" s="214" t="n"/>
    </row>
    <row r="311">
      <c r="A311" s="207" t="n">
        <v>137120</v>
      </c>
      <c r="B311" s="209" t="inlineStr">
        <is>
          <t>Profilo Porta Etichette Piegato 20 X 1000 mm</t>
        </is>
      </c>
      <c r="C311" s="207" t="n">
        <v>100</v>
      </c>
      <c r="D311" s="960" t="n">
        <v>0.6438</v>
      </c>
      <c r="E311" s="214" t="n"/>
      <c r="F311" s="262" t="n">
        <v>111910</v>
      </c>
      <c r="G311" s="263" t="inlineStr">
        <is>
          <t>Rinforzo grande per maniglie 429911 e 429921</t>
        </is>
      </c>
      <c r="H311" s="264" t="n">
        <v>100</v>
      </c>
      <c r="I311" s="265" t="n">
        <v>0.262</v>
      </c>
      <c r="J311" s="214" t="n"/>
      <c r="K311" s="208" t="n"/>
      <c r="L311" s="424" t="n"/>
      <c r="M311" s="961" t="n"/>
      <c r="N311" s="214" t="n"/>
    </row>
    <row r="312">
      <c r="A312" s="207" t="n">
        <v>137125</v>
      </c>
      <c r="B312" s="209" t="inlineStr">
        <is>
          <t>Profilo Porta Etichette Piegato 26 X 1000 mm</t>
        </is>
      </c>
      <c r="C312" s="207" t="n">
        <v>100</v>
      </c>
      <c r="D312" s="960" t="n">
        <v>0.6953</v>
      </c>
      <c r="E312" s="214" t="n"/>
      <c r="F312" s="262" t="n">
        <v>111918</v>
      </c>
      <c r="G312" s="263" t="inlineStr">
        <is>
          <t>Piedino in plastica a punta per display</t>
        </is>
      </c>
      <c r="H312" s="264" t="n">
        <v>100</v>
      </c>
      <c r="I312" s="265" t="n">
        <v>0.528</v>
      </c>
      <c r="J312" s="214" t="n"/>
      <c r="K312" s="208" t="n"/>
      <c r="L312" s="424" t="n"/>
      <c r="M312" s="961" t="n"/>
      <c r="N312" s="214" t="n"/>
    </row>
    <row r="313">
      <c r="A313" s="207" t="n">
        <v>137131</v>
      </c>
      <c r="B313" s="209" t="inlineStr">
        <is>
          <t>Profilo Porta Etichette Piegato 30 X 1000 mm</t>
        </is>
      </c>
      <c r="C313" s="207" t="n">
        <v>100</v>
      </c>
      <c r="D313" s="960" t="n">
        <v>0.618</v>
      </c>
      <c r="E313" s="214" t="n"/>
      <c r="F313" s="262" t="n">
        <v>111923</v>
      </c>
      <c r="G313" s="263" t="inlineStr">
        <is>
          <t>Stock limiter universale colore bianco</t>
        </is>
      </c>
      <c r="H313" s="264" t="n">
        <v>100</v>
      </c>
      <c r="I313" s="265" t="n">
        <v>0.109</v>
      </c>
      <c r="J313" s="214" t="n"/>
      <c r="K313" s="208" t="n"/>
      <c r="L313" s="424" t="n"/>
      <c r="M313" s="961" t="n"/>
      <c r="N313" s="214" t="n"/>
    </row>
    <row r="314">
      <c r="A314" s="207" t="n">
        <v>137132</v>
      </c>
      <c r="B314" s="209" t="inlineStr">
        <is>
          <t>Profilo Porta Etichette Piegato 30 X 1330 mm</t>
        </is>
      </c>
      <c r="C314" s="207" t="n">
        <v>100</v>
      </c>
      <c r="D314" s="960" t="n">
        <v>0.721</v>
      </c>
      <c r="E314" s="214" t="n"/>
      <c r="F314" s="262" t="n">
        <v>111925</v>
      </c>
      <c r="G314" s="263" t="inlineStr">
        <is>
          <t>Stock limiter universale colore trasparente</t>
        </is>
      </c>
      <c r="H314" s="264" t="n">
        <v>100</v>
      </c>
      <c r="I314" s="265" t="n">
        <v>0.116</v>
      </c>
      <c r="J314" s="214" t="n"/>
      <c r="K314" s="208" t="n"/>
      <c r="L314" s="424" t="n"/>
      <c r="M314" s="961" t="n"/>
      <c r="N314" s="214" t="n"/>
    </row>
    <row r="315">
      <c r="A315" s="207" t="n">
        <v>137150</v>
      </c>
      <c r="B315" s="209" t="inlineStr">
        <is>
          <t>Profilo Porta Etichette Piegato 50 X 1000 mm</t>
        </is>
      </c>
      <c r="C315" s="207" t="n">
        <v>100</v>
      </c>
      <c r="D315" s="960" t="n">
        <v>0.7725</v>
      </c>
      <c r="E315" s="214" t="n"/>
      <c r="F315" s="262" t="n">
        <v>111935</v>
      </c>
      <c r="G315" s="263" t="inlineStr">
        <is>
          <t>Calamita rettangolare dimensione mm 10x10 - spessore mm 2</t>
        </is>
      </c>
      <c r="H315" s="264" t="n">
        <v>100</v>
      </c>
      <c r="I315" s="265" t="n">
        <v>0.294</v>
      </c>
      <c r="J315" s="214" t="n"/>
      <c r="K315" s="208" t="n"/>
      <c r="L315" s="424" t="n"/>
      <c r="M315" s="961" t="n"/>
      <c r="N315" s="214" t="n"/>
    </row>
    <row r="316">
      <c r="A316" s="207" t="n">
        <v>137160</v>
      </c>
      <c r="B316" s="209" t="inlineStr">
        <is>
          <t>Profilo Porta Etichette Piegato 60 X 1000 mm</t>
        </is>
      </c>
      <c r="C316" s="207" t="n">
        <v>100</v>
      </c>
      <c r="D316" s="960" t="n">
        <v>0.927</v>
      </c>
      <c r="E316" s="214" t="n"/>
      <c r="F316" s="262" t="n">
        <v>111936</v>
      </c>
      <c r="G316" s="263" t="inlineStr">
        <is>
          <t>Calamita rettangolare dimensione mm 13x8 - spessore mm 1,5</t>
        </is>
      </c>
      <c r="H316" s="264" t="n">
        <v>100</v>
      </c>
      <c r="I316" s="265" t="n">
        <v>0.251</v>
      </c>
      <c r="J316" s="214" t="n"/>
      <c r="K316" s="208" t="n"/>
      <c r="L316" s="424" t="n"/>
      <c r="M316" s="961" t="n"/>
      <c r="N316" s="214" t="n"/>
    </row>
    <row r="317">
      <c r="A317" s="207" t="n">
        <v>641012</v>
      </c>
      <c r="B317" s="209" t="inlineStr">
        <is>
          <t>Profilo Porta Etichette Trasparente Con Adesivo 26X1000mm</t>
        </is>
      </c>
      <c r="C317" s="207" t="n">
        <v>50</v>
      </c>
      <c r="D317" s="960" t="n">
        <v>0.6695</v>
      </c>
      <c r="E317" s="214" t="n"/>
      <c r="F317" s="262" t="n">
        <v>111937</v>
      </c>
      <c r="G317" s="263" t="inlineStr">
        <is>
          <t>Calamita rettangolare dimensione mm 13x8 - spessore mm 2</t>
        </is>
      </c>
      <c r="H317" s="264" t="n">
        <v>100</v>
      </c>
      <c r="I317" s="265" t="n">
        <v>0.363</v>
      </c>
      <c r="J317" s="214" t="n"/>
      <c r="K317" s="208" t="n"/>
      <c r="L317" s="424" t="n"/>
      <c r="M317" s="961" t="n"/>
      <c r="N317" s="214" t="n"/>
    </row>
    <row r="318">
      <c r="A318" s="207" t="n">
        <v>641013</v>
      </c>
      <c r="B318" s="209" t="inlineStr">
        <is>
          <t>Profilo Porta Etichette Trasparente Con Adesivo 26X1325mm</t>
        </is>
      </c>
      <c r="C318" s="207" t="n">
        <v>50</v>
      </c>
      <c r="D318" s="960" t="n">
        <v>0.8961</v>
      </c>
      <c r="E318" s="214" t="n"/>
      <c r="F318" s="262" t="n">
        <v>111938</v>
      </c>
      <c r="G318" s="263" t="inlineStr">
        <is>
          <t>Calamita rettangolare dimensione mm 20x5 - spessore mm 2</t>
        </is>
      </c>
      <c r="H318" s="264" t="n">
        <v>100</v>
      </c>
      <c r="I318" s="265" t="n">
        <v>0.326</v>
      </c>
      <c r="J318" s="214" t="n"/>
      <c r="K318" s="208" t="n"/>
      <c r="L318" s="424" t="n"/>
      <c r="M318" s="961" t="n"/>
      <c r="N318" s="214" t="n"/>
    </row>
    <row r="319">
      <c r="A319" s="207" t="n">
        <v>642026</v>
      </c>
      <c r="B319" s="209" t="inlineStr">
        <is>
          <t>Profilo Porta Etichette Bianco Con Adesivo 26X1000mm</t>
        </is>
      </c>
      <c r="C319" s="207" t="n">
        <v>50</v>
      </c>
      <c r="D319" s="960" t="n">
        <v>0.6695</v>
      </c>
      <c r="E319" s="214" t="n"/>
      <c r="F319" s="262" t="n">
        <v>111939</v>
      </c>
      <c r="G319" s="263" t="inlineStr">
        <is>
          <t>Calamita rettangolare dimensione mm 20x10 - spessore mm 2</t>
        </is>
      </c>
      <c r="H319" s="264" t="n">
        <v>100</v>
      </c>
      <c r="I319" s="265" t="n">
        <v>0.648</v>
      </c>
      <c r="J319" s="214" t="n"/>
      <c r="K319" s="208" t="n"/>
      <c r="L319" s="424" t="n"/>
      <c r="M319" s="961" t="n"/>
      <c r="N319" s="214" t="n"/>
    </row>
    <row r="320">
      <c r="A320" s="207" t="n">
        <v>642028</v>
      </c>
      <c r="B320" s="209" t="inlineStr">
        <is>
          <t>Profilo Porta Etichette Bianco Con Adesivo 26X1325mm</t>
        </is>
      </c>
      <c r="C320" s="207" t="n">
        <v>50</v>
      </c>
      <c r="D320" s="960" t="n">
        <v>0.8961</v>
      </c>
      <c r="E320" s="214" t="n"/>
      <c r="F320" s="262" t="n">
        <v>111940</v>
      </c>
      <c r="G320" s="263" t="inlineStr">
        <is>
          <t>Calamita rettangolare dimensione mm 20x15 - spessore mm 2</t>
        </is>
      </c>
      <c r="H320" s="264" t="n">
        <v>100</v>
      </c>
      <c r="I320" s="265" t="n">
        <v>0.842</v>
      </c>
      <c r="J320" s="214" t="n"/>
      <c r="K320" s="208" t="n"/>
      <c r="L320" s="424" t="n"/>
      <c r="M320" s="961" t="n"/>
      <c r="N320" s="214" t="n"/>
    </row>
    <row r="321">
      <c r="A321" s="207" t="n">
        <v>137230</v>
      </c>
      <c r="B321" s="209" t="inlineStr">
        <is>
          <t>Profilo Porta Etichette Trasparente Con Adesivo 30X1000mm</t>
        </is>
      </c>
      <c r="C321" s="207" t="n">
        <v>50</v>
      </c>
      <c r="D321" s="960" t="n">
        <v>0.6997</v>
      </c>
      <c r="E321" s="214" t="n"/>
      <c r="F321" s="262" t="n">
        <v>111941</v>
      </c>
      <c r="G321" s="263" t="inlineStr">
        <is>
          <t>Calamita rettangolare dimensione mm 25x10 - spessore mm 2</t>
        </is>
      </c>
      <c r="H321" s="264" t="n">
        <v>100</v>
      </c>
      <c r="I321" s="265" t="n">
        <v>0.799</v>
      </c>
      <c r="J321" s="214" t="n"/>
      <c r="K321" s="208" t="n"/>
      <c r="L321" s="424" t="n"/>
      <c r="M321" s="961" t="n"/>
      <c r="N321" s="214" t="n"/>
    </row>
    <row r="322">
      <c r="A322" s="207" t="n">
        <v>641015</v>
      </c>
      <c r="B322" s="209" t="inlineStr">
        <is>
          <t>Profilo Porta Etichette Trasparente Con Adesivo 30X1325mm</t>
        </is>
      </c>
      <c r="C322" s="207" t="n">
        <v>50</v>
      </c>
      <c r="D322" s="960" t="n">
        <v>1.0197</v>
      </c>
      <c r="E322" s="214" t="n"/>
      <c r="F322" s="262" t="n">
        <v>111942</v>
      </c>
      <c r="G322" s="263" t="inlineStr">
        <is>
          <t>Striscia doppio uso 6 posti in PP bianco</t>
        </is>
      </c>
      <c r="H322" s="264" t="n">
        <v>100</v>
      </c>
      <c r="I322" s="265" t="n">
        <v>0.594</v>
      </c>
      <c r="J322" s="214" t="n"/>
      <c r="K322" s="208" t="n"/>
      <c r="L322" s="424" t="n"/>
      <c r="M322" s="961" t="n"/>
      <c r="N322" s="214" t="n"/>
    </row>
    <row r="323">
      <c r="A323" s="207" t="n">
        <v>642030</v>
      </c>
      <c r="B323" s="209" t="inlineStr">
        <is>
          <t>Profilo Porta Etichette Bianco Con Adesivo 30X1000mm</t>
        </is>
      </c>
      <c r="C323" s="207" t="n">
        <v>50</v>
      </c>
      <c r="D323" s="960" t="n">
        <v>0.6997</v>
      </c>
      <c r="E323" s="214" t="n"/>
      <c r="F323" s="262" t="n">
        <v>111943</v>
      </c>
      <c r="G323" s="263" t="inlineStr">
        <is>
          <t>Striscia doppio uso 6 posti in PP bianco con porta etichetta</t>
        </is>
      </c>
      <c r="H323" s="264" t="n">
        <v>100</v>
      </c>
      <c r="I323" s="265" t="n">
        <v>0.728</v>
      </c>
      <c r="J323" s="214" t="n"/>
      <c r="K323" s="208" t="n"/>
      <c r="L323" s="424" t="n"/>
      <c r="M323" s="961" t="n"/>
      <c r="N323" s="214" t="n"/>
    </row>
    <row r="324">
      <c r="A324" s="207" t="n">
        <v>642032</v>
      </c>
      <c r="B324" s="209" t="inlineStr">
        <is>
          <t>Profilo Porta Etichette Bianco Con Adesivo 30X1325mm</t>
        </is>
      </c>
      <c r="C324" s="207" t="n">
        <v>50</v>
      </c>
      <c r="D324" s="960" t="n">
        <v>0.927</v>
      </c>
      <c r="E324" s="214" t="n"/>
      <c r="F324" s="262" t="n">
        <v>111944</v>
      </c>
      <c r="G324" s="263" t="inlineStr">
        <is>
          <t>Striscia doppio uso 12 posti in PP bianco</t>
        </is>
      </c>
      <c r="H324" s="264" t="n">
        <v>100</v>
      </c>
      <c r="I324" s="265" t="n">
        <v>0.732</v>
      </c>
      <c r="J324" s="214" t="n"/>
      <c r="K324" s="208" t="n"/>
      <c r="L324" s="424" t="n"/>
      <c r="M324" s="961" t="n"/>
      <c r="N324" s="214" t="n"/>
    </row>
    <row r="325">
      <c r="A325" s="207" t="n">
        <v>137240</v>
      </c>
      <c r="B325" s="209" t="inlineStr">
        <is>
          <t>Profilo Porta Etichette Trasparente Con Adesivo 40X1325mm</t>
        </is>
      </c>
      <c r="C325" s="207" t="n">
        <v>50</v>
      </c>
      <c r="D325" s="960" t="n">
        <v>1.2463</v>
      </c>
      <c r="E325" s="214" t="n"/>
      <c r="F325" s="262" t="n">
        <v>111945</v>
      </c>
      <c r="G325" s="263" t="inlineStr">
        <is>
          <t>Striscia doppio uso 12 posti in PP bianco con porta etichetta</t>
        </is>
      </c>
      <c r="H325" s="264" t="n">
        <v>100</v>
      </c>
      <c r="I325" s="265" t="n">
        <v>0.911</v>
      </c>
      <c r="J325" s="214" t="n"/>
      <c r="K325" s="208" t="n"/>
      <c r="L325" s="424" t="n"/>
      <c r="M325" s="961" t="n"/>
      <c r="N325" s="214" t="n"/>
    </row>
    <row r="326">
      <c r="A326" s="207" t="n">
        <v>641017</v>
      </c>
      <c r="B326" s="209" t="inlineStr">
        <is>
          <t>Profilo Porta Etichette Trasparente Con Adesivo 40X1325mm</t>
        </is>
      </c>
      <c r="C326" s="207" t="n">
        <v>50</v>
      </c>
      <c r="D326" s="960" t="n">
        <v>1.2154</v>
      </c>
      <c r="E326" s="214" t="n"/>
      <c r="F326" s="262" t="n">
        <v>111946</v>
      </c>
      <c r="G326" s="263" t="inlineStr">
        <is>
          <t>Striscia 12 posti in PP naturale</t>
        </is>
      </c>
      <c r="H326" s="264" t="n">
        <v>100</v>
      </c>
      <c r="I326" s="265" t="n">
        <v>0.64</v>
      </c>
      <c r="J326" s="214" t="n"/>
      <c r="K326" s="208" t="n"/>
      <c r="L326" s="424" t="n"/>
      <c r="M326" s="961" t="n"/>
      <c r="N326" s="214" t="n"/>
    </row>
    <row r="327">
      <c r="A327" s="207" t="n">
        <v>642037</v>
      </c>
      <c r="B327" s="209" t="inlineStr">
        <is>
          <t>Profilo Porta Etichette Bianco Con Adesivo 40X1000mm</t>
        </is>
      </c>
      <c r="C327" s="207" t="n">
        <v>50</v>
      </c>
      <c r="D327" s="960" t="n">
        <v>1.2135</v>
      </c>
      <c r="E327" s="214" t="n"/>
      <c r="F327" s="262" t="n">
        <v>111947</v>
      </c>
      <c r="G327" s="263" t="inlineStr">
        <is>
          <t>Striscia 12 posti in PP naturale con porta etichetta</t>
        </is>
      </c>
      <c r="H327" s="264" t="n">
        <v>100</v>
      </c>
      <c r="I327" s="265" t="n">
        <v>0.657</v>
      </c>
      <c r="J327" s="214" t="n"/>
      <c r="K327" s="208" t="n"/>
      <c r="L327" s="424" t="n"/>
      <c r="M327" s="961" t="n"/>
      <c r="N327" s="214" t="n"/>
    </row>
    <row r="328">
      <c r="A328" s="207" t="n">
        <v>642045</v>
      </c>
      <c r="B328" s="209" t="inlineStr">
        <is>
          <t>Profilo Porta Etichette Bianco Con Adesivo 40X1325mm</t>
        </is>
      </c>
      <c r="C328" s="207" t="n">
        <v>50</v>
      </c>
      <c r="D328" s="960" t="n">
        <v>1.337</v>
      </c>
      <c r="E328" s="214" t="n"/>
      <c r="F328" s="262" t="n">
        <v>111990</v>
      </c>
      <c r="G328" s="263" t="inlineStr">
        <is>
          <t>Profilo porta poster a scatto colore trasparente adesivo mm. 3030</t>
        </is>
      </c>
      <c r="H328" s="264" t="n">
        <v>10</v>
      </c>
      <c r="I328" s="265" t="n">
        <v>6.418</v>
      </c>
      <c r="J328" s="214" t="n"/>
      <c r="K328" s="208" t="n"/>
      <c r="L328" s="424" t="n"/>
      <c r="M328" s="961" t="n"/>
      <c r="N328" s="214" t="n"/>
    </row>
    <row r="329">
      <c r="A329" s="207" t="n">
        <v>641020</v>
      </c>
      <c r="B329" s="209" t="inlineStr">
        <is>
          <t>Profilo Porta Etichette Trasparente Con Adesivo 52X1325mm</t>
        </is>
      </c>
      <c r="C329" s="207" t="n">
        <v>50</v>
      </c>
      <c r="D329" s="960" t="n">
        <v>1.9035</v>
      </c>
      <c r="E329" s="214" t="n"/>
      <c r="F329" s="262" t="n">
        <v>111991</v>
      </c>
      <c r="G329" s="263" t="inlineStr">
        <is>
          <t>Profilo porta poster a scatto colore bianco adesivo mm. 3030</t>
        </is>
      </c>
      <c r="H329" s="264" t="n">
        <v>10</v>
      </c>
      <c r="I329" s="265" t="n">
        <v>5.215</v>
      </c>
      <c r="J329" s="214" t="n"/>
      <c r="K329" s="208" t="n"/>
      <c r="L329" s="424" t="n"/>
      <c r="M329" s="961" t="n"/>
      <c r="N329" s="214" t="n"/>
    </row>
    <row r="330">
      <c r="A330" s="207" t="n">
        <v>641068</v>
      </c>
      <c r="B330" s="209" t="inlineStr">
        <is>
          <t>Profilo Adesivo Trasparente 60X1000mm</t>
        </is>
      </c>
      <c r="C330" s="207" t="n">
        <v>10</v>
      </c>
      <c r="D330" s="960" t="n">
        <v>1.4729</v>
      </c>
      <c r="E330" s="214" t="n"/>
      <c r="F330" s="262" t="n">
        <v>111992</v>
      </c>
      <c r="G330" s="263" t="inlineStr">
        <is>
          <t>Profilo porta poster a scatto colore nero adesivo mm. 3030</t>
        </is>
      </c>
      <c r="H330" s="264" t="n">
        <v>10</v>
      </c>
      <c r="I330" s="265" t="n">
        <v>4.483</v>
      </c>
      <c r="J330" s="214" t="n"/>
      <c r="K330" s="208" t="n"/>
      <c r="L330" s="424" t="n"/>
      <c r="M330" s="961" t="n"/>
      <c r="N330" s="214" t="n"/>
    </row>
    <row r="331">
      <c r="A331" s="207" t="n">
        <v>641072</v>
      </c>
      <c r="B331" s="209" t="inlineStr">
        <is>
          <t>Profilo Adesivo Trasparente 60X1330mm</t>
        </is>
      </c>
      <c r="C331" s="207" t="n">
        <v>10</v>
      </c>
      <c r="D331" s="960" t="n">
        <v>1.957</v>
      </c>
      <c r="E331" s="214" t="n"/>
      <c r="F331" s="262" t="n">
        <v>111993</v>
      </c>
      <c r="G331" s="263" t="inlineStr">
        <is>
          <t>Profilo porta poster a scatto colore metallizzato adesivo adesivo mm. 3030</t>
        </is>
      </c>
      <c r="H331" s="264" t="n">
        <v>10</v>
      </c>
      <c r="I331" s="265" t="n">
        <v>4.574</v>
      </c>
      <c r="J331" s="214" t="n"/>
      <c r="K331" s="208" t="n"/>
      <c r="L331" s="424" t="n"/>
      <c r="M331" s="961" t="n"/>
      <c r="N331" s="214" t="n"/>
    </row>
    <row r="332">
      <c r="A332" s="207" t="n">
        <v>641066</v>
      </c>
      <c r="B332" s="209" t="inlineStr">
        <is>
          <t>Profilo Adesivo Pe Bianco 60X1000mm</t>
        </is>
      </c>
      <c r="C332" s="207" t="n">
        <v>10</v>
      </c>
      <c r="D332" s="960" t="n">
        <v>1.4729</v>
      </c>
      <c r="E332" s="214" t="n"/>
      <c r="F332" s="262" t="n">
        <v>112000</v>
      </c>
      <c r="G332" s="263" t="inlineStr">
        <is>
          <t>Gancio ad s in plastica mm. 39 bianco</t>
        </is>
      </c>
      <c r="H332" s="264" t="n">
        <v>100</v>
      </c>
      <c r="I332" s="265" t="n">
        <v>0.026</v>
      </c>
      <c r="J332" s="214" t="n"/>
      <c r="K332" s="208" t="n"/>
      <c r="L332" s="424" t="n"/>
      <c r="M332" s="961" t="n"/>
      <c r="N332" s="214" t="n"/>
    </row>
    <row r="333">
      <c r="A333" s="207" t="n">
        <v>641070</v>
      </c>
      <c r="B333" s="209" t="inlineStr">
        <is>
          <t>Profilo Adesivo Pe Bianco 60X1330mm</t>
        </is>
      </c>
      <c r="C333" s="207" t="n">
        <v>10</v>
      </c>
      <c r="D333" s="960" t="n">
        <v>1.957</v>
      </c>
      <c r="E333" s="214" t="n"/>
      <c r="F333" s="262" t="n">
        <v>112001</v>
      </c>
      <c r="G333" s="263" t="inlineStr">
        <is>
          <t>Gancio ad s in plastica mm. 50 bianco</t>
        </is>
      </c>
      <c r="H333" s="264" t="n">
        <v>100</v>
      </c>
      <c r="I333" s="265" t="n">
        <v>0.035</v>
      </c>
      <c r="J333" s="214" t="n"/>
      <c r="K333" s="208" t="n"/>
      <c r="L333" s="424" t="n"/>
      <c r="M333" s="961" t="n"/>
      <c r="N333" s="214" t="n"/>
    </row>
    <row r="334">
      <c r="A334" s="207" t="n">
        <v>641062</v>
      </c>
      <c r="B334" s="209" t="inlineStr">
        <is>
          <t>Profilo Adesivo Trasparente 73X1000mm</t>
        </is>
      </c>
      <c r="C334" s="207" t="n">
        <v>10</v>
      </c>
      <c r="D334" s="960" t="n">
        <v>1.4935</v>
      </c>
      <c r="E334" s="214" t="n"/>
      <c r="F334" s="262" t="n">
        <v>112002</v>
      </c>
      <c r="G334" s="263" t="inlineStr">
        <is>
          <t>Gancio a c in plastica mm. 39 bianco</t>
        </is>
      </c>
      <c r="H334" s="264" t="n">
        <v>100</v>
      </c>
      <c r="I334" s="265" t="n">
        <v>0.038</v>
      </c>
      <c r="J334" s="214" t="n"/>
      <c r="K334" s="208" t="n"/>
      <c r="L334" s="424" t="n"/>
      <c r="M334" s="961" t="n"/>
      <c r="N334" s="214" t="n"/>
    </row>
    <row r="335">
      <c r="A335" s="207" t="n">
        <v>641063</v>
      </c>
      <c r="B335" s="209" t="inlineStr">
        <is>
          <t>Profilo Adesivo Trasparente 73X1330mm</t>
        </is>
      </c>
      <c r="C335" s="207" t="n">
        <v>10</v>
      </c>
      <c r="D335" s="960" t="n">
        <v>1.9467</v>
      </c>
      <c r="E335" s="214" t="n"/>
      <c r="F335" s="262" t="n">
        <v>112006</v>
      </c>
      <c r="G335" s="263" t="inlineStr">
        <is>
          <t>Porta cartoline economico box A6 verticale</t>
        </is>
      </c>
      <c r="H335" s="264" t="n">
        <v>25</v>
      </c>
      <c r="I335" s="265" t="n">
        <v>1.035</v>
      </c>
      <c r="J335" s="214" t="n"/>
      <c r="K335" s="208" t="n"/>
      <c r="L335" s="424" t="n"/>
      <c r="M335" s="961" t="n"/>
      <c r="N335" s="214" t="n"/>
    </row>
    <row r="336">
      <c r="A336" s="207" t="n">
        <v>641064</v>
      </c>
      <c r="B336" s="209" t="inlineStr">
        <is>
          <t>Profilo Adesivo Bianco 73X1000mm</t>
        </is>
      </c>
      <c r="C336" s="207" t="n">
        <v>10</v>
      </c>
      <c r="D336" s="960" t="n">
        <v>1.4935</v>
      </c>
      <c r="E336" s="214" t="n"/>
      <c r="F336" s="262" t="n">
        <v>112010</v>
      </c>
      <c r="G336" s="263" t="inlineStr">
        <is>
          <t>Bustina trasparente porta cd con  chiusura ermetica e patella</t>
        </is>
      </c>
      <c r="H336" s="264" t="n">
        <v>100</v>
      </c>
      <c r="I336" s="265" t="n">
        <v>0.346</v>
      </c>
      <c r="J336" s="214" t="n"/>
      <c r="K336" s="208" t="n"/>
      <c r="L336" s="424" t="n"/>
      <c r="M336" s="961" t="n"/>
      <c r="N336" s="214" t="n"/>
    </row>
    <row r="337">
      <c r="A337" s="207" t="n">
        <v>641065</v>
      </c>
      <c r="B337" s="209" t="inlineStr">
        <is>
          <t>Profilo Adesivo Bianco 73X1330mm</t>
        </is>
      </c>
      <c r="C337" s="207" t="n">
        <v>10</v>
      </c>
      <c r="D337" s="960" t="n">
        <v>1.9467</v>
      </c>
      <c r="E337" s="214" t="n"/>
      <c r="F337" s="262" t="n">
        <v>112011</v>
      </c>
      <c r="G337" s="263" t="inlineStr">
        <is>
          <t>Bustina trasparente porta cd semplice</t>
        </is>
      </c>
      <c r="H337" s="264" t="n">
        <v>100</v>
      </c>
      <c r="I337" s="265" t="n">
        <v>0.26</v>
      </c>
      <c r="J337" s="214" t="n"/>
      <c r="K337" s="208" t="n"/>
      <c r="L337" s="424" t="n"/>
      <c r="M337" s="961" t="n"/>
      <c r="N337" s="214" t="n"/>
    </row>
    <row r="338">
      <c r="A338" s="207" t="n">
        <v>641097</v>
      </c>
      <c r="B338" s="209" t="inlineStr">
        <is>
          <t>Profilo Adesivo Trasparente 60X1000mm</t>
        </is>
      </c>
      <c r="C338" s="207" t="n">
        <v>50</v>
      </c>
      <c r="D338" s="960" t="n">
        <v>1.2154</v>
      </c>
      <c r="E338" s="214" t="n"/>
      <c r="F338" s="262" t="n">
        <v>112012</v>
      </c>
      <c r="G338" s="263" t="inlineStr">
        <is>
          <t>Bustina trasparente porta cd con aletta riapribile</t>
        </is>
      </c>
      <c r="H338" s="264" t="n">
        <v>100</v>
      </c>
      <c r="I338" s="265" t="n">
        <v>0.287</v>
      </c>
      <c r="J338" s="214" t="n"/>
      <c r="K338" s="208" t="n"/>
      <c r="L338" s="424" t="n"/>
      <c r="M338" s="961" t="n"/>
      <c r="N338" s="214" t="n"/>
    </row>
    <row r="339">
      <c r="A339" s="207" t="n">
        <v>641098</v>
      </c>
      <c r="B339" s="209" t="inlineStr">
        <is>
          <t>Profilo Adesivo Trasparente 60X1000mm</t>
        </is>
      </c>
      <c r="C339" s="207" t="n">
        <v>50</v>
      </c>
      <c r="D339" s="960" t="n">
        <v>1.5862</v>
      </c>
      <c r="E339" s="214" t="n"/>
      <c r="F339" s="262" t="n">
        <v>112015</v>
      </c>
      <c r="G339" s="263" t="inlineStr">
        <is>
          <t>Bustina trasparente porta cd sagomata</t>
        </is>
      </c>
      <c r="H339" s="264" t="n">
        <v>100</v>
      </c>
      <c r="I339" s="265" t="n">
        <v>0.346</v>
      </c>
      <c r="J339" s="214" t="n"/>
      <c r="K339" s="208" t="n"/>
      <c r="L339" s="424" t="n"/>
      <c r="M339" s="961" t="n"/>
      <c r="N339" s="214" t="n"/>
    </row>
    <row r="340">
      <c r="A340" s="207" t="n">
        <v>642500</v>
      </c>
      <c r="B340" s="209" t="inlineStr">
        <is>
          <t>Profilo Porta Etichette 40 X 65 mm - P25</t>
        </is>
      </c>
      <c r="C340" s="207" t="n">
        <v>100</v>
      </c>
      <c r="D340" s="960" t="n">
        <v>0.102</v>
      </c>
      <c r="E340" s="214" t="n"/>
      <c r="F340" s="262" t="n">
        <v>112016</v>
      </c>
      <c r="G340" s="263" t="inlineStr">
        <is>
          <t>Porta stopper oscillante trasversale per cursore</t>
        </is>
      </c>
      <c r="H340" s="264" t="n">
        <v>100</v>
      </c>
      <c r="I340" s="265" t="n">
        <v>0.16</v>
      </c>
      <c r="J340" s="214" t="n"/>
      <c r="K340" s="208" t="n"/>
      <c r="L340" s="424" t="n"/>
      <c r="M340" s="961" t="n"/>
      <c r="N340" s="214" t="n"/>
    </row>
    <row r="341">
      <c r="A341" s="207" t="n">
        <v>642502</v>
      </c>
      <c r="B341" s="209" t="inlineStr">
        <is>
          <t>Profilo Porta Etichette 40 X 100 mm - P25</t>
        </is>
      </c>
      <c r="C341" s="207" t="n">
        <v>100</v>
      </c>
      <c r="D341" s="960" t="n">
        <v>0.113</v>
      </c>
      <c r="E341" s="214" t="n"/>
      <c r="F341" s="262" t="n">
        <v>112017</v>
      </c>
      <c r="G341" s="263" t="inlineStr">
        <is>
          <t>Porta stopper oscillante rettangolare</t>
        </is>
      </c>
      <c r="H341" s="264" t="n">
        <v>100</v>
      </c>
      <c r="I341" s="265" t="n">
        <v>0.197</v>
      </c>
      <c r="J341" s="214" t="n"/>
      <c r="K341" s="208" t="n"/>
      <c r="L341" s="424" t="n"/>
      <c r="M341" s="961" t="n"/>
      <c r="N341" s="214" t="n"/>
    </row>
    <row r="342">
      <c r="A342" s="207" t="n">
        <v>642503</v>
      </c>
      <c r="B342" s="209" t="inlineStr">
        <is>
          <t>Profilo Porta Etichette 40 X 988 mm - P25</t>
        </is>
      </c>
      <c r="C342" s="207" t="n">
        <v>50</v>
      </c>
      <c r="D342" s="960" t="n">
        <v>0.8391</v>
      </c>
      <c r="E342" s="214" t="n"/>
      <c r="F342" s="262" t="n">
        <v>112018</v>
      </c>
      <c r="G342" s="263" t="inlineStr">
        <is>
          <t>Angolo trasparente adesivo mm. 32x32</t>
        </is>
      </c>
      <c r="H342" s="264" t="n">
        <v>100</v>
      </c>
      <c r="I342" s="265" t="n">
        <v>0.025</v>
      </c>
      <c r="J342" s="214" t="n"/>
      <c r="K342" s="208" t="n"/>
      <c r="L342" s="424" t="n"/>
      <c r="M342" s="961" t="n"/>
      <c r="N342" s="214" t="n"/>
    </row>
    <row r="343">
      <c r="A343" s="207" t="n">
        <v>642505</v>
      </c>
      <c r="B343" s="209" t="inlineStr">
        <is>
          <t>Profilo Porta Etichette 40 X 1318 mm - P25</t>
        </is>
      </c>
      <c r="C343" s="207" t="n">
        <v>50</v>
      </c>
      <c r="D343" s="960" t="n">
        <v>1.1151</v>
      </c>
      <c r="E343" s="214" t="n"/>
      <c r="F343" s="262" t="n">
        <v>112019</v>
      </c>
      <c r="G343" s="263" t="inlineStr">
        <is>
          <t>Angolo trasparente adesivo mm. 75x75</t>
        </is>
      </c>
      <c r="H343" s="264" t="n">
        <v>100</v>
      </c>
      <c r="I343" s="265" t="n">
        <v>0.059</v>
      </c>
      <c r="J343" s="214" t="n"/>
      <c r="K343" s="208" t="n"/>
      <c r="L343" s="424" t="n"/>
      <c r="M343" s="961" t="n"/>
      <c r="N343" s="214" t="n"/>
    </row>
    <row r="344">
      <c r="A344" s="207" t="n">
        <v>642552</v>
      </c>
      <c r="B344" s="209" t="inlineStr">
        <is>
          <t>Profilo Porta Etichette Tegometall 40 X 988 mm</t>
        </is>
      </c>
      <c r="C344" s="207" t="n">
        <v>50</v>
      </c>
      <c r="D344" s="960" t="n">
        <v>0.824</v>
      </c>
      <c r="E344" s="214" t="n"/>
      <c r="F344" s="262" t="n">
        <v>112020</v>
      </c>
      <c r="G344" s="263" t="inlineStr">
        <is>
          <t>Angolo trasparente adesivo mm. 100X100</t>
        </is>
      </c>
      <c r="H344" s="264" t="n">
        <v>100</v>
      </c>
      <c r="I344" s="265" t="n">
        <v>0.081</v>
      </c>
      <c r="J344" s="214" t="n"/>
      <c r="K344" s="208" t="n"/>
      <c r="L344" s="424" t="n"/>
      <c r="M344" s="961" t="n"/>
      <c r="N344" s="214" t="n"/>
    </row>
    <row r="345">
      <c r="A345" s="207" t="n">
        <v>642553</v>
      </c>
      <c r="B345" s="209" t="inlineStr">
        <is>
          <t>Profilo Porta Etichette Tegometall 40 X 1318 mm</t>
        </is>
      </c>
      <c r="C345" s="207" t="n">
        <v>50</v>
      </c>
      <c r="D345" s="960" t="n">
        <v>0.927</v>
      </c>
      <c r="E345" s="214" t="n"/>
      <c r="F345" s="262" t="n">
        <v>112021</v>
      </c>
      <c r="G345" s="263" t="inlineStr">
        <is>
          <t>Angolo trasparente adesivo mm. 140X140</t>
        </is>
      </c>
      <c r="H345" s="264" t="n">
        <v>100</v>
      </c>
      <c r="I345" s="265" t="n">
        <v>0.146</v>
      </c>
      <c r="J345" s="214" t="n"/>
      <c r="K345" s="208" t="n"/>
      <c r="L345" s="424" t="n"/>
      <c r="M345" s="961" t="n"/>
      <c r="N345" s="214" t="n"/>
    </row>
    <row r="346">
      <c r="A346" s="207" t="n">
        <v>642551</v>
      </c>
      <c r="B346" s="209" t="inlineStr">
        <is>
          <t>Profilo Porta Etichette Semplice 40 X 988 mm</t>
        </is>
      </c>
      <c r="C346" s="207" t="n">
        <v>50</v>
      </c>
      <c r="D346" s="960" t="n">
        <v>0.824</v>
      </c>
      <c r="E346" s="214" t="n"/>
      <c r="F346" s="262" t="n">
        <v>112022</v>
      </c>
      <c r="G346" s="263" t="inlineStr">
        <is>
          <t>Angolo trasparente adesivo mm. 170X170</t>
        </is>
      </c>
      <c r="H346" s="264" t="n">
        <v>100</v>
      </c>
      <c r="I346" s="265" t="n">
        <v>0.252</v>
      </c>
      <c r="J346" s="214" t="n"/>
      <c r="K346" s="208" t="n"/>
      <c r="L346" s="424" t="n"/>
      <c r="M346" s="961" t="n"/>
      <c r="N346" s="214" t="n"/>
    </row>
    <row r="347">
      <c r="A347" s="207" t="n">
        <v>642016</v>
      </c>
      <c r="B347" s="209" t="inlineStr">
        <is>
          <t>40 X 988 mm - Tegometall - 2 Posizioni</t>
        </is>
      </c>
      <c r="C347" s="207" t="n">
        <v>50</v>
      </c>
      <c r="D347" s="960" t="n">
        <v>0.927</v>
      </c>
      <c r="E347" s="214" t="n"/>
      <c r="F347" s="262" t="n">
        <v>112031</v>
      </c>
      <c r="G347" s="263" t="inlineStr">
        <is>
          <t>Busta trasparente adesiva per formato A6</t>
        </is>
      </c>
      <c r="H347" s="264" t="n">
        <v>100</v>
      </c>
      <c r="I347" s="265" t="n">
        <v>0.319</v>
      </c>
      <c r="J347" s="214" t="n"/>
      <c r="K347" s="208" t="n"/>
      <c r="L347" s="424" t="n"/>
      <c r="M347" s="961" t="n"/>
      <c r="N347" s="214" t="n"/>
    </row>
    <row r="348">
      <c r="A348" s="207" t="n">
        <v>642126</v>
      </c>
      <c r="B348" s="209" t="inlineStr">
        <is>
          <t>Porta Etichette Articolato 130mm</t>
        </is>
      </c>
      <c r="C348" s="207" t="n">
        <v>50</v>
      </c>
      <c r="D348" s="960" t="n">
        <v>0.4</v>
      </c>
      <c r="E348" s="214" t="n"/>
      <c r="F348" s="262" t="n">
        <v>112032</v>
      </c>
      <c r="G348" s="263" t="inlineStr">
        <is>
          <t>Busta trasparente adesiva per formato A5</t>
        </is>
      </c>
      <c r="H348" s="264" t="n">
        <v>100</v>
      </c>
      <c r="I348" s="265" t="n">
        <v>0.44</v>
      </c>
      <c r="J348" s="214" t="n"/>
      <c r="K348" s="208" t="n"/>
      <c r="L348" s="424" t="n"/>
      <c r="M348" s="961" t="n"/>
      <c r="N348" s="214" t="n"/>
    </row>
    <row r="349">
      <c r="A349" s="207" t="n">
        <v>642127</v>
      </c>
      <c r="B349" s="209" t="inlineStr">
        <is>
          <t>Porta Etichette Articolato 150mm</t>
        </is>
      </c>
      <c r="C349" s="207" t="n">
        <v>50</v>
      </c>
      <c r="D349" s="960" t="n">
        <v>0.2884</v>
      </c>
      <c r="E349" s="214" t="n"/>
      <c r="F349" s="262" t="n">
        <v>112035</v>
      </c>
      <c r="G349" s="263" t="inlineStr">
        <is>
          <t>Striscia adesiva forata</t>
        </is>
      </c>
      <c r="H349" s="264" t="n">
        <v>100</v>
      </c>
      <c r="I349" s="265" t="n">
        <v>0.098</v>
      </c>
      <c r="J349" s="214" t="n"/>
      <c r="K349" s="208" t="n"/>
      <c r="L349" s="424" t="n"/>
      <c r="M349" s="961" t="n"/>
      <c r="N349" s="214" t="n"/>
    </row>
    <row r="350">
      <c r="A350" s="207" t="n">
        <v>642128</v>
      </c>
      <c r="B350" s="209" t="inlineStr">
        <is>
          <t>Porta Etichette Articolato 210mm</t>
        </is>
      </c>
      <c r="C350" s="207" t="n">
        <v>50</v>
      </c>
      <c r="D350" s="960" t="n">
        <v>0.55</v>
      </c>
      <c r="E350" s="214" t="n"/>
      <c r="F350" s="262" t="n">
        <v>112036</v>
      </c>
      <c r="G350" s="263" t="inlineStr">
        <is>
          <t>Pressino adesivo</t>
        </is>
      </c>
      <c r="H350" s="264" t="n">
        <v>100</v>
      </c>
      <c r="I350" s="265" t="n">
        <v>0.135</v>
      </c>
      <c r="J350" s="214" t="n"/>
      <c r="K350" s="208" t="n"/>
      <c r="L350" s="424" t="n"/>
      <c r="M350" s="961" t="n"/>
      <c r="N350" s="214" t="n"/>
    </row>
    <row r="351">
      <c r="A351" s="207" t="n">
        <v>163304</v>
      </c>
      <c r="B351" s="209" t="inlineStr">
        <is>
          <t>Porta Etichette Ripiano In Vetro - Altezza 20mm</t>
        </is>
      </c>
      <c r="C351" s="207" t="n">
        <v>50</v>
      </c>
      <c r="D351" s="960" t="n">
        <v>1.2772</v>
      </c>
      <c r="E351" s="214" t="n"/>
      <c r="F351" s="262" t="n">
        <v>112040</v>
      </c>
      <c r="G351" s="263" t="inlineStr">
        <is>
          <t>Busta trasparente adesiva per formato A4</t>
        </is>
      </c>
      <c r="H351" s="264" t="n">
        <v>100</v>
      </c>
      <c r="I351" s="265" t="n">
        <v>0.669</v>
      </c>
      <c r="J351" s="214" t="n"/>
      <c r="K351" s="208" t="n"/>
      <c r="L351" s="424" t="n"/>
      <c r="M351" s="961" t="n"/>
      <c r="N351" s="214" t="n"/>
    </row>
    <row r="352">
      <c r="A352" s="207" t="n">
        <v>160310</v>
      </c>
      <c r="B352" s="209" t="inlineStr">
        <is>
          <t>Porta Etichette Ripiano In Vetro - Altezza 40mm</t>
        </is>
      </c>
      <c r="C352" s="207" t="n">
        <v>10</v>
      </c>
      <c r="D352" s="960" t="n">
        <v>1.3905</v>
      </c>
      <c r="E352" s="214" t="n"/>
      <c r="F352" s="262" t="n">
        <v>112041</v>
      </c>
      <c r="G352" s="263" t="inlineStr">
        <is>
          <t>Bustina trasparente mm. 90x125 con foro ovale ed unghia</t>
        </is>
      </c>
      <c r="H352" s="264" t="n">
        <v>100</v>
      </c>
      <c r="I352" s="265" t="n">
        <v>0.468</v>
      </c>
      <c r="J352" s="214" t="n"/>
      <c r="K352" s="208" t="n"/>
      <c r="L352" s="424" t="n"/>
      <c r="M352" s="961" t="n"/>
      <c r="N352" s="214" t="n"/>
    </row>
    <row r="353">
      <c r="A353" s="207" t="n">
        <v>797626</v>
      </c>
      <c r="B353" s="209" t="inlineStr">
        <is>
          <t>Profilo Pinza -  1000 mm - Adesivo</t>
        </is>
      </c>
      <c r="C353" s="207" t="n">
        <v>10</v>
      </c>
      <c r="D353" s="960" t="n">
        <v>1.0094</v>
      </c>
      <c r="E353" s="214" t="n"/>
      <c r="F353" s="262" t="n">
        <v>112042</v>
      </c>
      <c r="G353" s="263" t="inlineStr">
        <is>
          <t>Busta trasparente mm. 108x150 con foro</t>
        </is>
      </c>
      <c r="H353" s="264" t="n">
        <v>100</v>
      </c>
      <c r="I353" s="265" t="n">
        <v>0.45</v>
      </c>
      <c r="J353" s="214" t="n"/>
      <c r="K353" s="208" t="n"/>
      <c r="L353" s="424" t="n"/>
      <c r="M353" s="961" t="n"/>
      <c r="N353" s="214" t="n"/>
    </row>
    <row r="354">
      <c r="A354" s="207" t="n">
        <v>797628</v>
      </c>
      <c r="B354" s="209" t="inlineStr">
        <is>
          <t>Profilo Pinza -  2000 mm - Adesivo</t>
        </is>
      </c>
      <c r="C354" s="207" t="n">
        <v>50</v>
      </c>
      <c r="D354" s="960" t="n">
        <v>1.339</v>
      </c>
      <c r="E354" s="214" t="n"/>
      <c r="F354" s="262" t="n">
        <v>112043</v>
      </c>
      <c r="G354" s="263" t="inlineStr">
        <is>
          <t>Busta trasparente mm. 108x150 con foro ed aletta richiudibile</t>
        </is>
      </c>
      <c r="H354" s="264" t="n">
        <v>100</v>
      </c>
      <c r="I354" s="265" t="n">
        <v>0.54</v>
      </c>
      <c r="J354" s="214" t="n"/>
      <c r="K354" s="208" t="n"/>
      <c r="L354" s="424" t="n"/>
      <c r="M354" s="961" t="n"/>
      <c r="N354" s="214" t="n"/>
    </row>
    <row r="355">
      <c r="A355" s="207" t="n">
        <v>950600</v>
      </c>
      <c r="B355" s="209" t="inlineStr">
        <is>
          <t>Bobina Pvc - Nero - Al Metro</t>
        </is>
      </c>
      <c r="C355" s="207" t="n">
        <v>100</v>
      </c>
      <c r="D355" s="960" t="n">
        <v>17.1887</v>
      </c>
      <c r="E355" s="214" t="n"/>
      <c r="F355" s="262" t="n">
        <v>112044</v>
      </c>
      <c r="G355" s="263" t="inlineStr">
        <is>
          <t>Bustina trasparente 2 scomparti mm. 72x132 e mm. 74x53</t>
        </is>
      </c>
      <c r="H355" s="264" t="n">
        <v>100</v>
      </c>
      <c r="I355" s="265" t="n">
        <v>0.54</v>
      </c>
      <c r="J355" s="214" t="n"/>
      <c r="K355" s="208" t="n"/>
      <c r="L355" s="424" t="n"/>
      <c r="M355" s="961" t="n"/>
      <c r="N355" s="214" t="n"/>
    </row>
    <row r="356">
      <c r="A356" s="207" t="n">
        <v>151099</v>
      </c>
      <c r="B356" s="209" t="inlineStr">
        <is>
          <t>Bobina - Blu Reflex</t>
        </is>
      </c>
      <c r="C356" s="207" t="n">
        <v>100</v>
      </c>
      <c r="D356" s="960" t="n">
        <v>17.1887</v>
      </c>
      <c r="E356" s="214" t="n"/>
      <c r="F356" s="262" t="n">
        <v>112045</v>
      </c>
      <c r="G356" s="263" t="inlineStr">
        <is>
          <t>Busta trasparente 2 scomparti mm. 86x226 e mm. 86x63</t>
        </is>
      </c>
      <c r="H356" s="264" t="n">
        <v>100</v>
      </c>
      <c r="I356" s="265" t="n">
        <v>0.594</v>
      </c>
      <c r="J356" s="214" t="n"/>
      <c r="K356" s="208" t="n"/>
      <c r="L356" s="424" t="n"/>
      <c r="M356" s="961" t="n"/>
      <c r="N356" s="214" t="n"/>
    </row>
    <row r="357">
      <c r="A357" s="207" t="n">
        <v>151108</v>
      </c>
      <c r="B357" s="209" t="inlineStr">
        <is>
          <t>Bobina - Vinaccia</t>
        </is>
      </c>
      <c r="C357" s="209" t="n">
        <v>1</v>
      </c>
      <c r="D357" s="960" t="n">
        <v>15.347</v>
      </c>
      <c r="E357" s="215" t="n"/>
      <c r="F357" s="262" t="n">
        <v>112046</v>
      </c>
      <c r="G357" s="263" t="inlineStr">
        <is>
          <t>Bustina trasparente con bottoncino mm. 153x112</t>
        </is>
      </c>
      <c r="H357" s="264" t="n">
        <v>100</v>
      </c>
      <c r="I357" s="265" t="n">
        <v>1.62</v>
      </c>
      <c r="J357" s="215" t="n"/>
      <c r="K357" s="209" t="n"/>
      <c r="L357" s="425" t="n"/>
      <c r="M357" s="962" t="n"/>
      <c r="N357" s="215" t="n"/>
    </row>
    <row r="358">
      <c r="A358" s="207" t="n">
        <v>151107</v>
      </c>
      <c r="B358" s="209" t="inlineStr">
        <is>
          <t>Bobina - Rosso- Arancio</t>
        </is>
      </c>
      <c r="C358" s="209" t="n">
        <v>100</v>
      </c>
      <c r="D358" s="960" t="n">
        <v>17.1887</v>
      </c>
      <c r="E358" s="215" t="n"/>
      <c r="F358" s="262" t="n">
        <v>112050</v>
      </c>
      <c r="G358" s="263" t="inlineStr">
        <is>
          <t>Bustina trasparente adesiva mm. 60X95 apertura lato corto</t>
        </is>
      </c>
      <c r="H358" s="264" t="n">
        <v>100</v>
      </c>
      <c r="I358" s="265" t="n">
        <v>0.116</v>
      </c>
      <c r="J358" s="215" t="n"/>
      <c r="K358" s="209" t="n"/>
      <c r="L358" s="425" t="n"/>
      <c r="M358" s="962" t="n"/>
      <c r="N358" s="215" t="n"/>
    </row>
    <row r="359" ht="12.75" customHeight="1">
      <c r="A359" s="207" t="n">
        <v>950605</v>
      </c>
      <c r="B359" s="209" t="inlineStr">
        <is>
          <t>Bobina - Rosso Fuoco</t>
        </is>
      </c>
      <c r="C359" s="209" t="n">
        <v>100</v>
      </c>
      <c r="D359" s="960" t="n">
        <v>15.347</v>
      </c>
      <c r="E359" s="215" t="n"/>
      <c r="F359" s="262" t="n">
        <v>112051</v>
      </c>
      <c r="G359" s="263" t="inlineStr">
        <is>
          <t>Bustina trasparente adesiva mm. 95X60 apertura lato lungo</t>
        </is>
      </c>
      <c r="H359" s="264" t="n">
        <v>100</v>
      </c>
      <c r="I359" s="265" t="n">
        <v>0.126</v>
      </c>
      <c r="J359" s="215" t="n"/>
      <c r="K359" s="209" t="n"/>
      <c r="L359" s="425" t="n"/>
      <c r="M359" s="962" t="n"/>
      <c r="N359" s="215" t="n"/>
    </row>
    <row r="360">
      <c r="A360" s="207" t="n">
        <v>151105</v>
      </c>
      <c r="B360" s="209" t="inlineStr">
        <is>
          <t>Bobina - Giallo Oro</t>
        </is>
      </c>
      <c r="C360" s="209" t="n">
        <v>100</v>
      </c>
      <c r="D360" s="960" t="n">
        <v>17.1887</v>
      </c>
      <c r="E360" s="215" t="n"/>
      <c r="F360" s="262" t="n">
        <v>112052</v>
      </c>
      <c r="G360" s="263" t="inlineStr">
        <is>
          <t>Bustina trasparente adesiva mm. 105X60 apertura lato lungo</t>
        </is>
      </c>
      <c r="H360" s="264" t="n">
        <v>100</v>
      </c>
      <c r="I360" s="265" t="n">
        <v>0.127</v>
      </c>
      <c r="J360" s="215" t="n"/>
      <c r="K360" s="209" t="n"/>
      <c r="L360" s="425" t="n"/>
      <c r="M360" s="962" t="n"/>
      <c r="N360" s="215" t="n"/>
    </row>
    <row r="361" ht="12.75" customHeight="1">
      <c r="A361" s="207" t="n">
        <v>950606</v>
      </c>
      <c r="B361" s="209" t="inlineStr">
        <is>
          <t>Bobina - Verde Scuro</t>
        </is>
      </c>
      <c r="C361" s="209" t="n">
        <v>100</v>
      </c>
      <c r="D361" s="960" t="n">
        <v>15.347</v>
      </c>
      <c r="E361" s="215" t="n"/>
      <c r="F361" s="262" t="n">
        <v>112053</v>
      </c>
      <c r="G361" s="263" t="inlineStr">
        <is>
          <t>Bustina trasparente adesiva mm. 105X60 con aletta richiudibile</t>
        </is>
      </c>
      <c r="H361" s="264" t="n">
        <v>100</v>
      </c>
      <c r="I361" s="265" t="n">
        <v>0.176</v>
      </c>
      <c r="J361" s="215" t="n"/>
      <c r="K361" s="209" t="n"/>
      <c r="L361" s="425" t="n"/>
      <c r="M361" s="962" t="n"/>
      <c r="N361" s="215" t="n"/>
    </row>
    <row r="362">
      <c r="A362" s="207" t="n">
        <v>641087</v>
      </c>
      <c r="B362" s="209" t="inlineStr">
        <is>
          <t>Profilo Porta Etichette Ripiano In Filo - Bianco - Lunghezza : 110mm</t>
        </is>
      </c>
      <c r="C362" s="209" t="n">
        <v>100</v>
      </c>
      <c r="D362" s="960" t="n">
        <v>0.165</v>
      </c>
      <c r="E362" s="215" t="n"/>
      <c r="F362" s="262" t="n">
        <v>112057</v>
      </c>
      <c r="G362" s="263" t="inlineStr">
        <is>
          <t>Bustina porta nome in pvc trasparente mm. 93X60</t>
        </is>
      </c>
      <c r="H362" s="264" t="n">
        <v>100</v>
      </c>
      <c r="I362" s="265" t="n">
        <v>0.374</v>
      </c>
      <c r="J362" s="215" t="n"/>
      <c r="K362" s="209" t="n"/>
      <c r="L362" s="425" t="n"/>
      <c r="M362" s="962" t="n"/>
      <c r="N362" s="215" t="n"/>
    </row>
    <row r="363">
      <c r="A363" s="207" t="n">
        <v>641088</v>
      </c>
      <c r="B363" s="209" t="inlineStr">
        <is>
          <t>Profilo Porta Etichette Ripiano In Filo - Bianco - Lunghezza : 450mm</t>
        </is>
      </c>
      <c r="C363" s="209" t="n">
        <v>10</v>
      </c>
      <c r="D363" s="960" t="n">
        <v>0.5974</v>
      </c>
      <c r="E363" s="215" t="n"/>
      <c r="F363" s="262" t="n">
        <v>112062</v>
      </c>
      <c r="G363" s="263" t="inlineStr">
        <is>
          <t>Porta stopper oscillante stretto</t>
        </is>
      </c>
      <c r="H363" s="264" t="n">
        <v>100</v>
      </c>
      <c r="I363" s="265" t="n">
        <v>0.093</v>
      </c>
      <c r="J363" s="215" t="n"/>
      <c r="K363" s="209" t="n"/>
      <c r="L363" s="425" t="n"/>
      <c r="M363" s="962" t="n"/>
      <c r="N363" s="215" t="n"/>
    </row>
    <row r="364">
      <c r="A364" s="207" t="n">
        <v>641089</v>
      </c>
      <c r="B364" s="209" t="inlineStr">
        <is>
          <t>Profilo Porta Etichette Ripiano In Filo - Bianco - Lunghezza:  995mm</t>
        </is>
      </c>
      <c r="C364" s="209" t="n">
        <v>10</v>
      </c>
      <c r="D364" s="960" t="n">
        <v>1.3493</v>
      </c>
      <c r="E364" s="215" t="n"/>
      <c r="F364" s="262" t="n">
        <v>112063</v>
      </c>
      <c r="G364" s="263" t="inlineStr">
        <is>
          <t>Porta stopper oscillante stretto economico</t>
        </is>
      </c>
      <c r="H364" s="264" t="n">
        <v>100</v>
      </c>
      <c r="I364" s="265" t="n">
        <v>0.091</v>
      </c>
      <c r="J364" s="215" t="n"/>
      <c r="K364" s="209" t="n"/>
      <c r="L364" s="425" t="n"/>
      <c r="M364" s="962" t="n"/>
      <c r="N364" s="215" t="n"/>
    </row>
    <row r="365">
      <c r="A365" s="207" t="n">
        <v>641090</v>
      </c>
      <c r="B365" s="209" t="inlineStr">
        <is>
          <t>Profilo Porta Etichette Ripiano In Filo - Trasparente - Lunghezza : 110mm</t>
        </is>
      </c>
      <c r="C365" s="209" t="n">
        <v>100</v>
      </c>
      <c r="D365" s="960" t="n">
        <v>0.1545</v>
      </c>
      <c r="E365" s="215" t="n"/>
      <c r="F365" s="262" t="n">
        <v>112065</v>
      </c>
      <c r="G365" s="263" t="inlineStr">
        <is>
          <t>Porta stopper oscillante sagomato 152</t>
        </is>
      </c>
      <c r="H365" s="264" t="n">
        <v>100</v>
      </c>
      <c r="I365" s="265" t="n">
        <v>0.12</v>
      </c>
      <c r="J365" s="215" t="n"/>
      <c r="K365" s="209" t="n"/>
      <c r="L365" s="425" t="n"/>
      <c r="M365" s="962" t="n"/>
      <c r="N365" s="215" t="n"/>
    </row>
    <row r="366">
      <c r="A366" s="207" t="n">
        <v>641091</v>
      </c>
      <c r="B366" s="209" t="inlineStr">
        <is>
          <t>Profilo Porta Etichette Ripiano In Filo - Trasparente - Lunghezza : 450mm</t>
        </is>
      </c>
      <c r="C366" s="207" t="n">
        <v>10</v>
      </c>
      <c r="D366" s="960" t="n">
        <v>0.515</v>
      </c>
      <c r="E366" s="214" t="n"/>
      <c r="F366" s="262" t="n">
        <v>112066</v>
      </c>
      <c r="G366" s="263" t="inlineStr">
        <is>
          <t>Porta stopper oscillante sagomato 200</t>
        </is>
      </c>
      <c r="H366" s="264" t="n">
        <v>100</v>
      </c>
      <c r="I366" s="265" t="n">
        <v>0.126</v>
      </c>
      <c r="J366" s="214" t="n"/>
      <c r="K366" s="208" t="n"/>
      <c r="L366" s="424" t="n"/>
      <c r="M366" s="961" t="n"/>
      <c r="N366" s="214" t="n"/>
    </row>
    <row r="367">
      <c r="A367" s="207" t="n">
        <v>641092</v>
      </c>
      <c r="B367" s="209" t="inlineStr">
        <is>
          <t>Profilo Porta Etichette Ripiano In Filo - Trasparente - Lunghezza : 995mm</t>
        </is>
      </c>
      <c r="C367" s="207" t="n">
        <v>10</v>
      </c>
      <c r="D367" s="960" t="n">
        <v>1.133</v>
      </c>
      <c r="E367" s="214" t="n"/>
      <c r="F367" s="262" t="n">
        <v>112080</v>
      </c>
      <c r="G367" s="263" t="inlineStr">
        <is>
          <t>Sacchetto trasparente mm. 100x200</t>
        </is>
      </c>
      <c r="H367" s="264" t="n">
        <v>100</v>
      </c>
      <c r="I367" s="265" t="n">
        <v>0.018</v>
      </c>
      <c r="J367" s="214" t="n"/>
      <c r="K367" s="208" t="n"/>
      <c r="L367" s="424" t="n"/>
      <c r="M367" s="961" t="n"/>
      <c r="N367" s="214" t="n"/>
    </row>
    <row r="368">
      <c r="A368" s="207" t="n">
        <v>641082</v>
      </c>
      <c r="B368" s="209" t="inlineStr">
        <is>
          <t>Profilo Porta Etichette Perforato - Trasparente - Lunghezza : 65mm</t>
        </is>
      </c>
      <c r="C368" s="207" t="n">
        <v>100</v>
      </c>
      <c r="D368" s="960" t="n">
        <v>0.2575</v>
      </c>
      <c r="E368" s="214" t="n"/>
      <c r="F368" s="262" t="n">
        <v>112081</v>
      </c>
      <c r="G368" s="263" t="inlineStr">
        <is>
          <t>Sacchetto trasparente mm. 140x320</t>
        </is>
      </c>
      <c r="H368" s="264" t="n">
        <v>100</v>
      </c>
      <c r="I368" s="265" t="n">
        <v>0.024</v>
      </c>
      <c r="J368" s="214" t="n"/>
      <c r="K368" s="208" t="n"/>
      <c r="L368" s="424" t="n"/>
      <c r="M368" s="961" t="n"/>
      <c r="N368" s="214" t="n"/>
    </row>
    <row r="369">
      <c r="A369" s="207" t="n">
        <v>641083</v>
      </c>
      <c r="B369" s="209" t="inlineStr">
        <is>
          <t>Profilo Porta Etichette Perforato - Trasparente - Lunghezza : 110mm</t>
        </is>
      </c>
      <c r="C369" s="207" t="n">
        <v>100</v>
      </c>
      <c r="D369" s="960" t="n">
        <v>0.309</v>
      </c>
      <c r="E369" s="214" t="n"/>
      <c r="F369" s="262" t="n">
        <v>112082</v>
      </c>
      <c r="G369" s="263" t="inlineStr">
        <is>
          <t>Sacchetto trasparente mm. 150x200</t>
        </is>
      </c>
      <c r="H369" s="264" t="n">
        <v>100</v>
      </c>
      <c r="I369" s="265" t="n">
        <v>0.019</v>
      </c>
      <c r="J369" s="214" t="n"/>
      <c r="K369" s="208" t="n"/>
      <c r="L369" s="424" t="n"/>
      <c r="M369" s="961" t="n"/>
      <c r="N369" s="214" t="n"/>
    </row>
    <row r="370">
      <c r="A370" s="207" t="n">
        <v>641084</v>
      </c>
      <c r="B370" s="209" t="inlineStr">
        <is>
          <t>Profilo Porta Etichette Perforato - Trasparente - Lunghezza : 450mm</t>
        </is>
      </c>
      <c r="C370" s="207" t="n">
        <v>10</v>
      </c>
      <c r="D370" s="960" t="n">
        <v>0.8549</v>
      </c>
      <c r="E370" s="214" t="n"/>
      <c r="F370" s="262" t="n">
        <v>112083</v>
      </c>
      <c r="G370" s="263" t="inlineStr">
        <is>
          <t>Sacchetto trasparente mm. 200x600</t>
        </is>
      </c>
      <c r="H370" s="264" t="n">
        <v>100</v>
      </c>
      <c r="I370" s="265" t="n">
        <v>0.048</v>
      </c>
      <c r="J370" s="214" t="n"/>
      <c r="K370" s="208" t="n"/>
      <c r="L370" s="424" t="n"/>
      <c r="M370" s="961" t="n"/>
      <c r="N370" s="214" t="n"/>
    </row>
    <row r="371">
      <c r="A371" s="207" t="n">
        <v>641085</v>
      </c>
      <c r="B371" s="209" t="inlineStr">
        <is>
          <t>Clip Pvc 50mm</t>
        </is>
      </c>
      <c r="C371" s="207" t="n">
        <v>100</v>
      </c>
      <c r="D371" s="960" t="n">
        <v>0.0752</v>
      </c>
      <c r="E371" s="214" t="n"/>
      <c r="F371" s="262" t="n">
        <v>112084</v>
      </c>
      <c r="G371" s="263" t="inlineStr">
        <is>
          <t>Sacchetto trasparente mm. 220x300</t>
        </is>
      </c>
      <c r="H371" s="264" t="n">
        <v>100</v>
      </c>
      <c r="I371" s="265" t="n">
        <v>0.032</v>
      </c>
      <c r="J371" s="214" t="n"/>
      <c r="K371" s="208" t="n"/>
      <c r="L371" s="424" t="n"/>
      <c r="M371" s="961" t="n"/>
      <c r="N371" s="214" t="n"/>
    </row>
    <row r="372">
      <c r="A372" s="207" t="n">
        <v>641094</v>
      </c>
      <c r="B372" s="209" t="inlineStr">
        <is>
          <t>Profilo DoPPio - 39X110mm</t>
        </is>
      </c>
      <c r="C372" s="207" t="n">
        <v>100</v>
      </c>
      <c r="D372" s="960" t="n">
        <v>0.206</v>
      </c>
      <c r="E372" s="214" t="n"/>
      <c r="F372" s="262" t="n">
        <v>112085</v>
      </c>
      <c r="G372" s="263" t="inlineStr">
        <is>
          <t>Sacchetto trasparente mm. 280x400</t>
        </is>
      </c>
      <c r="H372" s="264" t="n">
        <v>100</v>
      </c>
      <c r="I372" s="265" t="n">
        <v>0.06</v>
      </c>
      <c r="J372" s="214" t="n"/>
      <c r="K372" s="208" t="n"/>
      <c r="L372" s="424" t="n"/>
      <c r="M372" s="961" t="n"/>
      <c r="N372" s="214" t="n"/>
    </row>
    <row r="373">
      <c r="A373" s="207" t="n">
        <v>641095</v>
      </c>
      <c r="B373" s="209" t="inlineStr">
        <is>
          <t>Profilo DoPPio - 39X995mm</t>
        </is>
      </c>
      <c r="C373" s="207" t="n">
        <v>10</v>
      </c>
      <c r="D373" s="960" t="n">
        <v>1.442</v>
      </c>
      <c r="E373" s="214" t="n"/>
      <c r="F373" s="262" t="n">
        <v>112086</v>
      </c>
      <c r="G373" s="263" t="inlineStr">
        <is>
          <t>Sacchetto trasparente mm. 350x450</t>
        </is>
      </c>
      <c r="H373" s="264" t="n">
        <v>100</v>
      </c>
      <c r="I373" s="265" t="n">
        <v>0.07000000000000001</v>
      </c>
      <c r="J373" s="214" t="n"/>
      <c r="K373" s="208" t="n"/>
      <c r="L373" s="424" t="n"/>
      <c r="M373" s="961" t="n"/>
      <c r="N373" s="214" t="n"/>
    </row>
    <row r="374">
      <c r="A374" s="207" t="n">
        <v>950132</v>
      </c>
      <c r="B374" s="209" t="inlineStr">
        <is>
          <t>Porta Etichette Per Bracci 40 X 60 mm</t>
        </is>
      </c>
      <c r="C374" s="207" t="n">
        <v>100</v>
      </c>
      <c r="D374" s="960" t="n">
        <v>0.0979</v>
      </c>
      <c r="E374" s="214" t="n"/>
      <c r="F374" s="262" t="n">
        <v>112087</v>
      </c>
      <c r="G374" s="263" t="inlineStr">
        <is>
          <t>Sacchetto trasparente mm. 470x540</t>
        </is>
      </c>
      <c r="H374" s="264" t="n">
        <v>100</v>
      </c>
      <c r="I374" s="265" t="n">
        <v>0.109</v>
      </c>
      <c r="J374" s="214" t="n"/>
      <c r="K374" s="208" t="n"/>
      <c r="L374" s="424" t="n"/>
      <c r="M374" s="961" t="n"/>
      <c r="N374" s="214" t="n"/>
    </row>
    <row r="375">
      <c r="A375" s="207" t="n">
        <v>950133</v>
      </c>
      <c r="B375" s="209" t="inlineStr">
        <is>
          <t>Porta Etichette Per Bracci 40 X 65 mm</t>
        </is>
      </c>
      <c r="C375" s="207" t="n">
        <v>100</v>
      </c>
      <c r="D375" s="960" t="n">
        <v>0.0979</v>
      </c>
      <c r="E375" s="214" t="n"/>
      <c r="F375" s="262" t="n">
        <v>112090</v>
      </c>
      <c r="G375" s="263" t="inlineStr">
        <is>
          <t>Sacchetto trasparente con zip a pressione mm. 40x60</t>
        </is>
      </c>
      <c r="H375" s="264" t="n">
        <v>1000</v>
      </c>
      <c r="I375" s="265" t="n">
        <v>0.017</v>
      </c>
      <c r="J375" s="214" t="n"/>
      <c r="K375" s="208" t="n"/>
      <c r="L375" s="424" t="n"/>
      <c r="M375" s="961" t="n"/>
      <c r="N375" s="214" t="n"/>
    </row>
    <row r="376">
      <c r="A376" s="207" t="n">
        <v>950139</v>
      </c>
      <c r="B376" s="209" t="inlineStr">
        <is>
          <t>Porta Etichette Per Bracci - Ricurvo - 40X65mm</t>
        </is>
      </c>
      <c r="C376" s="207" t="n">
        <v>50</v>
      </c>
      <c r="D376" s="960" t="n">
        <v>0.1</v>
      </c>
      <c r="E376" s="214" t="n"/>
      <c r="F376" s="262" t="n">
        <v>112091</v>
      </c>
      <c r="G376" s="263" t="inlineStr">
        <is>
          <t>Sacchetto trasparente con zip a pressione mm. 60x80</t>
        </is>
      </c>
      <c r="H376" s="264" t="n">
        <v>1000</v>
      </c>
      <c r="I376" s="265" t="n">
        <v>0.024</v>
      </c>
      <c r="J376" s="214" t="n"/>
      <c r="K376" s="208" t="n"/>
      <c r="L376" s="424" t="n"/>
      <c r="M376" s="961" t="n"/>
      <c r="N376" s="214" t="n"/>
    </row>
    <row r="377">
      <c r="A377" s="207" t="n">
        <v>137024</v>
      </c>
      <c r="B377" s="209" t="inlineStr">
        <is>
          <t>Porta Etichette DoPPio Per Bracci - 40X65mm</t>
        </is>
      </c>
      <c r="C377" s="207" t="n">
        <v>25</v>
      </c>
      <c r="D377" s="960" t="n">
        <v>0.1854</v>
      </c>
      <c r="E377" s="214" t="n"/>
      <c r="F377" s="262" t="n">
        <v>112092</v>
      </c>
      <c r="G377" s="263" t="inlineStr">
        <is>
          <t>Sacchetto trasparente con zip a pressione mm. 100x150</t>
        </is>
      </c>
      <c r="H377" s="264" t="n">
        <v>1000</v>
      </c>
      <c r="I377" s="265" t="n">
        <v>0.029</v>
      </c>
      <c r="J377" s="214" t="n"/>
      <c r="K377" s="208" t="n"/>
      <c r="L377" s="424" t="n"/>
      <c r="M377" s="961" t="n"/>
      <c r="N377" s="214" t="n"/>
    </row>
    <row r="378">
      <c r="A378" s="207" t="n">
        <v>137020</v>
      </c>
      <c r="B378" s="209" t="inlineStr">
        <is>
          <t>Porta Etichette Con Adesivo</t>
        </is>
      </c>
      <c r="C378" s="207" t="n">
        <v>50</v>
      </c>
      <c r="D378" s="960" t="n">
        <v>0.0721</v>
      </c>
      <c r="E378" s="214" t="n"/>
      <c r="F378" s="262" t="n">
        <v>112093</v>
      </c>
      <c r="G378" s="263" t="inlineStr">
        <is>
          <t>Sacchetto trasparente con zip a pressione mm. 200x150</t>
        </is>
      </c>
      <c r="H378" s="264" t="n">
        <v>1000</v>
      </c>
      <c r="I378" s="265" t="n">
        <v>0.081</v>
      </c>
      <c r="J378" s="214" t="n"/>
      <c r="K378" s="208" t="n"/>
      <c r="L378" s="424" t="n"/>
      <c r="M378" s="961" t="n"/>
      <c r="N378" s="214" t="n"/>
    </row>
    <row r="379">
      <c r="A379" s="207" t="n">
        <v>137017</v>
      </c>
      <c r="B379" s="209" t="inlineStr">
        <is>
          <t>Porta Etichette Per Bracci Trasparente 17X38 mm</t>
        </is>
      </c>
      <c r="C379" s="207" t="n">
        <v>100</v>
      </c>
      <c r="D379" s="960" t="n">
        <v>0.0927</v>
      </c>
      <c r="E379" s="214" t="n"/>
      <c r="F379" s="267" t="n">
        <v>112094</v>
      </c>
      <c r="G379" s="263" t="inlineStr">
        <is>
          <t>Sacchetto trasparente con zip a pressione mm. 200x300</t>
        </is>
      </c>
      <c r="H379" s="264" t="n">
        <v>1000</v>
      </c>
      <c r="I379" s="265" t="n">
        <v>0.092</v>
      </c>
      <c r="J379" s="214" t="n"/>
      <c r="K379" s="208" t="n"/>
      <c r="L379" s="424" t="n"/>
      <c r="M379" s="961" t="n"/>
      <c r="N379" s="214" t="n"/>
    </row>
    <row r="380">
      <c r="A380" s="207" t="n">
        <v>137018</v>
      </c>
      <c r="B380" s="209" t="inlineStr">
        <is>
          <t>Porta Etichette Per Bracci Trasparente 28X30 mm</t>
        </is>
      </c>
      <c r="C380" s="207" t="n">
        <v>100</v>
      </c>
      <c r="D380" s="960" t="n">
        <v>0.102</v>
      </c>
      <c r="E380" s="214" t="n"/>
      <c r="F380" s="267" t="n">
        <v>112140</v>
      </c>
      <c r="G380" s="263" t="inlineStr">
        <is>
          <t>Automatico a pressione testa diametro mm. 28 per spessore da 6 mm a 11 mm tra</t>
        </is>
      </c>
      <c r="H380" s="264" t="n">
        <v>1000</v>
      </c>
      <c r="I380" s="265" t="n">
        <v>0.117</v>
      </c>
      <c r="J380" s="214" t="n"/>
      <c r="K380" s="208" t="n"/>
      <c r="L380" s="424" t="n"/>
      <c r="M380" s="961" t="n"/>
      <c r="N380" s="214" t="n"/>
    </row>
    <row r="381">
      <c r="A381" s="207" t="n">
        <v>137016</v>
      </c>
      <c r="B381" s="209" t="inlineStr">
        <is>
          <t>Porta Etichette Per Bracci Trasparente 53X33 mm</t>
        </is>
      </c>
      <c r="C381" s="207" t="n">
        <v>100</v>
      </c>
      <c r="D381" s="960" t="n">
        <v>0.0907</v>
      </c>
      <c r="E381" s="214" t="n"/>
      <c r="F381" s="267" t="n">
        <v>112141</v>
      </c>
      <c r="G381" s="263" t="inlineStr">
        <is>
          <t>Automatico a pressione testa diametro mm. 28 per spessore da 6 mm a 21 mm tra</t>
        </is>
      </c>
      <c r="H381" s="264" t="n">
        <v>1000</v>
      </c>
      <c r="I381" s="265" t="n">
        <v>0.117</v>
      </c>
      <c r="J381" s="214" t="n"/>
      <c r="K381" s="208" t="n"/>
      <c r="L381" s="424" t="n"/>
      <c r="M381" s="961" t="n"/>
      <c r="N381" s="214" t="n"/>
    </row>
    <row r="382">
      <c r="A382" s="207" t="n">
        <v>950125</v>
      </c>
      <c r="B382" s="209" t="inlineStr">
        <is>
          <t>Porta Etichette Per Bracci 25X30mm</t>
        </is>
      </c>
      <c r="C382" s="207" t="n">
        <v>100</v>
      </c>
      <c r="D382" s="960" t="n">
        <v>0.1133</v>
      </c>
      <c r="E382" s="214" t="n"/>
      <c r="F382" s="267" t="n">
        <v>112142</v>
      </c>
      <c r="G382" s="263" t="inlineStr">
        <is>
          <t>Automatico a pressione testa diametro mm. 28 per spessore da 6 mm a 15 mm tra</t>
        </is>
      </c>
      <c r="H382" s="264" t="n">
        <v>1000</v>
      </c>
      <c r="I382" s="265" t="n">
        <v>0.117</v>
      </c>
      <c r="J382" s="214" t="n"/>
      <c r="K382" s="208" t="n"/>
      <c r="L382" s="424" t="n"/>
      <c r="M382" s="961" t="n"/>
      <c r="N382" s="214" t="n"/>
    </row>
    <row r="383">
      <c r="A383" s="207" t="n">
        <v>137019</v>
      </c>
      <c r="B383" s="209" t="inlineStr">
        <is>
          <t>Porta Etichette Per Bracci Bianco 26X26mm</t>
        </is>
      </c>
      <c r="C383" s="207" t="n">
        <v>100</v>
      </c>
      <c r="D383" s="960" t="n">
        <v>0.103</v>
      </c>
      <c r="E383" s="214" t="n"/>
      <c r="F383" s="267" t="n">
        <v>112145</v>
      </c>
      <c r="G383" s="263" t="inlineStr">
        <is>
          <t>Automatico a pressione testa diametro mm. 28 per spessore da 6 mm a 11 mm bi</t>
        </is>
      </c>
      <c r="H383" s="264" t="n">
        <v>1000</v>
      </c>
      <c r="I383" s="265" t="n">
        <v>0.114</v>
      </c>
      <c r="J383" s="214" t="n"/>
      <c r="K383" s="208" t="n"/>
      <c r="L383" s="424" t="n"/>
      <c r="M383" s="961" t="n"/>
      <c r="N383" s="214" t="n"/>
    </row>
    <row r="384">
      <c r="A384" s="207" t="n">
        <v>752032</v>
      </c>
      <c r="B384" s="209" t="inlineStr">
        <is>
          <t>Bottone A Pressione Vite 9mm - Serraggio 2,5mm - Bianco - Permanente</t>
        </is>
      </c>
      <c r="C384" s="207" t="n">
        <v>1000</v>
      </c>
      <c r="D384" s="960" t="n">
        <v>0.0412</v>
      </c>
      <c r="E384" s="214" t="n"/>
      <c r="F384" s="267" t="n">
        <v>112146</v>
      </c>
      <c r="G384" s="263" t="inlineStr">
        <is>
          <t>Automatico a pressione testa diametro mm. 28 per spessore da 6 mm a 21 mm bi</t>
        </is>
      </c>
      <c r="H384" s="264" t="n">
        <v>1000</v>
      </c>
      <c r="I384" s="265" t="n">
        <v>0.114</v>
      </c>
      <c r="J384" s="214" t="n"/>
      <c r="K384" s="208" t="n"/>
      <c r="L384" s="424" t="n"/>
      <c r="M384" s="961" t="n"/>
      <c r="N384" s="214" t="n"/>
    </row>
    <row r="385">
      <c r="A385" s="207" t="n">
        <v>752033</v>
      </c>
      <c r="B385" s="209" t="inlineStr">
        <is>
          <t>Bottone A Pressione Vite 9mm - Serraggio 5mm - Bianco - Permanente</t>
        </is>
      </c>
      <c r="C385" s="207" t="n">
        <v>1000</v>
      </c>
      <c r="D385" s="960" t="n">
        <v>0.0474</v>
      </c>
      <c r="E385" s="214" t="n"/>
      <c r="F385" s="267" t="n">
        <v>112147</v>
      </c>
      <c r="G385" s="263" t="inlineStr">
        <is>
          <t>Automatico a pressione testa diametro mm. 28 per spessore da 6 mm a 15 mm bi</t>
        </is>
      </c>
      <c r="H385" s="264" t="n">
        <v>1000</v>
      </c>
      <c r="I385" s="265" t="n">
        <v>0.114</v>
      </c>
      <c r="J385" s="214" t="n"/>
      <c r="K385" s="208" t="n"/>
      <c r="L385" s="424" t="n"/>
      <c r="M385" s="961" t="n"/>
      <c r="N385" s="214" t="n"/>
    </row>
    <row r="386">
      <c r="A386" s="207" t="n">
        <v>752034</v>
      </c>
      <c r="B386" s="209" t="inlineStr">
        <is>
          <t>Bottone A Pressione Vite 9mm - Serraggio 7,5mm - Bianco - Permanente</t>
        </is>
      </c>
      <c r="C386" s="207" t="n">
        <v>1000</v>
      </c>
      <c r="D386" s="960" t="n">
        <v>0.0505</v>
      </c>
      <c r="E386" s="214" t="n"/>
      <c r="F386" s="267" t="n">
        <v>112150</v>
      </c>
      <c r="G386" s="263" t="inlineStr">
        <is>
          <t>Automatico a pressione testa diametro mm. 28 per spessore da 6 mm a 11 mm ne</t>
        </is>
      </c>
      <c r="H386" s="264" t="n">
        <v>1000</v>
      </c>
      <c r="I386" s="265" t="n">
        <v>0.114</v>
      </c>
      <c r="J386" s="214" t="n"/>
      <c r="K386" s="208" t="n"/>
      <c r="L386" s="424" t="n"/>
      <c r="M386" s="961" t="n"/>
      <c r="N386" s="214" t="n"/>
    </row>
    <row r="387">
      <c r="A387" s="207" t="n">
        <v>752037</v>
      </c>
      <c r="B387" s="209" t="inlineStr">
        <is>
          <t>Bottone A Pressione Vite 9mm - Serraggio 2,5mm - Nero - Permanente</t>
        </is>
      </c>
      <c r="C387" s="207" t="n">
        <v>1000</v>
      </c>
      <c r="D387" s="960" t="n">
        <v>0.0412</v>
      </c>
      <c r="E387" s="214" t="n"/>
      <c r="F387" s="267" t="n">
        <v>112151</v>
      </c>
      <c r="G387" s="263" t="inlineStr">
        <is>
          <t>Automatico a pressione testa diametro mm. 28 per spessore da 6 mm a 21 mm ne</t>
        </is>
      </c>
      <c r="H387" s="264" t="n">
        <v>1000</v>
      </c>
      <c r="I387" s="265" t="n">
        <v>0.114</v>
      </c>
      <c r="J387" s="214" t="n"/>
      <c r="K387" s="208" t="n"/>
      <c r="L387" s="424" t="n"/>
      <c r="M387" s="961" t="n"/>
      <c r="N387" s="214" t="n"/>
    </row>
    <row r="388">
      <c r="A388" s="207" t="n">
        <v>752038</v>
      </c>
      <c r="B388" s="209" t="inlineStr">
        <is>
          <t>Bottone A Pressione Vite 9mm - Serraggio 5mm - Nero - Permanente</t>
        </is>
      </c>
      <c r="C388" s="207" t="n">
        <v>1000</v>
      </c>
      <c r="D388" s="960" t="n">
        <v>0.0474</v>
      </c>
      <c r="E388" s="214" t="n"/>
      <c r="F388" s="267" t="n">
        <v>112152</v>
      </c>
      <c r="G388" s="263" t="inlineStr">
        <is>
          <t>Automatico a pressione testa diametro mm. 28 per spessore da 6 mm a 15 mm ne</t>
        </is>
      </c>
      <c r="H388" s="264" t="n">
        <v>1000</v>
      </c>
      <c r="I388" s="265" t="n">
        <v>0.114</v>
      </c>
      <c r="J388" s="214" t="n"/>
      <c r="K388" s="208" t="n"/>
      <c r="L388" s="424" t="n"/>
      <c r="M388" s="961" t="n"/>
      <c r="N388" s="214" t="n"/>
    </row>
    <row r="389">
      <c r="A389" s="207" t="n">
        <v>752039</v>
      </c>
      <c r="B389" s="209" t="inlineStr">
        <is>
          <t>Bottone A Pressione Vite 9mm - Serraggio 7,5mm - Nero - Permanente</t>
        </is>
      </c>
      <c r="C389" s="207" t="n">
        <v>1000</v>
      </c>
      <c r="D389" s="960" t="n">
        <v>0.0505</v>
      </c>
      <c r="E389" s="214" t="n"/>
      <c r="F389" s="267" t="n">
        <v>112155</v>
      </c>
      <c r="G389" s="263" t="inlineStr">
        <is>
          <t>Rivetto a pressione testa diametro mm. 12 spessore mm. 3 trasparente</t>
        </is>
      </c>
      <c r="H389" s="264" t="n">
        <v>1000</v>
      </c>
      <c r="I389" s="265" t="n">
        <v>0.036</v>
      </c>
      <c r="J389" s="214" t="n"/>
      <c r="K389" s="208" t="n"/>
      <c r="L389" s="424" t="n"/>
      <c r="M389" s="961" t="n"/>
      <c r="N389" s="214" t="n"/>
    </row>
    <row r="390">
      <c r="A390" s="207" t="n">
        <v>796401</v>
      </c>
      <c r="B390" s="209" t="inlineStr">
        <is>
          <t>Bottone A Pressione Vite 5mm - Serraggio 2,5mm - Trasparente - Permanente</t>
        </is>
      </c>
      <c r="C390" s="207" t="n">
        <v>1000</v>
      </c>
      <c r="D390" s="960" t="n">
        <v>0.0711</v>
      </c>
      <c r="E390" s="214" t="n"/>
      <c r="F390" s="267" t="n">
        <v>112156</v>
      </c>
      <c r="G390" s="263" t="inlineStr">
        <is>
          <t>Rivetto a pressione testa diametro mm. 12 spessore mm. 5 trasparente</t>
        </is>
      </c>
      <c r="H390" s="264" t="n">
        <v>1000</v>
      </c>
      <c r="I390" s="265" t="n">
        <v>0.037</v>
      </c>
      <c r="J390" s="214" t="n"/>
      <c r="K390" s="208" t="n"/>
      <c r="L390" s="424" t="n"/>
      <c r="M390" s="961" t="n"/>
      <c r="N390" s="214" t="n"/>
    </row>
    <row r="391">
      <c r="A391" s="207" t="n">
        <v>796402</v>
      </c>
      <c r="B391" s="209" t="inlineStr">
        <is>
          <t>Bottone A Pressione Vite 5mm - Serraggio 3mm - Trasparente - Permanente</t>
        </is>
      </c>
      <c r="C391" s="207" t="n">
        <v>1000</v>
      </c>
      <c r="D391" s="960" t="n">
        <v>0.0361</v>
      </c>
      <c r="E391" s="214" t="n"/>
      <c r="F391" s="267" t="n">
        <v>112160</v>
      </c>
      <c r="G391" s="263" t="inlineStr">
        <is>
          <t>Rivetto a pressione testa diametro mm. 12 spessore mm. 3 bianco</t>
        </is>
      </c>
      <c r="H391" s="264" t="n">
        <v>1000</v>
      </c>
      <c r="I391" s="265" t="n">
        <v>0.034</v>
      </c>
      <c r="J391" s="214" t="n"/>
      <c r="K391" s="208" t="n"/>
      <c r="L391" s="424" t="n"/>
      <c r="M391" s="961" t="n"/>
      <c r="N391" s="214" t="n"/>
    </row>
    <row r="392">
      <c r="A392" s="207" t="n">
        <v>796403</v>
      </c>
      <c r="B392" s="209" t="inlineStr">
        <is>
          <t>Bottone A Pressione Vite 5mm - Serraggio 5mm - Trasparente - Permanente</t>
        </is>
      </c>
      <c r="C392" s="207" t="n">
        <v>1000</v>
      </c>
      <c r="D392" s="960" t="n">
        <v>0.0639</v>
      </c>
      <c r="E392" s="214" t="n"/>
      <c r="F392" s="267" t="n">
        <v>112161</v>
      </c>
      <c r="G392" s="263" t="inlineStr">
        <is>
          <t>Rivetto a pressione testa diametro mm. 12 spessore mm. 5 bianco</t>
        </is>
      </c>
      <c r="H392" s="264" t="n">
        <v>1000</v>
      </c>
      <c r="I392" s="265" t="n">
        <v>0.035</v>
      </c>
      <c r="J392" s="214" t="n"/>
      <c r="K392" s="208" t="n"/>
      <c r="L392" s="424" t="n"/>
      <c r="M392" s="961" t="n"/>
      <c r="N392" s="214" t="n"/>
    </row>
    <row r="393">
      <c r="A393" s="207" t="n">
        <v>796302</v>
      </c>
      <c r="B393" s="209" t="inlineStr">
        <is>
          <t>Bullone A Farfalla Vite 9mm - Testa 12 mm - Serraggio 3mm</t>
        </is>
      </c>
      <c r="C393" s="207" t="n">
        <v>100</v>
      </c>
      <c r="D393" s="960" t="n">
        <v>0.032</v>
      </c>
      <c r="E393" s="214" t="n"/>
      <c r="F393" s="267" t="n">
        <v>112165</v>
      </c>
      <c r="G393" s="263" t="inlineStr">
        <is>
          <t>Rivetto a pressione testa diametro mm. 12 spessore mm. 3 nero</t>
        </is>
      </c>
      <c r="H393" s="264" t="n">
        <v>1000</v>
      </c>
      <c r="I393" s="265" t="n">
        <v>0.034</v>
      </c>
      <c r="J393" s="214" t="n"/>
      <c r="K393" s="208" t="n"/>
      <c r="L393" s="424" t="n"/>
      <c r="M393" s="961" t="n"/>
      <c r="N393" s="214" t="n"/>
    </row>
    <row r="394">
      <c r="A394" s="207" t="n">
        <v>796304</v>
      </c>
      <c r="B394" s="209" t="inlineStr">
        <is>
          <t>Bullone A Farfalla Vite 9mm - Testa 12 mm - Serraggio 6mm</t>
        </is>
      </c>
      <c r="C394" s="207" t="n">
        <v>100</v>
      </c>
      <c r="D394" s="960" t="n">
        <v>0.0515</v>
      </c>
      <c r="E394" s="214" t="n"/>
      <c r="F394" s="267" t="n">
        <v>112166</v>
      </c>
      <c r="G394" s="263" t="inlineStr">
        <is>
          <t>Rivetto a pressione testa diametro mm. 12 spessore mm. 5 nero</t>
        </is>
      </c>
      <c r="H394" s="264" t="n">
        <v>1000</v>
      </c>
      <c r="I394" s="265" t="n">
        <v>0.035</v>
      </c>
      <c r="J394" s="214" t="n"/>
      <c r="K394" s="208" t="n"/>
      <c r="L394" s="424" t="n"/>
      <c r="M394" s="961" t="n"/>
      <c r="N394" s="214" t="n"/>
    </row>
    <row r="395">
      <c r="A395" s="207" t="n">
        <v>796306</v>
      </c>
      <c r="B395" s="209" t="inlineStr">
        <is>
          <t>Bullone A Farfalla Vite 9mm - Testa 12 mm - Serraggio 9mm</t>
        </is>
      </c>
      <c r="C395" s="207" t="n">
        <v>100</v>
      </c>
      <c r="D395" s="960" t="n">
        <v>0.0351</v>
      </c>
      <c r="E395" s="214" t="n"/>
      <c r="F395" s="267" t="n">
        <v>112170</v>
      </c>
      <c r="G395" s="263" t="inlineStr">
        <is>
          <t>Rivetto testa diametro mm. 10 per spessore mm. 2 bianco</t>
        </is>
      </c>
      <c r="H395" s="264" t="n">
        <v>1000</v>
      </c>
      <c r="I395" s="265" t="n">
        <v>0.056</v>
      </c>
      <c r="J395" s="214" t="n"/>
      <c r="K395" s="208" t="n"/>
      <c r="L395" s="424" t="n"/>
      <c r="M395" s="961" t="n"/>
      <c r="N395" s="214" t="n"/>
    </row>
    <row r="396">
      <c r="A396" s="207" t="n">
        <v>796308</v>
      </c>
      <c r="B396" s="209" t="inlineStr">
        <is>
          <t>Bullone A Vite 5mm - Testa 14mm - Serraggio 22mm</t>
        </is>
      </c>
      <c r="C396" s="207" t="n">
        <v>100</v>
      </c>
      <c r="D396" s="960" t="n">
        <v>0.0989</v>
      </c>
      <c r="E396" s="214" t="n"/>
      <c r="F396" s="267" t="n">
        <v>112171</v>
      </c>
      <c r="G396" s="263" t="inlineStr">
        <is>
          <t>Rivetto testa diametro mm. 10 per spessore mm. 2 nero</t>
        </is>
      </c>
      <c r="H396" s="264" t="n">
        <v>1000</v>
      </c>
      <c r="I396" s="265" t="n">
        <v>0.056</v>
      </c>
      <c r="J396" s="214" t="n"/>
      <c r="K396" s="208" t="n"/>
      <c r="L396" s="424" t="n"/>
      <c r="M396" s="961" t="n"/>
      <c r="N396" s="214" t="n"/>
    </row>
    <row r="397">
      <c r="A397" s="207" t="n">
        <v>796007</v>
      </c>
      <c r="B397" s="209" t="inlineStr">
        <is>
          <t>Botone Pressione - Ø 15 mm - Bianco - 5 Fino A 9 mm</t>
        </is>
      </c>
      <c r="C397" s="207" t="n">
        <v>1000</v>
      </c>
      <c r="D397" s="960" t="n">
        <v>0.034</v>
      </c>
      <c r="E397" s="214" t="n"/>
      <c r="F397" s="267" t="n">
        <v>112172</v>
      </c>
      <c r="G397" s="263" t="inlineStr">
        <is>
          <t>Rivetto testa diametro mm. 10 per spessore mm. 2 naturale</t>
        </is>
      </c>
      <c r="H397" s="264" t="n">
        <v>1000</v>
      </c>
      <c r="I397" s="265" t="n">
        <v>0.059</v>
      </c>
      <c r="J397" s="214" t="n"/>
      <c r="K397" s="208" t="n"/>
      <c r="L397" s="424" t="n"/>
      <c r="M397" s="961" t="n"/>
      <c r="N397" s="214" t="n"/>
    </row>
    <row r="398">
      <c r="A398" s="207" t="n">
        <v>796008</v>
      </c>
      <c r="B398" s="209" t="inlineStr">
        <is>
          <t>Botone Pressione - Ø 15 mm - Bianco - 5 Fino A 15 mm</t>
        </is>
      </c>
      <c r="C398" s="207" t="n">
        <v>1000</v>
      </c>
      <c r="D398" s="960" t="n">
        <v>0.0412</v>
      </c>
      <c r="E398" s="214" t="n"/>
      <c r="F398" s="267" t="n">
        <v>112180</v>
      </c>
      <c r="G398" s="263" t="inlineStr">
        <is>
          <t>Rivetto ad incastro testa diametro mm. 12 per spessore mm. 2,5 bianco</t>
        </is>
      </c>
      <c r="H398" s="264" t="n">
        <v>1000</v>
      </c>
      <c r="I398" s="265" t="n">
        <v>0.033</v>
      </c>
      <c r="J398" s="214" t="n"/>
      <c r="K398" s="208" t="n"/>
      <c r="L398" s="424" t="n"/>
      <c r="M398" s="961" t="n"/>
      <c r="N398" s="214" t="n"/>
    </row>
    <row r="399">
      <c r="A399" s="207" t="n">
        <v>796041</v>
      </c>
      <c r="B399" s="209" t="inlineStr">
        <is>
          <t>Botone Pressione - Ø 15 mm - Bianco - 5 Fino A 41 mm</t>
        </is>
      </c>
      <c r="C399" s="207" t="n">
        <v>1000</v>
      </c>
      <c r="D399" s="960" t="n">
        <v>0.0474</v>
      </c>
      <c r="E399" s="214" t="n"/>
      <c r="F399" s="267" t="n">
        <v>112181</v>
      </c>
      <c r="G399" s="263" t="inlineStr">
        <is>
          <t>Rivetto ad incastro testa diametro mm. 12 per spessore mm.5 bianco</t>
        </is>
      </c>
      <c r="H399" s="264" t="n">
        <v>1000</v>
      </c>
      <c r="I399" s="265" t="n">
        <v>0.034</v>
      </c>
      <c r="J399" s="214" t="n"/>
      <c r="K399" s="208" t="n"/>
      <c r="L399" s="424" t="n"/>
      <c r="M399" s="961" t="n"/>
      <c r="N399" s="214" t="n"/>
    </row>
    <row r="400">
      <c r="A400" s="207" t="n">
        <v>796407</v>
      </c>
      <c r="B400" s="209" t="inlineStr">
        <is>
          <t>Botone Pressione - Ø 15 mm - Traslucido - 5 Fino A 9 mm</t>
        </is>
      </c>
      <c r="C400" s="207" t="n">
        <v>1000</v>
      </c>
      <c r="D400" s="960" t="n">
        <v>0.034</v>
      </c>
      <c r="E400" s="214" t="n"/>
      <c r="F400" s="267" t="n">
        <v>112182</v>
      </c>
      <c r="G400" s="263" t="inlineStr">
        <is>
          <t>Rivetto ad incastro testa diametro mm. 12 per spessore mm. 7,5 bianco</t>
        </is>
      </c>
      <c r="H400" s="264" t="n">
        <v>1000</v>
      </c>
      <c r="I400" s="265" t="n">
        <v>0.035</v>
      </c>
      <c r="J400" s="214" t="n"/>
      <c r="K400" s="208" t="n"/>
      <c r="L400" s="424" t="n"/>
      <c r="M400" s="961" t="n"/>
      <c r="N400" s="214" t="n"/>
    </row>
    <row r="401">
      <c r="A401" s="207" t="n">
        <v>796441</v>
      </c>
      <c r="B401" s="209" t="inlineStr">
        <is>
          <t>Botone Pressione - Ø 15 mm - Traslucido - 5 Fino A 41 mm</t>
        </is>
      </c>
      <c r="C401" s="207" t="n">
        <v>1000</v>
      </c>
      <c r="D401" s="960" t="n">
        <v>0.0474</v>
      </c>
      <c r="E401" s="214" t="n"/>
      <c r="F401" s="267" t="n">
        <v>112183</v>
      </c>
      <c r="G401" s="263" t="inlineStr">
        <is>
          <t>Rivetto ad incastro testa diametro mm. 12 per spessore mm. 10 bianco</t>
        </is>
      </c>
      <c r="H401" s="264" t="n">
        <v>1000</v>
      </c>
      <c r="I401" s="265" t="n">
        <v>0.036</v>
      </c>
      <c r="J401" s="214" t="n"/>
      <c r="K401" s="208" t="n"/>
      <c r="L401" s="424" t="n"/>
      <c r="M401" s="961" t="n"/>
      <c r="N401" s="214" t="n"/>
    </row>
    <row r="402">
      <c r="A402" s="207" t="n">
        <v>796307</v>
      </c>
      <c r="B402" s="209" t="inlineStr">
        <is>
          <t>Botone Pressione - Ø 15 mm - Nero - 5 Fino A 9 mm</t>
        </is>
      </c>
      <c r="C402" s="207" t="n">
        <v>1000</v>
      </c>
      <c r="D402" s="960" t="n">
        <v>0.034</v>
      </c>
      <c r="E402" s="214" t="n"/>
      <c r="F402" s="267" t="n">
        <v>112190</v>
      </c>
      <c r="G402" s="263" t="inlineStr">
        <is>
          <t>Rivetto ad incastro testa diametro mm. 12 per spessore mm. 2,5 nero</t>
        </is>
      </c>
      <c r="H402" s="264" t="n">
        <v>1000</v>
      </c>
      <c r="I402" s="265" t="n">
        <v>0.033</v>
      </c>
      <c r="J402" s="214" t="n"/>
      <c r="K402" s="208" t="n"/>
      <c r="L402" s="424" t="n"/>
      <c r="M402" s="961" t="n"/>
      <c r="N402" s="214" t="n"/>
    </row>
    <row r="403">
      <c r="A403" s="207" t="n">
        <v>796009</v>
      </c>
      <c r="B403" s="209" t="inlineStr">
        <is>
          <t>Botone Pressione - Ø 28 mm - Bianco 5 Fino A 15 mm</t>
        </is>
      </c>
      <c r="C403" s="207" t="n">
        <v>1000</v>
      </c>
      <c r="D403" s="960" t="n">
        <v>0.0361</v>
      </c>
      <c r="E403" s="214" t="n"/>
      <c r="F403" s="267" t="n">
        <v>112191</v>
      </c>
      <c r="G403" s="263" t="inlineStr">
        <is>
          <t>Rivetto ad incastro testa diametro mm. 12 per spessore mm. 5 nero</t>
        </is>
      </c>
      <c r="H403" s="264" t="n">
        <v>1000</v>
      </c>
      <c r="I403" s="265" t="n">
        <v>0.034</v>
      </c>
      <c r="J403" s="214" t="n"/>
      <c r="K403" s="208" t="n"/>
      <c r="L403" s="424" t="n"/>
      <c r="M403" s="961" t="n"/>
      <c r="N403" s="214" t="n"/>
    </row>
    <row r="404">
      <c r="A404" s="207" t="n">
        <v>796043</v>
      </c>
      <c r="B404" s="209" t="inlineStr">
        <is>
          <t>Botone Pressione - Ø 28 mm - Bianco 5 Fino A 22 mm</t>
        </is>
      </c>
      <c r="C404" s="207" t="n">
        <v>1000</v>
      </c>
      <c r="D404" s="960" t="n">
        <v>0.0598</v>
      </c>
      <c r="E404" s="214" t="n"/>
      <c r="F404" s="267" t="n">
        <v>112192</v>
      </c>
      <c r="G404" s="263" t="inlineStr">
        <is>
          <t>Rivetto ad incastro testa diametro mm. 12 per spessore mm. 7,5 nero</t>
        </is>
      </c>
      <c r="H404" s="264" t="n">
        <v>1000</v>
      </c>
      <c r="I404" s="265" t="n">
        <v>0.035</v>
      </c>
      <c r="J404" s="214" t="n"/>
      <c r="K404" s="208" t="n"/>
      <c r="L404" s="424" t="n"/>
      <c r="M404" s="961" t="n"/>
      <c r="N404" s="214" t="n"/>
    </row>
    <row r="405">
      <c r="A405" s="207" t="n">
        <v>796045</v>
      </c>
      <c r="B405" s="209" t="inlineStr">
        <is>
          <t>Botone Pressione - Ø 28 mm - Bianco 5 Fino A 38 mm</t>
        </is>
      </c>
      <c r="C405" s="209" t="n">
        <v>1000</v>
      </c>
      <c r="D405" s="960" t="n">
        <v>0.068</v>
      </c>
      <c r="E405" s="215" t="n"/>
      <c r="F405" s="267" t="n">
        <v>112193</v>
      </c>
      <c r="G405" s="263" t="inlineStr">
        <is>
          <t>Rivetto ad incastro testa diametro mm. 12 per spessore mm. 10 nero</t>
        </is>
      </c>
      <c r="H405" s="264" t="n">
        <v>1000</v>
      </c>
      <c r="I405" s="265" t="n">
        <v>0.035</v>
      </c>
      <c r="J405" s="215" t="n"/>
      <c r="K405" s="209" t="n"/>
      <c r="L405" s="425" t="n"/>
      <c r="M405" s="962" t="n"/>
      <c r="N405" s="215" t="n"/>
    </row>
    <row r="406">
      <c r="A406" s="207" t="n">
        <v>796409</v>
      </c>
      <c r="B406" s="209" t="inlineStr">
        <is>
          <t>Botone Pressione - Ø 28 mm - Traslucido 5 Fino A 15 mm</t>
        </is>
      </c>
      <c r="C406" s="209" t="n">
        <v>1000</v>
      </c>
      <c r="D406" s="960" t="n">
        <v>0.0361</v>
      </c>
      <c r="E406" s="215" t="n"/>
      <c r="F406" s="267" t="n">
        <v>112200</v>
      </c>
      <c r="G406" s="263" t="inlineStr">
        <is>
          <t>Rivetto ad incastro testa diametro mm. 12 per spessore mm. 2,5 trasparente</t>
        </is>
      </c>
      <c r="H406" s="264" t="n">
        <v>1000</v>
      </c>
      <c r="I406" s="265" t="n">
        <v>0.035</v>
      </c>
      <c r="J406" s="215" t="n"/>
      <c r="K406" s="209" t="n"/>
      <c r="L406" s="425" t="n"/>
      <c r="M406" s="962" t="n"/>
      <c r="N406" s="215" t="n"/>
    </row>
    <row r="407">
      <c r="A407" s="207" t="n">
        <v>796443</v>
      </c>
      <c r="B407" s="209" t="inlineStr">
        <is>
          <t>Botone Pressione - Ø 28 mm - Traslucido 5 Fino A 22 mm</t>
        </is>
      </c>
      <c r="C407" s="209" t="n">
        <v>1000</v>
      </c>
      <c r="D407" s="960" t="n">
        <v>0.0598</v>
      </c>
      <c r="E407" s="215" t="n"/>
      <c r="F407" s="267" t="n">
        <v>112201</v>
      </c>
      <c r="G407" s="263" t="inlineStr">
        <is>
          <t>Rivetto ad incastro testa diametro mm. 12 per spessore mm. 5 trasparente</t>
        </is>
      </c>
      <c r="H407" s="264" t="n">
        <v>1000</v>
      </c>
      <c r="I407" s="265" t="n">
        <v>0.037</v>
      </c>
      <c r="J407" s="215" t="n"/>
      <c r="K407" s="209" t="n"/>
      <c r="L407" s="425" t="n"/>
      <c r="M407" s="962" t="n"/>
      <c r="N407" s="215" t="n"/>
    </row>
    <row r="408">
      <c r="A408" s="207" t="n">
        <v>796445</v>
      </c>
      <c r="B408" s="209" t="inlineStr">
        <is>
          <t>Botone Pressione - Ø 28 mm - Traslucido 5 Fino A 38 mm</t>
        </is>
      </c>
      <c r="C408" s="209" t="n">
        <v>1000</v>
      </c>
      <c r="D408" s="960" t="n">
        <v>0.068</v>
      </c>
      <c r="E408" s="215" t="n"/>
      <c r="F408" s="267" t="n">
        <v>112202</v>
      </c>
      <c r="G408" s="263" t="inlineStr">
        <is>
          <t>Rivetto ad incastro testa diametro mm. 12 per spessore mm. 7,5 trasparente</t>
        </is>
      </c>
      <c r="H408" s="264" t="n">
        <v>1000</v>
      </c>
      <c r="I408" s="265" t="n">
        <v>0.039</v>
      </c>
      <c r="J408" s="215" t="n"/>
      <c r="K408" s="209" t="n"/>
      <c r="L408" s="425" t="n"/>
      <c r="M408" s="962" t="n"/>
      <c r="N408" s="215" t="n"/>
    </row>
    <row r="409">
      <c r="A409" s="207" t="n">
        <v>796309</v>
      </c>
      <c r="B409" s="209" t="inlineStr">
        <is>
          <t>Botone Pressione - Ø 28 mm - Nero 5 Fino A 15 mm</t>
        </is>
      </c>
      <c r="C409" s="209" t="n">
        <v>1000</v>
      </c>
      <c r="D409" s="960" t="n">
        <v>0.0361</v>
      </c>
      <c r="E409" s="215" t="n"/>
      <c r="F409" s="267" t="n">
        <v>112203</v>
      </c>
      <c r="G409" s="263" t="inlineStr">
        <is>
          <t>Rivetto ad incastro testa diametro mm. 12 per spessore mm. 10 trasparente</t>
        </is>
      </c>
      <c r="H409" s="264" t="n">
        <v>1000</v>
      </c>
      <c r="I409" s="265" t="n">
        <v>0.04</v>
      </c>
      <c r="J409" s="215" t="n"/>
      <c r="K409" s="209" t="n"/>
      <c r="L409" s="425" t="n"/>
      <c r="M409" s="962" t="n"/>
      <c r="N409" s="215" t="n"/>
    </row>
    <row r="410">
      <c r="A410" s="207" t="n">
        <v>796343</v>
      </c>
      <c r="B410" s="209" t="inlineStr">
        <is>
          <t>Botone Pressione - Ø 28 mm - Nero 5 Fino A 22 mm</t>
        </is>
      </c>
      <c r="C410" s="209" t="n">
        <v>1000</v>
      </c>
      <c r="D410" s="960" t="n">
        <v>0.0598</v>
      </c>
      <c r="E410" s="215" t="n"/>
      <c r="F410" s="267" t="n">
        <v>112210</v>
      </c>
      <c r="G410" s="263" t="inlineStr">
        <is>
          <t>Chiocciola con frontale liscio</t>
        </is>
      </c>
      <c r="H410" s="264" t="n">
        <v>100</v>
      </c>
      <c r="I410" s="265" t="n">
        <v>0.373</v>
      </c>
      <c r="J410" s="215" t="n"/>
      <c r="K410" s="209" t="n"/>
      <c r="L410" s="425" t="n"/>
      <c r="M410" s="962" t="n"/>
      <c r="N410" s="215" t="n"/>
    </row>
    <row r="411">
      <c r="A411" s="207" t="n">
        <v>796345</v>
      </c>
      <c r="B411" s="209" t="inlineStr">
        <is>
          <t>Botone Pressione - Ø 28 mm - Nero 5 Fino A 38 mm</t>
        </is>
      </c>
      <c r="C411" s="207" t="n">
        <v>1000</v>
      </c>
      <c r="D411" s="960" t="n">
        <v>0.068</v>
      </c>
      <c r="E411" s="214" t="n"/>
      <c r="F411" s="267" t="n">
        <v>112211</v>
      </c>
      <c r="G411" s="263" t="inlineStr">
        <is>
          <t>Chiocciola con coda di rondine e clip non adesiva</t>
        </is>
      </c>
      <c r="H411" s="264" t="n">
        <v>100</v>
      </c>
      <c r="I411" s="265" t="n">
        <v>0.503</v>
      </c>
      <c r="J411" s="214" t="n"/>
      <c r="K411" s="208" t="n"/>
      <c r="L411" s="424" t="n"/>
      <c r="M411" s="961" t="n"/>
      <c r="N411" s="214" t="n"/>
    </row>
    <row r="412">
      <c r="A412" s="207" t="n">
        <v>797800</v>
      </c>
      <c r="B412" s="209" t="inlineStr">
        <is>
          <t>Vite Di Fissaggio In Metallo 5mm - Testa 12mm - Serraggio 2mm - Argentata</t>
        </is>
      </c>
      <c r="C412" s="207" t="n">
        <v>1000</v>
      </c>
      <c r="D412" s="960" t="n">
        <v>0.0979</v>
      </c>
      <c r="E412" s="214" t="n"/>
      <c r="F412" s="267" t="n">
        <v>112212</v>
      </c>
      <c r="G412" s="263" t="inlineStr">
        <is>
          <t>Chiocciola con coda di rondine e clip adesiva</t>
        </is>
      </c>
      <c r="H412" s="264" t="n">
        <v>100</v>
      </c>
      <c r="I412" s="265" t="n">
        <v>0.533</v>
      </c>
      <c r="J412" s="214" t="n"/>
      <c r="K412" s="208" t="n"/>
      <c r="L412" s="424" t="n"/>
      <c r="M412" s="961" t="n"/>
      <c r="N412" s="214" t="n"/>
    </row>
    <row r="413">
      <c r="A413" s="207" t="n">
        <v>797801</v>
      </c>
      <c r="B413" s="209" t="inlineStr">
        <is>
          <t>Vite Di Fissaggio In Metallo 5mm - Testa 12mm - Serraggio 3,5mm - Argentata</t>
        </is>
      </c>
      <c r="C413" s="207" t="n">
        <v>1000</v>
      </c>
      <c r="D413" s="960" t="n">
        <v>0.103</v>
      </c>
      <c r="E413" s="214" t="n"/>
      <c r="F413" s="267" t="n">
        <v>112213</v>
      </c>
      <c r="G413" s="263" t="inlineStr">
        <is>
          <t>Chiocciola con coda di rondine</t>
        </is>
      </c>
      <c r="H413" s="264" t="n">
        <v>100</v>
      </c>
      <c r="I413" s="265" t="n">
        <v>0.366</v>
      </c>
      <c r="J413" s="214" t="n"/>
      <c r="K413" s="208" t="n"/>
      <c r="L413" s="424" t="n"/>
      <c r="M413" s="961" t="n"/>
      <c r="N413" s="214" t="n"/>
    </row>
    <row r="414">
      <c r="A414" s="207" t="n">
        <v>797790</v>
      </c>
      <c r="B414" s="209" t="inlineStr">
        <is>
          <t>Vite Di Fissaggio In Metallo 5mm - Testa 12mm - Serraggio 5mm - Argentata</t>
        </is>
      </c>
      <c r="C414" s="207" t="n">
        <v>100</v>
      </c>
      <c r="D414" s="960" t="n">
        <v>0.1082</v>
      </c>
      <c r="E414" s="214" t="n"/>
      <c r="F414" s="267" t="n">
        <v>112215</v>
      </c>
      <c r="G414" s="263" t="inlineStr">
        <is>
          <t>Chiocciola con gripper</t>
        </is>
      </c>
      <c r="H414" s="264" t="n">
        <v>100</v>
      </c>
      <c r="I414" s="265" t="n">
        <v>0.509</v>
      </c>
      <c r="J414" s="214" t="n"/>
      <c r="K414" s="208" t="n"/>
      <c r="L414" s="424" t="n"/>
      <c r="M414" s="961" t="n"/>
      <c r="N414" s="214" t="n"/>
    </row>
    <row r="415">
      <c r="A415" s="207" t="n">
        <v>797802</v>
      </c>
      <c r="B415" s="209" t="inlineStr">
        <is>
          <t>Vite Di Fissaggio In Metallo 5mm - Testa 12mm - Serraggio 8mm - Argentata</t>
        </is>
      </c>
      <c r="C415" s="207" t="n">
        <v>1000</v>
      </c>
      <c r="D415" s="960" t="n">
        <v>0.1133</v>
      </c>
      <c r="E415" s="214" t="n"/>
      <c r="F415" s="267" t="n">
        <v>112216</v>
      </c>
      <c r="G415" s="263" t="inlineStr">
        <is>
          <t>Chiocciola con coda di rondine, clip e gripper</t>
        </is>
      </c>
      <c r="H415" s="264" t="n">
        <v>100</v>
      </c>
      <c r="I415" s="265" t="n">
        <v>0.605</v>
      </c>
      <c r="J415" s="214" t="n"/>
      <c r="K415" s="208" t="n"/>
      <c r="L415" s="424" t="n"/>
      <c r="M415" s="961" t="n"/>
      <c r="N415" s="214" t="n"/>
    </row>
    <row r="416">
      <c r="A416" s="207" t="n">
        <v>797791</v>
      </c>
      <c r="B416" s="209" t="inlineStr">
        <is>
          <t>Vite Di Fissaggio In Metallo 5mm - Testa 12mm - Serraggio 10mm - Argentata</t>
        </is>
      </c>
      <c r="C416" s="207" t="n">
        <v>100</v>
      </c>
      <c r="D416" s="960" t="n">
        <v>0.1303</v>
      </c>
      <c r="E416" s="214" t="n"/>
      <c r="F416" s="267" t="n">
        <v>112217</v>
      </c>
      <c r="G416" s="263" t="inlineStr">
        <is>
          <t>Supporto trasparente per broche bilaterale</t>
        </is>
      </c>
      <c r="H416" s="264" t="n">
        <v>50</v>
      </c>
      <c r="I416" s="265" t="n">
        <v>1.365</v>
      </c>
      <c r="J416" s="214" t="n"/>
      <c r="K416" s="208" t="n"/>
      <c r="L416" s="424" t="n"/>
      <c r="M416" s="961" t="n"/>
      <c r="N416" s="214" t="n"/>
    </row>
    <row r="417">
      <c r="A417" s="207" t="n">
        <v>797803</v>
      </c>
      <c r="B417" s="209" t="inlineStr">
        <is>
          <t>Vite Di Fissaggio In Metallo 5mm - Testa 12mm - Serraggio 12mm - Argentata</t>
        </is>
      </c>
      <c r="C417" s="207" t="n">
        <v>1000</v>
      </c>
      <c r="D417" s="960" t="n">
        <v>0.1236</v>
      </c>
      <c r="E417" s="214" t="n"/>
      <c r="F417" s="267" t="n">
        <v>112218</v>
      </c>
      <c r="G417" s="263" t="inlineStr">
        <is>
          <t>Supporto trasparente per striscia porta blister</t>
        </is>
      </c>
      <c r="H417" s="264" t="n">
        <v>50</v>
      </c>
      <c r="I417" s="265" t="n">
        <v>1.365</v>
      </c>
      <c r="J417" s="214" t="n"/>
      <c r="K417" s="208" t="n"/>
      <c r="L417" s="424" t="n"/>
      <c r="M417" s="961" t="n"/>
      <c r="N417" s="214" t="n"/>
    </row>
    <row r="418">
      <c r="A418" s="207" t="n">
        <v>797792</v>
      </c>
      <c r="B418" s="209" t="inlineStr">
        <is>
          <t>Vite Di Fissaggio In Metallo 5mm - Testa 12mm - Serraggio 15mm - Argentata</t>
        </is>
      </c>
      <c r="C418" s="207" t="n">
        <v>100</v>
      </c>
      <c r="D418" s="960" t="n">
        <v>0.1409</v>
      </c>
      <c r="E418" s="214" t="n"/>
      <c r="F418" s="267" t="n">
        <v>112220</v>
      </c>
      <c r="G418" s="263" t="inlineStr">
        <is>
          <t>Chiocciola con adesivo</t>
        </is>
      </c>
      <c r="H418" s="264" t="n">
        <v>100</v>
      </c>
      <c r="I418" s="265" t="n">
        <v>0.458</v>
      </c>
      <c r="J418" s="214" t="n"/>
      <c r="K418" s="208" t="n"/>
      <c r="L418" s="424" t="n"/>
      <c r="M418" s="961" t="n"/>
      <c r="N418" s="214" t="n"/>
    </row>
    <row r="419">
      <c r="A419" s="207" t="n">
        <v>797793</v>
      </c>
      <c r="B419" s="209" t="inlineStr">
        <is>
          <t>Vite Di Fissaggio In Metallo 5mm - Testa 12mm - Serraggio 20mm - Argentata</t>
        </is>
      </c>
      <c r="C419" s="207" t="n">
        <v>100</v>
      </c>
      <c r="D419" s="960" t="n">
        <v>0.1453</v>
      </c>
      <c r="E419" s="214" t="n"/>
      <c r="F419" s="267" t="n">
        <v>112221</v>
      </c>
      <c r="G419" s="263" t="inlineStr">
        <is>
          <t>Chiocciola con due fori</t>
        </is>
      </c>
      <c r="H419" s="264" t="n">
        <v>100</v>
      </c>
      <c r="I419" s="265" t="n">
        <v>0.377</v>
      </c>
      <c r="J419" s="214" t="n"/>
      <c r="K419" s="208" t="n"/>
      <c r="L419" s="424" t="n"/>
      <c r="M419" s="961" t="n"/>
      <c r="N419" s="214" t="n"/>
    </row>
    <row r="420">
      <c r="A420" s="207" t="n">
        <v>797804</v>
      </c>
      <c r="B420" s="209" t="inlineStr">
        <is>
          <t>Vite Di Fissaggio In Metallo 5mm - Testa 12mm - Serraggio 25mm - Argentata</t>
        </is>
      </c>
      <c r="C420" s="207" t="n">
        <v>1000</v>
      </c>
      <c r="D420" s="960" t="n">
        <v>0.1391</v>
      </c>
      <c r="E420" s="214" t="n"/>
      <c r="F420" s="267" t="n">
        <v>112222</v>
      </c>
      <c r="G420" s="263" t="inlineStr">
        <is>
          <t>Chiocciola con tre linguette</t>
        </is>
      </c>
      <c r="H420" s="264" t="n">
        <v>100</v>
      </c>
      <c r="I420" s="265" t="n">
        <v>0.373</v>
      </c>
      <c r="J420" s="214" t="n"/>
      <c r="K420" s="208" t="n"/>
      <c r="L420" s="424" t="n"/>
      <c r="M420" s="961" t="n"/>
      <c r="N420" s="214" t="n"/>
    </row>
    <row r="421">
      <c r="A421" s="207" t="n">
        <v>797805</v>
      </c>
      <c r="B421" s="209" t="inlineStr">
        <is>
          <t>Vite Di Fissaggio In Metallo 5mm - Testa 12mm - Serraggio 30mm - Argentata</t>
        </is>
      </c>
      <c r="C421" s="207" t="n">
        <v>1000</v>
      </c>
      <c r="D421" s="960" t="n">
        <v>0.1442</v>
      </c>
      <c r="E421" s="214" t="n"/>
      <c r="F421" s="267" t="n">
        <v>112224</v>
      </c>
      <c r="G421" s="263" t="inlineStr">
        <is>
          <t>Pannello a tasca per chiocciole con gripper cm. 90X10,5</t>
        </is>
      </c>
      <c r="H421" s="264" t="n">
        <v>50</v>
      </c>
      <c r="I421" s="265" t="n">
        <v>15.392</v>
      </c>
      <c r="J421" s="214" t="n"/>
      <c r="K421" s="208" t="n"/>
      <c r="L421" s="424" t="n"/>
      <c r="M421" s="961" t="n"/>
      <c r="N421" s="214" t="n"/>
    </row>
    <row r="422">
      <c r="A422" s="207" t="n">
        <v>797806</v>
      </c>
      <c r="B422" s="209" t="inlineStr">
        <is>
          <t>Vite Di Fissaggio In Metallo 5mm - Testa 12mm - Serraggio 35mm - Argentata</t>
        </is>
      </c>
      <c r="C422" s="207" t="n">
        <v>1000</v>
      </c>
      <c r="D422" s="960" t="n">
        <v>0.1494</v>
      </c>
      <c r="E422" s="214" t="n"/>
      <c r="F422" s="267" t="n">
        <v>112225</v>
      </c>
      <c r="G422" s="263" t="inlineStr">
        <is>
          <t>Chiocciola con ripiano cm. 13x9</t>
        </is>
      </c>
      <c r="H422" s="264" t="n">
        <v>50</v>
      </c>
      <c r="I422" s="265" t="n">
        <v>3.997</v>
      </c>
      <c r="J422" s="214" t="n"/>
      <c r="K422" s="208" t="n"/>
      <c r="L422" s="424" t="n"/>
      <c r="M422" s="961" t="n"/>
      <c r="N422" s="214" t="n"/>
    </row>
    <row r="423">
      <c r="A423" s="207" t="n">
        <v>797807</v>
      </c>
      <c r="B423" s="209" t="inlineStr">
        <is>
          <t>Vite Di Fissaggio In Metallo 5mm - Testa 12mm - Serraggio 40mm - Argentata</t>
        </is>
      </c>
      <c r="C423" s="207" t="n">
        <v>1000</v>
      </c>
      <c r="D423" s="960" t="n">
        <v>0.1494</v>
      </c>
      <c r="E423" s="214" t="n"/>
      <c r="F423" s="267" t="n">
        <v>112226</v>
      </c>
      <c r="G423" s="263" t="inlineStr">
        <is>
          <t>Frontale per chiocciole con adesivo cm. 25X5</t>
        </is>
      </c>
      <c r="H423" s="264" t="n">
        <v>50</v>
      </c>
      <c r="I423" s="265" t="n">
        <v>3.733</v>
      </c>
      <c r="J423" s="214" t="n"/>
      <c r="K423" s="208" t="n"/>
      <c r="L423" s="424" t="n"/>
      <c r="M423" s="961" t="n"/>
      <c r="N423" s="214" t="n"/>
    </row>
    <row r="424">
      <c r="A424" s="207" t="n">
        <v>797810</v>
      </c>
      <c r="B424" s="209" t="inlineStr">
        <is>
          <t>Vite Di Fissaggio In Metallo 5mm - Testa 12mm - Serraggio 2mm - Dorata</t>
        </is>
      </c>
      <c r="C424" s="207" t="n">
        <v>1000</v>
      </c>
      <c r="D424" s="960" t="n">
        <v>0.0979</v>
      </c>
      <c r="E424" s="214" t="n"/>
      <c r="F424" s="267" t="n">
        <v>112227</v>
      </c>
      <c r="G424" s="263" t="inlineStr">
        <is>
          <t>Frontale per chiocciole con adesivo cm. 32X6</t>
        </is>
      </c>
      <c r="H424" s="264" t="n">
        <v>50</v>
      </c>
      <c r="I424" s="265" t="n">
        <v>3.829</v>
      </c>
      <c r="J424" s="214" t="n"/>
      <c r="K424" s="208" t="n"/>
      <c r="L424" s="424" t="n"/>
      <c r="M424" s="961" t="n"/>
      <c r="N424" s="214" t="n"/>
    </row>
    <row r="425">
      <c r="A425" s="207" t="n">
        <v>797811</v>
      </c>
      <c r="B425" s="209" t="inlineStr">
        <is>
          <t>Vite Di Fissaggio In Metallo 5mm - Testa 12mm - Serraggio 3,5mm - Dorata</t>
        </is>
      </c>
      <c r="C425" s="207" t="n">
        <v>1000</v>
      </c>
      <c r="D425" s="960" t="n">
        <v>0.103</v>
      </c>
      <c r="E425" s="214" t="n"/>
      <c r="F425" s="267" t="n">
        <v>112228</v>
      </c>
      <c r="G425" s="263" t="inlineStr">
        <is>
          <t>Frontale per chiocciole con adesivo cm. 40X5</t>
        </is>
      </c>
      <c r="H425" s="264" t="n">
        <v>50</v>
      </c>
      <c r="I425" s="265" t="n">
        <v>4.026</v>
      </c>
      <c r="J425" s="214" t="n"/>
      <c r="K425" s="208" t="n"/>
      <c r="L425" s="424" t="n"/>
      <c r="M425" s="961" t="n"/>
      <c r="N425" s="214" t="n"/>
    </row>
    <row r="426">
      <c r="A426" s="207" t="n">
        <v>797812</v>
      </c>
      <c r="B426" s="209" t="inlineStr">
        <is>
          <t>Vite Di Fissaggio In Metallo 5mm - Testa 12mm - Serraggio 5mm - Dorata</t>
        </is>
      </c>
      <c r="C426" s="207" t="n">
        <v>1000</v>
      </c>
      <c r="D426" s="960" t="n">
        <v>0.1082</v>
      </c>
      <c r="E426" s="214" t="n"/>
      <c r="F426" s="267" t="n">
        <v>112237</v>
      </c>
      <c r="G426" s="263" t="inlineStr">
        <is>
          <t>Stampa per frontale, crowner e laterali</t>
        </is>
      </c>
      <c r="H426" s="264" t="n">
        <v>1</v>
      </c>
      <c r="I426" s="265" t="n">
        <v>68.84</v>
      </c>
      <c r="J426" s="214" t="n"/>
      <c r="K426" s="208" t="n"/>
      <c r="L426" s="424" t="n"/>
      <c r="M426" s="961" t="n"/>
      <c r="N426" s="214" t="n"/>
    </row>
    <row r="427">
      <c r="A427" s="207" t="n">
        <v>797813</v>
      </c>
      <c r="B427" s="209" t="inlineStr">
        <is>
          <t>Vite Di Fissaggio In Metallo 5mm - Testa 12mm - Serraggio 8mm - Dorata</t>
        </is>
      </c>
      <c r="C427" s="207" t="n">
        <v>1000</v>
      </c>
      <c r="D427" s="960" t="n">
        <v>0.1133</v>
      </c>
      <c r="E427" s="214" t="n"/>
      <c r="F427" s="267" t="n">
        <v>112254</v>
      </c>
      <c r="G427" s="263" t="inlineStr">
        <is>
          <t>Stampa digitale BIfacciale per easy roll 100</t>
        </is>
      </c>
      <c r="H427" s="264" t="n">
        <v>1</v>
      </c>
      <c r="I427" s="265" t="n">
        <v>67.2</v>
      </c>
      <c r="J427" s="214" t="n"/>
      <c r="K427" s="208" t="n"/>
      <c r="L427" s="424" t="n"/>
      <c r="M427" s="961" t="n"/>
      <c r="N427" s="214" t="n"/>
    </row>
    <row r="428">
      <c r="A428" s="207" t="n">
        <v>797814</v>
      </c>
      <c r="B428" s="209" t="inlineStr">
        <is>
          <t>Vite Di Fissaggio In Metallo 5mm - Testa 12mm - Serraggio 10mm - Dorata</t>
        </is>
      </c>
      <c r="C428" s="207" t="n">
        <v>1000</v>
      </c>
      <c r="D428" s="960" t="n">
        <v>0.1185</v>
      </c>
      <c r="E428" s="214" t="n"/>
      <c r="F428" s="267" t="n">
        <v>112257</v>
      </c>
      <c r="G428" s="263" t="inlineStr">
        <is>
          <t>Stampa digitale monofacciale per easy roll 85</t>
        </is>
      </c>
      <c r="H428" s="264" t="n">
        <v>1</v>
      </c>
      <c r="I428" s="265" t="n">
        <v>33.6</v>
      </c>
      <c r="J428" s="214" t="n"/>
      <c r="K428" s="208" t="n"/>
      <c r="L428" s="424" t="n"/>
      <c r="M428" s="961" t="n"/>
      <c r="N428" s="214" t="n"/>
    </row>
    <row r="429">
      <c r="A429" s="207" t="n">
        <v>797815</v>
      </c>
      <c r="B429" s="209" t="inlineStr">
        <is>
          <t>Vite Di Fissaggio In Metallo 5mm - Testa 12mm - Serraggio 12mm - Dorata</t>
        </is>
      </c>
      <c r="C429" s="207" t="n">
        <v>1000</v>
      </c>
      <c r="D429" s="960" t="n">
        <v>0.1236</v>
      </c>
      <c r="E429" s="214" t="n"/>
      <c r="F429" s="267" t="n">
        <v>112258</v>
      </c>
      <c r="G429" s="263" t="inlineStr">
        <is>
          <t>Stampa digitale monofacciale per easy roll 80</t>
        </is>
      </c>
      <c r="H429" s="264" t="n">
        <v>1</v>
      </c>
      <c r="I429" s="265" t="n">
        <v>33.6</v>
      </c>
      <c r="J429" s="214" t="n"/>
      <c r="K429" s="208" t="n"/>
      <c r="L429" s="424" t="n"/>
      <c r="M429" s="961" t="n"/>
      <c r="N429" s="214" t="n"/>
    </row>
    <row r="430">
      <c r="A430" s="207" t="n">
        <v>797816</v>
      </c>
      <c r="B430" s="209" t="inlineStr">
        <is>
          <t>Vite Di Fissaggio In Metallo 5mm - Testa 12mm - Serraggio 15mm - Dorata</t>
        </is>
      </c>
      <c r="C430" s="207" t="n">
        <v>1000</v>
      </c>
      <c r="D430" s="960" t="n">
        <v>0.1288</v>
      </c>
      <c r="E430" s="214" t="n"/>
      <c r="F430" s="267" t="n">
        <v>112268</v>
      </c>
      <c r="G430" s="263" t="inlineStr">
        <is>
          <t>Stampa digitale bifacciale per easy roll 85</t>
        </is>
      </c>
      <c r="H430" s="264" t="n">
        <v>1</v>
      </c>
      <c r="I430" s="265" t="n">
        <v>67.2</v>
      </c>
      <c r="J430" s="214" t="n"/>
      <c r="K430" s="208" t="n"/>
      <c r="L430" s="424" t="n"/>
      <c r="M430" s="961" t="n"/>
      <c r="N430" s="214" t="n"/>
    </row>
    <row r="431">
      <c r="A431" s="207" t="n">
        <v>797817</v>
      </c>
      <c r="B431" s="209" t="inlineStr">
        <is>
          <t>Vite Di Fissaggio In Metallo 5mm - Testa 12mm - Serraggio 20mm - Dorata</t>
        </is>
      </c>
      <c r="C431" s="207" t="n">
        <v>1000</v>
      </c>
      <c r="D431" s="960" t="n">
        <v>0.1339</v>
      </c>
      <c r="E431" s="214" t="n"/>
      <c r="F431" s="267" t="n">
        <v>112270</v>
      </c>
      <c r="G431" s="263" t="inlineStr">
        <is>
          <t>Clip a freccia trasparente testa diametro mm. 12 per spessori 4 mm</t>
        </is>
      </c>
      <c r="H431" s="264" t="n">
        <v>1000</v>
      </c>
      <c r="I431" s="265" t="n">
        <v>0.068</v>
      </c>
      <c r="J431" s="214" t="n"/>
      <c r="K431" s="208" t="n"/>
      <c r="L431" s="424" t="n"/>
      <c r="M431" s="961" t="n"/>
      <c r="N431" s="214" t="n"/>
    </row>
    <row r="432">
      <c r="A432" s="207" t="n">
        <v>797818</v>
      </c>
      <c r="B432" s="209" t="inlineStr">
        <is>
          <t>Vite Di Fissaggio In Metallo 5mm - Testa 12mm - Serraggio 25mm - Dorata</t>
        </is>
      </c>
      <c r="C432" s="207" t="n">
        <v>1000</v>
      </c>
      <c r="D432" s="960" t="n">
        <v>0.1391</v>
      </c>
      <c r="E432" s="214" t="n"/>
      <c r="F432" s="267" t="n">
        <v>112271</v>
      </c>
      <c r="G432" s="263" t="inlineStr">
        <is>
          <t>Clip a freccia trasparente testa diametro mm. 12 per spessori 7 mm</t>
        </is>
      </c>
      <c r="H432" s="264" t="n">
        <v>1000</v>
      </c>
      <c r="I432" s="265" t="n">
        <v>0.06900000000000001</v>
      </c>
      <c r="J432" s="214" t="n"/>
      <c r="K432" s="208" t="n"/>
      <c r="L432" s="424" t="n"/>
      <c r="M432" s="961" t="n"/>
      <c r="N432" s="214" t="n"/>
    </row>
    <row r="433">
      <c r="A433" s="207" t="n">
        <v>797819</v>
      </c>
      <c r="B433" s="209" t="inlineStr">
        <is>
          <t>Vite Di Fissaggio In Metallo 5mm - Testa 12mm - Serraggio 30mm - Dorata</t>
        </is>
      </c>
      <c r="C433" s="207" t="n">
        <v>1000</v>
      </c>
      <c r="D433" s="960" t="n">
        <v>0.1442</v>
      </c>
      <c r="E433" s="214" t="n"/>
      <c r="F433" s="267" t="n">
        <v>112272</v>
      </c>
      <c r="G433" s="263" t="inlineStr">
        <is>
          <t>Clip a freccia trasparente testa diametro mm. 12 per spessori 10 mm</t>
        </is>
      </c>
      <c r="H433" s="264" t="n">
        <v>1000</v>
      </c>
      <c r="I433" s="265" t="n">
        <v>0.07099999999999999</v>
      </c>
      <c r="J433" s="214" t="n"/>
      <c r="K433" s="208" t="n"/>
      <c r="L433" s="424" t="n"/>
      <c r="M433" s="961" t="n"/>
      <c r="N433" s="214" t="n"/>
    </row>
    <row r="434">
      <c r="A434" s="207" t="n">
        <v>797820</v>
      </c>
      <c r="B434" s="209" t="inlineStr">
        <is>
          <t>Vite Di Fissaggio In Metallo 5mm - Testa 12mm - Serraggio 35mm - Dorata</t>
        </is>
      </c>
      <c r="C434" s="207" t="n">
        <v>1000</v>
      </c>
      <c r="D434" s="960" t="n">
        <v>0.1494</v>
      </c>
      <c r="E434" s="214" t="n"/>
      <c r="F434" s="267" t="n">
        <v>112276</v>
      </c>
      <c r="G434" s="263" t="inlineStr">
        <is>
          <t>Clip a freccia trasparente testa mm 12, per assemblare spessori di mm 12</t>
        </is>
      </c>
      <c r="H434" s="264" t="n">
        <v>1000</v>
      </c>
      <c r="I434" s="265" t="n">
        <v>0.173</v>
      </c>
      <c r="J434" s="214" t="n"/>
      <c r="K434" s="208" t="n"/>
      <c r="L434" s="424" t="n"/>
      <c r="M434" s="961" t="n"/>
      <c r="N434" s="214" t="n"/>
    </row>
    <row r="435">
      <c r="A435" s="207" t="n">
        <v>797821</v>
      </c>
      <c r="B435" s="209" t="inlineStr">
        <is>
          <t>Vite Di Fissaggio In Metallo 5mm - Testa 12mm - Serraggio 40mm - Dorata</t>
        </is>
      </c>
      <c r="C435" s="207" t="n">
        <v>1000</v>
      </c>
      <c r="D435" s="960" t="n">
        <v>0.1494</v>
      </c>
      <c r="E435" s="214" t="n"/>
      <c r="F435" s="267" t="n">
        <v>112280</v>
      </c>
      <c r="G435" s="263" t="inlineStr">
        <is>
          <t>Vite in plastica trasparente testa diametro mm. 14 per spessori da mm. 0 a mm. 1</t>
        </is>
      </c>
      <c r="H435" s="264" t="n">
        <v>1000</v>
      </c>
      <c r="I435" s="265" t="n">
        <v>0.022</v>
      </c>
      <c r="J435" s="214" t="n"/>
      <c r="K435" s="208" t="n"/>
      <c r="L435" s="424" t="n"/>
      <c r="M435" s="961" t="n"/>
      <c r="N435" s="214" t="n"/>
    </row>
    <row r="436">
      <c r="A436" s="207" t="n">
        <v>797830</v>
      </c>
      <c r="B436" s="209" t="inlineStr">
        <is>
          <t>Vite Di Fissaggio In Plastica 5mm - Testa 12mm - Serraggio 3,5mm - Bianco</t>
        </is>
      </c>
      <c r="C436" s="207" t="n">
        <v>1000</v>
      </c>
      <c r="D436" s="960" t="n">
        <v>0.0505</v>
      </c>
      <c r="E436" s="214" t="n"/>
      <c r="F436" s="267" t="n">
        <v>112280</v>
      </c>
      <c r="G436" s="263" t="inlineStr">
        <is>
          <t>Vite in plastica trasparente testa diametro mm. 14 per spessori da mm. 0 a mm. 1</t>
        </is>
      </c>
      <c r="H436" s="264" t="n">
        <v>1000</v>
      </c>
      <c r="I436" s="265" t="n">
        <v>0.07199999999999999</v>
      </c>
      <c r="J436" s="214" t="n"/>
      <c r="K436" s="208" t="n"/>
      <c r="L436" s="424" t="n"/>
      <c r="M436" s="961" t="n"/>
      <c r="N436" s="214" t="n"/>
    </row>
    <row r="437">
      <c r="A437" s="207" t="n">
        <v>797831</v>
      </c>
      <c r="B437" s="209" t="inlineStr">
        <is>
          <t>Vite Di Fissaggio In Plastica 5mm - Testa 12mm - Serraggio 5mm - Bianco</t>
        </is>
      </c>
      <c r="C437" s="207" t="n">
        <v>1000</v>
      </c>
      <c r="D437" s="960" t="n">
        <v>0.0794</v>
      </c>
      <c r="E437" s="214" t="n"/>
      <c r="F437" s="267" t="n">
        <v>112281</v>
      </c>
      <c r="G437" s="263" t="inlineStr">
        <is>
          <t>Vite in plastica trasparente testa diametro mm. 14 per spessori da mm. 0 a mm. 2</t>
        </is>
      </c>
      <c r="H437" s="264" t="n">
        <v>1000</v>
      </c>
      <c r="I437" s="265" t="n">
        <v>0.074</v>
      </c>
      <c r="J437" s="214" t="n"/>
      <c r="K437" s="208" t="n"/>
      <c r="L437" s="424" t="n"/>
      <c r="M437" s="961" t="n"/>
      <c r="N437" s="214" t="n"/>
    </row>
    <row r="438">
      <c r="A438" s="207" t="n">
        <v>797832</v>
      </c>
      <c r="B438" s="209" t="inlineStr">
        <is>
          <t>Vite Di Fissaggio In Plastica 5mm - Testa 12mm - Serraggio 8mm - Bianco</t>
        </is>
      </c>
      <c r="C438" s="207" t="n">
        <v>1000</v>
      </c>
      <c r="D438" s="960" t="n">
        <v>0.0618</v>
      </c>
      <c r="E438" s="214" t="n"/>
      <c r="F438" s="267" t="n">
        <v>112282</v>
      </c>
      <c r="G438" s="263" t="inlineStr">
        <is>
          <t>Vite in plastica trasparente testa diametro mm. 14 per spessori da mm. 0 a mm. 1</t>
        </is>
      </c>
      <c r="H438" s="264" t="n">
        <v>1000</v>
      </c>
      <c r="I438" s="265" t="n">
        <v>0.074</v>
      </c>
      <c r="J438" s="214" t="n"/>
      <c r="K438" s="208" t="n"/>
      <c r="L438" s="424" t="n"/>
      <c r="M438" s="961" t="n"/>
      <c r="N438" s="214" t="n"/>
    </row>
    <row r="439">
      <c r="A439" s="207" t="n">
        <v>797833</v>
      </c>
      <c r="B439" s="209" t="inlineStr">
        <is>
          <t>Vite Di Fissaggio In Plastica 5mm - Testa 12mm - Serraggio 10mm - Bianco</t>
        </is>
      </c>
      <c r="C439" s="207" t="n">
        <v>1000</v>
      </c>
      <c r="D439" s="960" t="n">
        <v>0.0876</v>
      </c>
      <c r="E439" s="214" t="n"/>
      <c r="F439" s="267" t="n">
        <v>112290</v>
      </c>
      <c r="G439" s="263" t="inlineStr">
        <is>
          <t>Vite in plastica trasparente a pressione , testa mm 15 per assemblare spessori da</t>
        </is>
      </c>
      <c r="H439" s="264" t="n">
        <v>1000</v>
      </c>
      <c r="I439" s="265" t="n">
        <v>0.105</v>
      </c>
      <c r="J439" s="214" t="n"/>
      <c r="K439" s="208" t="n"/>
      <c r="L439" s="424" t="n"/>
      <c r="M439" s="961" t="n"/>
      <c r="N439" s="214" t="n"/>
    </row>
    <row r="440">
      <c r="A440" s="207" t="n">
        <v>797702</v>
      </c>
      <c r="B440" s="209" t="inlineStr">
        <is>
          <t>Vite Di Fissaggio In Plastica 5mm - Testa 12mm - Serraggio 12mm - Bianco</t>
        </is>
      </c>
      <c r="C440" s="207" t="n">
        <v>100</v>
      </c>
      <c r="D440" s="960" t="n">
        <v>0.0536</v>
      </c>
      <c r="E440" s="214" t="n"/>
      <c r="F440" s="267" t="n">
        <v>112291</v>
      </c>
      <c r="G440" s="263" t="inlineStr">
        <is>
          <t>Vite in plastica trasparente a pressione , testa mm 15 per assemblare spessori da</t>
        </is>
      </c>
      <c r="H440" s="264" t="n">
        <v>1000</v>
      </c>
      <c r="I440" s="265" t="n">
        <v>0.107</v>
      </c>
      <c r="J440" s="214" t="n"/>
      <c r="K440" s="208" t="n"/>
      <c r="L440" s="424" t="n"/>
      <c r="M440" s="961" t="n"/>
      <c r="N440" s="214" t="n"/>
    </row>
    <row r="441">
      <c r="A441" s="207" t="n">
        <v>797834</v>
      </c>
      <c r="B441" s="209" t="inlineStr">
        <is>
          <t>Vite Di Fissaggio In Plastica 5mm - Testa 12mm - Serraggio 15mm - Bianco</t>
        </is>
      </c>
      <c r="C441" s="207" t="n">
        <v>1000</v>
      </c>
      <c r="D441" s="960" t="n">
        <v>0.0536</v>
      </c>
      <c r="E441" s="214" t="n"/>
      <c r="F441" s="267" t="n">
        <v>112292</v>
      </c>
      <c r="G441" s="263" t="inlineStr">
        <is>
          <t>Vite in plastica trasparente a pressione , testa mm 15 per assemblare spessori da</t>
        </is>
      </c>
      <c r="H441" s="264" t="n">
        <v>1000</v>
      </c>
      <c r="I441" s="265" t="n">
        <v>0.108</v>
      </c>
      <c r="J441" s="214" t="n"/>
      <c r="K441" s="208" t="n"/>
      <c r="L441" s="424" t="n"/>
      <c r="M441" s="961" t="n"/>
      <c r="N441" s="214" t="n"/>
    </row>
    <row r="442">
      <c r="A442" s="207" t="n">
        <v>797835</v>
      </c>
      <c r="B442" s="209" t="inlineStr">
        <is>
          <t>Vite Di Fissaggio In Plastica 5mm - Testa 12mm - Serraggio 20mm - Bianco</t>
        </is>
      </c>
      <c r="C442" s="207" t="n">
        <v>1000</v>
      </c>
      <c r="D442" s="960" t="n">
        <v>0.0536</v>
      </c>
      <c r="E442" s="214" t="n"/>
      <c r="F442" s="267" t="n">
        <v>112293</v>
      </c>
      <c r="G442" s="263" t="inlineStr">
        <is>
          <t>Vite in plastica trasparente a pressione , testa mm 15 per assemblare spessori da</t>
        </is>
      </c>
      <c r="H442" s="264" t="n">
        <v>1000</v>
      </c>
      <c r="I442" s="265" t="n">
        <v>0.173</v>
      </c>
      <c r="J442" s="214" t="n"/>
      <c r="K442" s="208" t="n"/>
      <c r="L442" s="424" t="n"/>
      <c r="M442" s="961" t="n"/>
      <c r="N442" s="214" t="n"/>
    </row>
    <row r="443">
      <c r="A443" s="207" t="n">
        <v>797836</v>
      </c>
      <c r="B443" s="209" t="inlineStr">
        <is>
          <t>Vite Di Fissaggio In Plastica 5mm - Testa 12mm - Serraggio 25mm - Bianco</t>
        </is>
      </c>
      <c r="C443" s="207" t="n">
        <v>1000</v>
      </c>
      <c r="D443" s="960" t="n">
        <v>0.0639</v>
      </c>
      <c r="E443" s="214" t="n"/>
      <c r="F443" s="267" t="n">
        <v>112294</v>
      </c>
      <c r="G443" s="263" t="inlineStr">
        <is>
          <t>Vite in plastica trasparente a pressione , testa mm 15 per assemblare spessori da</t>
        </is>
      </c>
      <c r="H443" s="264" t="n">
        <v>1000</v>
      </c>
      <c r="I443" s="265" t="n">
        <v>0.099</v>
      </c>
      <c r="J443" s="214" t="n"/>
      <c r="K443" s="208" t="n"/>
      <c r="L443" s="424" t="n"/>
      <c r="M443" s="961" t="n"/>
      <c r="N443" s="214" t="n"/>
    </row>
    <row r="444">
      <c r="A444" s="207" t="n">
        <v>797837</v>
      </c>
      <c r="B444" s="209" t="inlineStr">
        <is>
          <t>Vite Di Fissaggio In Plastica 5mm - Testa 12mm - Serraggio 30mm - Bianco</t>
        </is>
      </c>
      <c r="C444" s="207" t="n">
        <v>1000</v>
      </c>
      <c r="D444" s="960" t="n">
        <v>0.0639</v>
      </c>
      <c r="E444" s="214" t="n"/>
      <c r="F444" s="267" t="n">
        <v>112295</v>
      </c>
      <c r="G444" s="263" t="inlineStr">
        <is>
          <t>Vite in plastica trasparente a pressione , testa mm 15 per assemblare spessori da</t>
        </is>
      </c>
      <c r="H444" s="264" t="n">
        <v>1000</v>
      </c>
      <c r="I444" s="265" t="n">
        <v>0.103</v>
      </c>
      <c r="J444" s="214" t="n"/>
      <c r="K444" s="208" t="n"/>
      <c r="L444" s="424" t="n"/>
      <c r="M444" s="961" t="n"/>
      <c r="N444" s="214" t="n"/>
    </row>
    <row r="445">
      <c r="A445" s="207" t="n">
        <v>797838</v>
      </c>
      <c r="B445" s="209" t="inlineStr">
        <is>
          <t>Vite Di Fissaggio In Plastica 5mm - Testa 12mm - Serraggio 35mm - Bianco</t>
        </is>
      </c>
      <c r="C445" s="207" t="n">
        <v>1000</v>
      </c>
      <c r="D445" s="960" t="n">
        <v>0.0742</v>
      </c>
      <c r="E445" s="214" t="n"/>
      <c r="F445" s="267" t="n">
        <v>112296</v>
      </c>
      <c r="G445" s="263" t="inlineStr">
        <is>
          <t>Vite in plastica trasparente a pressione , testa mm 15 per assemblare spessori da</t>
        </is>
      </c>
      <c r="H445" s="264" t="n">
        <v>1000</v>
      </c>
      <c r="I445" s="265" t="n">
        <v>0.106</v>
      </c>
      <c r="J445" s="214" t="n"/>
      <c r="K445" s="208" t="n"/>
      <c r="L445" s="424" t="n"/>
      <c r="M445" s="961" t="n"/>
      <c r="N445" s="214" t="n"/>
    </row>
    <row r="446">
      <c r="A446" s="207" t="n">
        <v>797839</v>
      </c>
      <c r="B446" s="209" t="inlineStr">
        <is>
          <t>Vite Di Fissaggio In Plastica 5mm - Testa 12mm - Serraggio 40mm - Bianco</t>
        </is>
      </c>
      <c r="C446" s="207" t="n">
        <v>1000</v>
      </c>
      <c r="D446" s="960" t="n">
        <v>0.0907</v>
      </c>
      <c r="E446" s="214" t="n"/>
      <c r="F446" s="267" t="n">
        <v>112297</v>
      </c>
      <c r="G446" s="263" t="inlineStr">
        <is>
          <t>Vite in plastica trasparente a pressione , testa mm 15 per assemblare spessori da</t>
        </is>
      </c>
      <c r="H446" s="264" t="n">
        <v>1000</v>
      </c>
      <c r="I446" s="265" t="n">
        <v>0.125</v>
      </c>
      <c r="J446" s="214" t="n"/>
      <c r="K446" s="208" t="n"/>
      <c r="L446" s="424" t="n"/>
      <c r="M446" s="961" t="n"/>
      <c r="N446" s="214" t="n"/>
    </row>
    <row r="447">
      <c r="A447" s="207" t="n">
        <v>797841</v>
      </c>
      <c r="B447" s="209" t="inlineStr">
        <is>
          <t>Vite Di Fissaggio In Plastica 5mm - Testa 12mm - Serraggio 5mm - Trasparente</t>
        </is>
      </c>
      <c r="C447" s="207" t="n">
        <v>1000</v>
      </c>
      <c r="D447" s="960" t="n">
        <v>0.0876</v>
      </c>
      <c r="E447" s="214" t="n"/>
      <c r="F447" s="267" t="n">
        <v>112300</v>
      </c>
      <c r="G447" s="263" t="inlineStr">
        <is>
          <t>Porta cartoline box A6 verticale</t>
        </is>
      </c>
      <c r="H447" s="264" t="n">
        <v>100</v>
      </c>
      <c r="I447" s="265" t="n">
        <v>1.276</v>
      </c>
      <c r="J447" s="214" t="n"/>
      <c r="K447" s="208" t="n"/>
      <c r="L447" s="424" t="n"/>
      <c r="M447" s="961" t="n"/>
      <c r="N447" s="214" t="n"/>
    </row>
    <row r="448">
      <c r="A448" s="207" t="n">
        <v>797843</v>
      </c>
      <c r="B448" s="209" t="inlineStr">
        <is>
          <t>Vite Di Fissaggio In Plastica 5mm - Testa 12mm - Serraggio 10mm - Trasparente</t>
        </is>
      </c>
      <c r="C448" s="207" t="n">
        <v>1000</v>
      </c>
      <c r="D448" s="960" t="n">
        <v>0.1082</v>
      </c>
      <c r="E448" s="214" t="n"/>
      <c r="F448" s="267" t="n">
        <v>112301</v>
      </c>
      <c r="G448" s="263" t="inlineStr">
        <is>
          <t>Porta cartoline box A5 verticale</t>
        </is>
      </c>
      <c r="H448" s="264" t="n">
        <v>100</v>
      </c>
      <c r="I448" s="265" t="n">
        <v>1.695</v>
      </c>
      <c r="J448" s="214" t="n"/>
      <c r="K448" s="208" t="n"/>
      <c r="L448" s="424" t="n"/>
      <c r="M448" s="961" t="n"/>
      <c r="N448" s="214" t="n"/>
    </row>
    <row r="449">
      <c r="A449" s="207" t="n">
        <v>797844</v>
      </c>
      <c r="B449" s="209" t="inlineStr">
        <is>
          <t>Vite Di Fissaggio In Plastica 5mm - Testa 12mm - Serraggio 15mm - Trasparente</t>
        </is>
      </c>
      <c r="C449" s="207" t="n">
        <v>1000</v>
      </c>
      <c r="D449" s="960" t="n">
        <v>0.1185</v>
      </c>
      <c r="E449" s="214" t="n"/>
      <c r="F449" s="267" t="n">
        <v>112302</v>
      </c>
      <c r="G449" s="263" t="inlineStr">
        <is>
          <t>Porta cartoline box A5 verticale</t>
        </is>
      </c>
      <c r="H449" s="264" t="n">
        <v>100</v>
      </c>
      <c r="I449" s="265" t="n">
        <v>1.695</v>
      </c>
      <c r="J449" s="214" t="n"/>
      <c r="K449" s="208" t="n"/>
      <c r="L449" s="424" t="n"/>
      <c r="M449" s="961" t="n"/>
      <c r="N449" s="214" t="n"/>
    </row>
    <row r="450">
      <c r="A450" s="207" t="n">
        <v>172190</v>
      </c>
      <c r="B450" s="209" t="inlineStr">
        <is>
          <t>Occhiello Per Rivetto</t>
        </is>
      </c>
      <c r="C450" s="207" t="n">
        <v>1000</v>
      </c>
      <c r="D450" s="960" t="n">
        <v>0.1854</v>
      </c>
      <c r="E450" s="214" t="n"/>
      <c r="F450" s="267" t="n">
        <v>112304</v>
      </c>
      <c r="G450" s="263" t="inlineStr">
        <is>
          <t>Porta cartoline box 15 x 10 orizzontale</t>
        </is>
      </c>
      <c r="H450" s="264" t="n">
        <v>100</v>
      </c>
      <c r="I450" s="265" t="n">
        <v>0.975</v>
      </c>
      <c r="J450" s="214" t="n"/>
      <c r="K450" s="208" t="n"/>
      <c r="L450" s="424" t="n"/>
      <c r="M450" s="961" t="n"/>
      <c r="N450" s="214" t="n"/>
    </row>
    <row r="451">
      <c r="A451" s="207" t="n">
        <v>797850</v>
      </c>
      <c r="B451" s="209" t="inlineStr">
        <is>
          <t>Rivetto In Plastica Bianco Vite 5mm - Testa 15mm - Serraggio 1,5mm - Permane</t>
        </is>
      </c>
      <c r="C451" s="207" t="n">
        <v>1000</v>
      </c>
      <c r="D451" s="960" t="n">
        <v>0.0361</v>
      </c>
      <c r="E451" s="214" t="n"/>
      <c r="F451" s="267" t="n">
        <v>112305</v>
      </c>
      <c r="G451" s="263" t="inlineStr">
        <is>
          <t>Porta cartoline economico box mm. 86 x 105</t>
        </is>
      </c>
      <c r="H451" s="264" t="n">
        <v>100</v>
      </c>
      <c r="I451" s="265" t="n">
        <v>0.784</v>
      </c>
      <c r="J451" s="214" t="n"/>
      <c r="K451" s="208" t="n"/>
      <c r="L451" s="424" t="n"/>
      <c r="M451" s="961" t="n"/>
      <c r="N451" s="214" t="n"/>
    </row>
    <row r="452">
      <c r="A452" s="207" t="n">
        <v>797851</v>
      </c>
      <c r="B452" s="209" t="inlineStr">
        <is>
          <t>Rivetto In Plastica Bianco Vite 5mm - Testa 15mm - Serraggio 2,5mm - Permane</t>
        </is>
      </c>
      <c r="C452" s="207" t="n">
        <v>1000</v>
      </c>
      <c r="D452" s="960" t="n">
        <v>0.0382</v>
      </c>
      <c r="E452" s="214" t="n"/>
      <c r="F452" s="267" t="n">
        <v>112311</v>
      </c>
      <c r="G452" s="263" t="inlineStr">
        <is>
          <t>Porta cartoline mm. 80 x 160 verticale</t>
        </is>
      </c>
      <c r="H452" s="264" t="n">
        <v>100</v>
      </c>
      <c r="I452" s="265" t="n">
        <v>0.448</v>
      </c>
      <c r="J452" s="214" t="n"/>
      <c r="K452" s="208" t="n"/>
      <c r="L452" s="424" t="n"/>
      <c r="M452" s="961" t="n"/>
      <c r="N452" s="214" t="n"/>
    </row>
    <row r="453">
      <c r="A453" s="207" t="n">
        <v>797852</v>
      </c>
      <c r="B453" s="209" t="inlineStr">
        <is>
          <t>Rivetto In Plastica Bianco Vite 5mm - Testa 15mm - Serraggio 3,5mm - Permane</t>
        </is>
      </c>
      <c r="C453" s="207" t="n">
        <v>1000</v>
      </c>
      <c r="D453" s="960" t="n">
        <v>0.0402</v>
      </c>
      <c r="E453" s="214" t="n"/>
      <c r="F453" s="267" t="n">
        <v>112312</v>
      </c>
      <c r="G453" s="263" t="inlineStr">
        <is>
          <t>Porta cartoline mm. 100 x 150 verticale</t>
        </is>
      </c>
      <c r="H453" s="264" t="n">
        <v>100</v>
      </c>
      <c r="I453" s="265" t="n">
        <v>0.524</v>
      </c>
      <c r="J453" s="214" t="n"/>
      <c r="K453" s="208" t="n"/>
      <c r="L453" s="424" t="n"/>
      <c r="M453" s="961" t="n"/>
      <c r="N453" s="214" t="n"/>
    </row>
    <row r="454">
      <c r="A454" s="207" t="n">
        <v>797856</v>
      </c>
      <c r="B454" s="209" t="inlineStr">
        <is>
          <t>Rivetto In Plastica Trasparente Vite 5mm - Testa 15mm - Serraggio 1,5mm - Per</t>
        </is>
      </c>
      <c r="C454" s="207" t="n">
        <v>1000</v>
      </c>
      <c r="D454" s="960" t="n">
        <v>0.0361</v>
      </c>
      <c r="E454" s="214" t="n"/>
      <c r="F454" s="267" t="n">
        <v>112313</v>
      </c>
      <c r="G454" s="263" t="inlineStr">
        <is>
          <t>Porta cartoline mm. 100 x 150 verticale</t>
        </is>
      </c>
      <c r="H454" s="264" t="n">
        <v>100</v>
      </c>
      <c r="I454" s="265" t="n">
        <v>0.524</v>
      </c>
      <c r="J454" s="214" t="n"/>
      <c r="K454" s="208" t="n"/>
      <c r="L454" s="424" t="n"/>
      <c r="M454" s="961" t="n"/>
      <c r="N454" s="214" t="n"/>
    </row>
    <row r="455">
      <c r="A455" s="207" t="n">
        <v>797857</v>
      </c>
      <c r="B455" s="209" t="inlineStr">
        <is>
          <t>Rivetto In Plastica Trasparente Vite 5mm - Testa 15mm - Serraggio 2,5mm - Per</t>
        </is>
      </c>
      <c r="C455" s="207" t="n">
        <v>1000</v>
      </c>
      <c r="D455" s="960" t="n">
        <v>0.0382</v>
      </c>
      <c r="E455" s="214" t="n"/>
      <c r="F455" s="267" t="n">
        <v>112314</v>
      </c>
      <c r="G455" s="263" t="inlineStr">
        <is>
          <t>Porta cartoline mm. 150 x 100 orizzontale</t>
        </is>
      </c>
      <c r="H455" s="264" t="n">
        <v>100</v>
      </c>
      <c r="I455" s="265" t="n">
        <v>0.381</v>
      </c>
      <c r="J455" s="214" t="n"/>
      <c r="K455" s="208" t="n"/>
      <c r="L455" s="424" t="n"/>
      <c r="M455" s="961" t="n"/>
      <c r="N455" s="214" t="n"/>
    </row>
    <row r="456">
      <c r="A456" s="207" t="n">
        <v>752027</v>
      </c>
      <c r="B456" s="209" t="inlineStr">
        <is>
          <t>Clip Per Assemblaggio 4 mm</t>
        </is>
      </c>
      <c r="C456" s="207" t="n">
        <v>100</v>
      </c>
      <c r="D456" s="960" t="n">
        <v>0.033</v>
      </c>
      <c r="E456" s="214" t="n"/>
      <c r="F456" s="267" t="n">
        <v>112315</v>
      </c>
      <c r="G456" s="263" t="inlineStr">
        <is>
          <t>Porta cartoline mm. 150 x 100 orizzontale</t>
        </is>
      </c>
      <c r="H456" s="264" t="n">
        <v>100</v>
      </c>
      <c r="I456" s="265" t="n">
        <v>0.381</v>
      </c>
      <c r="J456" s="214" t="n"/>
      <c r="K456" s="208" t="n"/>
      <c r="L456" s="424" t="n"/>
      <c r="M456" s="961" t="n"/>
      <c r="N456" s="214" t="n"/>
    </row>
    <row r="457">
      <c r="A457" s="207" t="n">
        <v>752029</v>
      </c>
      <c r="B457" s="209" t="inlineStr">
        <is>
          <t>Clip Per Assemblaggio 7 mm</t>
        </is>
      </c>
      <c r="C457" s="207" t="n">
        <v>100</v>
      </c>
      <c r="D457" s="960" t="n">
        <v>0.0361</v>
      </c>
      <c r="E457" s="214" t="n"/>
      <c r="F457" s="267" t="n">
        <v>112316</v>
      </c>
      <c r="G457" s="263" t="inlineStr">
        <is>
          <t>Porta cartoline mm. 150 x 100 orizzontale per profili</t>
        </is>
      </c>
      <c r="H457" s="264" t="n">
        <v>100</v>
      </c>
      <c r="I457" s="265" t="n">
        <v>0.381</v>
      </c>
      <c r="J457" s="214" t="n"/>
      <c r="K457" s="208" t="n"/>
      <c r="L457" s="424" t="n"/>
      <c r="M457" s="961" t="n"/>
      <c r="N457" s="214" t="n"/>
    </row>
    <row r="458">
      <c r="A458" s="207" t="n">
        <v>752040</v>
      </c>
      <c r="B458" s="209" t="inlineStr">
        <is>
          <t>Clip Per Assemblaggio 10 mm</t>
        </is>
      </c>
      <c r="C458" s="207" t="n">
        <v>100</v>
      </c>
      <c r="D458" s="960" t="n">
        <v>0.0376</v>
      </c>
      <c r="E458" s="214" t="n"/>
      <c r="F458" s="267" t="n">
        <v>112323</v>
      </c>
      <c r="G458" s="263" t="inlineStr">
        <is>
          <t>Porta cartoline adesivo A6 verticale</t>
        </is>
      </c>
      <c r="H458" s="264" t="n">
        <v>100</v>
      </c>
      <c r="I458" s="265" t="n">
        <v>0.92</v>
      </c>
      <c r="J458" s="214" t="n"/>
      <c r="K458" s="208" t="n"/>
      <c r="L458" s="424" t="n"/>
      <c r="M458" s="961" t="n"/>
      <c r="N458" s="214" t="n"/>
    </row>
    <row r="459">
      <c r="A459" s="207" t="n">
        <v>752041</v>
      </c>
      <c r="B459" s="209" t="inlineStr">
        <is>
          <t>Clip Per Assemblaggio 12 mm</t>
        </is>
      </c>
      <c r="C459" s="207" t="n">
        <v>100</v>
      </c>
      <c r="D459" s="960" t="n">
        <v>0.0392</v>
      </c>
      <c r="E459" s="214" t="n"/>
      <c r="F459" s="267" t="n">
        <v>112324</v>
      </c>
      <c r="G459" s="263" t="inlineStr">
        <is>
          <t>Porta cartoline adesivo 1/3 A4 verticale</t>
        </is>
      </c>
      <c r="H459" s="264" t="n">
        <v>100</v>
      </c>
      <c r="I459" s="265" t="n">
        <v>1.095</v>
      </c>
      <c r="J459" s="214" t="n"/>
      <c r="K459" s="208" t="n"/>
      <c r="L459" s="424" t="n"/>
      <c r="M459" s="961" t="n"/>
      <c r="N459" s="214" t="n"/>
    </row>
    <row r="460">
      <c r="A460" s="207" t="n">
        <v>752015</v>
      </c>
      <c r="B460" s="209" t="inlineStr">
        <is>
          <t>Rivetto Ad Albero Trasparente Fino A 7 mm</t>
        </is>
      </c>
      <c r="C460" s="207" t="n">
        <v>1000</v>
      </c>
      <c r="D460" s="960" t="n">
        <v>0.0402</v>
      </c>
      <c r="E460" s="214" t="n"/>
      <c r="F460" s="267" t="n">
        <v>112325</v>
      </c>
      <c r="G460" s="263" t="inlineStr">
        <is>
          <t>Porta cartoline adesivo A5 verticale</t>
        </is>
      </c>
      <c r="H460" s="264" t="n">
        <v>100</v>
      </c>
      <c r="I460" s="265" t="n">
        <v>1.101</v>
      </c>
      <c r="J460" s="214" t="n"/>
      <c r="K460" s="208" t="n"/>
      <c r="L460" s="424" t="n"/>
      <c r="M460" s="961" t="n"/>
      <c r="N460" s="214" t="n"/>
    </row>
    <row r="461">
      <c r="A461" s="207" t="n">
        <v>752013</v>
      </c>
      <c r="B461" s="209" t="inlineStr">
        <is>
          <t>Rivetto Ad Albero Trasparente Fino A 14 mm</t>
        </is>
      </c>
      <c r="C461" s="207" t="n">
        <v>1000</v>
      </c>
      <c r="D461" s="960" t="n">
        <v>0.0443</v>
      </c>
      <c r="E461" s="214" t="n"/>
      <c r="F461" s="267" t="n">
        <v>112326</v>
      </c>
      <c r="G461" s="263" t="inlineStr">
        <is>
          <t>Porta cartoline adesivo A4 verticale</t>
        </is>
      </c>
      <c r="H461" s="264" t="n">
        <v>100</v>
      </c>
      <c r="I461" s="265" t="n">
        <v>2.006</v>
      </c>
      <c r="J461" s="214" t="n"/>
      <c r="K461" s="208" t="n"/>
      <c r="L461" s="424" t="n"/>
      <c r="M461" s="961" t="n"/>
      <c r="N461" s="214" t="n"/>
    </row>
    <row r="462">
      <c r="A462" s="207" t="n">
        <v>752014</v>
      </c>
      <c r="B462" s="209" t="inlineStr">
        <is>
          <t>Rivetto Ad Albero Nero Fino A 7 mm</t>
        </is>
      </c>
      <c r="C462" s="207" t="n">
        <v>1000</v>
      </c>
      <c r="D462" s="960" t="n">
        <v>0.0402</v>
      </c>
      <c r="E462" s="214" t="n"/>
      <c r="F462" s="267" t="n">
        <v>112327</v>
      </c>
      <c r="G462" s="263" t="inlineStr">
        <is>
          <t>Porta cartoline pieghevole 1/3 A4 verticale</t>
        </is>
      </c>
      <c r="H462" s="264" t="n">
        <v>100</v>
      </c>
      <c r="I462" s="265" t="n">
        <v>1.302</v>
      </c>
      <c r="J462" s="214" t="n"/>
      <c r="K462" s="208" t="n"/>
      <c r="L462" s="424" t="n"/>
      <c r="M462" s="961" t="n"/>
      <c r="N462" s="214" t="n"/>
    </row>
    <row r="463">
      <c r="A463" s="207" t="n">
        <v>752012</v>
      </c>
      <c r="B463" s="209" t="inlineStr">
        <is>
          <t>Rivetto Ad Albero Nero Fino A 14 mm</t>
        </is>
      </c>
      <c r="C463" s="207" t="n">
        <v>1000</v>
      </c>
      <c r="D463" s="960" t="n">
        <v>0.0443</v>
      </c>
      <c r="E463" s="214" t="n"/>
      <c r="F463" s="267" t="n">
        <v>112328</v>
      </c>
      <c r="G463" s="263" t="inlineStr">
        <is>
          <t>Porta cartoline pieghevole A5 verticale</t>
        </is>
      </c>
      <c r="H463" s="264" t="n">
        <v>100</v>
      </c>
      <c r="I463" s="265" t="n">
        <v>1.302</v>
      </c>
      <c r="J463" s="214" t="n"/>
      <c r="K463" s="208" t="n"/>
      <c r="L463" s="424" t="n"/>
      <c r="M463" s="961" t="n"/>
      <c r="N463" s="214" t="n"/>
    </row>
    <row r="464">
      <c r="A464" s="207" t="n">
        <v>752010</v>
      </c>
      <c r="B464" s="209" t="inlineStr">
        <is>
          <t>Rivetto Ad Albero Trasparente - 5 A 10mm</t>
        </is>
      </c>
      <c r="C464" s="207" t="n">
        <v>500</v>
      </c>
      <c r="D464" s="960" t="n">
        <v>0.0964</v>
      </c>
      <c r="E464" s="214" t="n"/>
      <c r="F464" s="267" t="n">
        <v>112330</v>
      </c>
      <c r="G464" s="263" t="inlineStr">
        <is>
          <t>Tettuccio</t>
        </is>
      </c>
      <c r="H464" s="264" t="n">
        <v>1</v>
      </c>
      <c r="I464" s="265" t="n">
        <v>5.949</v>
      </c>
      <c r="J464" s="214" t="n"/>
      <c r="K464" s="208" t="n"/>
      <c r="L464" s="424" t="n"/>
      <c r="M464" s="961" t="n"/>
      <c r="N464" s="214" t="n"/>
    </row>
    <row r="465">
      <c r="A465" s="207" t="n">
        <v>752011</v>
      </c>
      <c r="B465" s="209" t="inlineStr">
        <is>
          <t>Rivetto Ad Albero Trasparente - 5 A 17mm</t>
        </is>
      </c>
      <c r="C465" s="207" t="n">
        <v>500</v>
      </c>
      <c r="D465" s="960" t="n">
        <v>0.0876</v>
      </c>
      <c r="E465" s="214" t="n"/>
      <c r="F465" s="267" t="n">
        <v>112331</v>
      </c>
      <c r="G465" s="263" t="inlineStr">
        <is>
          <t>Tettuccio con crowner</t>
        </is>
      </c>
      <c r="H465" s="264" t="n">
        <v>1</v>
      </c>
      <c r="I465" s="265" t="n">
        <v>7.009</v>
      </c>
      <c r="J465" s="214" t="n"/>
      <c r="K465" s="208" t="n"/>
      <c r="L465" s="424" t="n"/>
      <c r="M465" s="961" t="n"/>
      <c r="N465" s="214" t="n"/>
    </row>
    <row r="466">
      <c r="A466" s="207" t="n">
        <v>797153</v>
      </c>
      <c r="B466" s="209" t="inlineStr">
        <is>
          <t>GriPPer Ad H 25 X 22 mm</t>
        </is>
      </c>
      <c r="C466" s="207" t="n">
        <v>100</v>
      </c>
      <c r="D466" s="960" t="n">
        <v>0.0721</v>
      </c>
      <c r="E466" s="214" t="n"/>
      <c r="F466" s="267" t="n">
        <v>112332</v>
      </c>
      <c r="G466" s="263" t="inlineStr">
        <is>
          <t>Crowner mezza luna</t>
        </is>
      </c>
      <c r="H466" s="264" t="n">
        <v>1</v>
      </c>
      <c r="I466" s="265" t="n">
        <v>10.534</v>
      </c>
      <c r="J466" s="214" t="n"/>
      <c r="K466" s="208" t="n"/>
      <c r="L466" s="424" t="n"/>
      <c r="M466" s="961" t="n"/>
      <c r="N466" s="214" t="n"/>
    </row>
    <row r="467">
      <c r="A467" s="207" t="n">
        <v>797154</v>
      </c>
      <c r="B467" s="209" t="inlineStr">
        <is>
          <t>GriPPer Ad H DoPPio Spessore</t>
        </is>
      </c>
      <c r="C467" s="207" t="n">
        <v>100</v>
      </c>
      <c r="D467" s="960" t="n">
        <v>0.1247</v>
      </c>
      <c r="E467" s="214" t="n"/>
      <c r="F467" s="267" t="n">
        <v>112335</v>
      </c>
      <c r="G467" s="263" t="inlineStr">
        <is>
          <t>Forex verticale formato UNI A4</t>
        </is>
      </c>
      <c r="H467" s="264" t="n">
        <v>1</v>
      </c>
      <c r="I467" s="265" t="n">
        <v>5.418</v>
      </c>
      <c r="J467" s="214" t="n"/>
      <c r="K467" s="208" t="n"/>
      <c r="L467" s="424" t="n"/>
      <c r="M467" s="961" t="n"/>
      <c r="N467" s="214" t="n"/>
    </row>
    <row r="468">
      <c r="A468" s="207" t="n">
        <v>797174</v>
      </c>
      <c r="B468" s="209" t="inlineStr">
        <is>
          <t>GriPPer Ad H DoPPio Spessore - 25X38mm</t>
        </is>
      </c>
      <c r="C468" s="207" t="n">
        <v>100</v>
      </c>
      <c r="D468" s="960" t="n">
        <v>0.2545</v>
      </c>
      <c r="E468" s="214" t="n"/>
      <c r="F468" s="267" t="n">
        <v>112336</v>
      </c>
      <c r="G468" s="263" t="inlineStr">
        <is>
          <t>Forex verticale formato UNI A3</t>
        </is>
      </c>
      <c r="H468" s="264" t="n">
        <v>1</v>
      </c>
      <c r="I468" s="265" t="n">
        <v>6.612</v>
      </c>
      <c r="J468" s="214" t="n"/>
      <c r="K468" s="208" t="n"/>
      <c r="L468" s="424" t="n"/>
      <c r="M468" s="961" t="n"/>
      <c r="N468" s="214" t="n"/>
    </row>
    <row r="469">
      <c r="A469" s="207" t="n">
        <v>797133</v>
      </c>
      <c r="B469" s="209" t="inlineStr">
        <is>
          <t>Pinza Giunzione 25 X 20 mm - 90°</t>
        </is>
      </c>
      <c r="C469" s="207" t="n">
        <v>100</v>
      </c>
      <c r="D469" s="960" t="n">
        <v>0.101</v>
      </c>
      <c r="E469" s="214" t="n"/>
      <c r="F469" s="267" t="n">
        <v>112340</v>
      </c>
      <c r="G469" s="263" t="inlineStr">
        <is>
          <t>Porta brochures formato UNI A4</t>
        </is>
      </c>
      <c r="H469" s="264" t="n">
        <v>1</v>
      </c>
      <c r="I469" s="265" t="n">
        <v>14.882</v>
      </c>
      <c r="J469" s="214" t="n"/>
      <c r="K469" s="208" t="n"/>
      <c r="L469" s="424" t="n"/>
      <c r="M469" s="961" t="n"/>
      <c r="N469" s="214" t="n"/>
    </row>
    <row r="470" ht="12.75" customHeight="1">
      <c r="A470" s="207" t="n">
        <v>797134</v>
      </c>
      <c r="B470" s="209" t="inlineStr">
        <is>
          <t>Pinza Giunzione 25 X 20 mm - 60°</t>
        </is>
      </c>
      <c r="C470" s="209" t="n">
        <v>100</v>
      </c>
      <c r="D470" s="960" t="n">
        <v>0.101</v>
      </c>
      <c r="E470" s="215" t="n"/>
      <c r="F470" s="267" t="n">
        <v>112341</v>
      </c>
      <c r="G470" s="263" t="inlineStr">
        <is>
          <t>Porta brochures formato 1/3 UNI A4</t>
        </is>
      </c>
      <c r="H470" s="264" t="n">
        <v>1</v>
      </c>
      <c r="I470" s="265" t="n">
        <v>13.889</v>
      </c>
      <c r="J470" s="215" t="n"/>
      <c r="K470" s="209" t="n"/>
      <c r="L470" s="425" t="n"/>
      <c r="M470" s="962" t="n"/>
      <c r="N470" s="215" t="n"/>
    </row>
    <row r="471" ht="12.75" customHeight="1">
      <c r="A471" s="207" t="n">
        <v>950750</v>
      </c>
      <c r="B471" s="209" t="inlineStr">
        <is>
          <t>Profilo Articolato 2 Adesivi 75 mm</t>
        </is>
      </c>
      <c r="C471" s="209" t="n">
        <v>100</v>
      </c>
      <c r="D471" s="960" t="n">
        <v>0.3626</v>
      </c>
      <c r="E471" s="215" t="n"/>
      <c r="F471" s="267" t="n">
        <v>112345</v>
      </c>
      <c r="G471" s="263" t="inlineStr">
        <is>
          <t>Lastra di rinforzo per ripiano superiore del promotable</t>
        </is>
      </c>
      <c r="H471" s="264" t="n">
        <v>1</v>
      </c>
      <c r="I471" s="265" t="n">
        <v>34.324</v>
      </c>
      <c r="J471" s="215" t="n"/>
      <c r="K471" s="209" t="n"/>
      <c r="L471" s="425" t="n"/>
      <c r="M471" s="962" t="n"/>
      <c r="N471" s="215" t="n"/>
    </row>
    <row r="472">
      <c r="A472" s="209" t="n">
        <v>2015</v>
      </c>
      <c r="B472" s="209" t="inlineStr">
        <is>
          <t>Fissagio Murale A Fessura - 4mm</t>
        </is>
      </c>
      <c r="C472" s="209" t="n">
        <v>1</v>
      </c>
      <c r="D472" s="960" t="n">
        <v>3.8862</v>
      </c>
      <c r="E472" s="215" t="n"/>
      <c r="F472" s="267" t="n">
        <v>112370</v>
      </c>
      <c r="G472" s="263" t="inlineStr">
        <is>
          <t>Tower da terra con 1 bocca di presa</t>
        </is>
      </c>
      <c r="H472" s="264" t="n">
        <v>1</v>
      </c>
      <c r="I472" s="265" t="n">
        <v>120.895</v>
      </c>
      <c r="J472" s="215" t="n"/>
      <c r="K472" s="209" t="n"/>
      <c r="L472" s="425" t="n"/>
      <c r="M472" s="962" t="n"/>
      <c r="N472" s="215" t="n"/>
    </row>
    <row r="473" ht="12.75" customHeight="1">
      <c r="A473" s="207" t="n">
        <v>2020</v>
      </c>
      <c r="B473" s="209" t="inlineStr">
        <is>
          <t>Fissagio Murale A Fessura - 8mm</t>
        </is>
      </c>
      <c r="C473" s="209" t="n">
        <v>1</v>
      </c>
      <c r="D473" s="960" t="n">
        <v>3.5329</v>
      </c>
      <c r="E473" s="215" t="n"/>
      <c r="F473" s="267" t="n">
        <v>112371</v>
      </c>
      <c r="G473" s="263" t="inlineStr">
        <is>
          <t>Tower da terra con 2 bocche di presa</t>
        </is>
      </c>
      <c r="H473" s="264" t="n">
        <v>1</v>
      </c>
      <c r="I473" s="265" t="n">
        <v>137.216</v>
      </c>
      <c r="J473" s="215" t="n"/>
      <c r="K473" s="209" t="n"/>
      <c r="L473" s="425" t="n"/>
      <c r="M473" s="962" t="n"/>
      <c r="N473" s="215" t="n"/>
    </row>
    <row r="474" ht="12.75" customHeight="1">
      <c r="A474" s="207" t="n">
        <v>2022</v>
      </c>
      <c r="B474" s="209" t="inlineStr">
        <is>
          <t>Fissagio Murale Perforato - 18,5mm</t>
        </is>
      </c>
      <c r="C474" s="209" t="n">
        <v>1</v>
      </c>
      <c r="D474" s="960" t="n">
        <v>3.5329</v>
      </c>
      <c r="E474" s="215" t="n"/>
      <c r="F474" s="267" t="n">
        <v>112380</v>
      </c>
      <c r="G474" s="263" t="inlineStr">
        <is>
          <t>Easy roll 80 alluminio cm. 80x200 monofacciale</t>
        </is>
      </c>
      <c r="H474" s="264" t="n">
        <v>1</v>
      </c>
      <c r="I474" s="265" t="n">
        <v>38.999</v>
      </c>
      <c r="J474" s="215" t="n"/>
      <c r="K474" s="209" t="n"/>
      <c r="L474" s="425" t="n"/>
      <c r="M474" s="962" t="n"/>
      <c r="N474" s="215" t="n"/>
    </row>
    <row r="475" ht="12.75" customHeight="1">
      <c r="A475" s="207" t="inlineStr">
        <is>
          <t>CLES2MM</t>
        </is>
      </c>
      <c r="B475" s="209" t="inlineStr">
        <is>
          <t>Chiave Allen</t>
        </is>
      </c>
      <c r="C475" s="209" t="n">
        <v>1</v>
      </c>
      <c r="D475" s="960" t="n">
        <v>0.103</v>
      </c>
      <c r="E475" s="215" t="n"/>
      <c r="F475" s="267" t="n">
        <v>112381</v>
      </c>
      <c r="G475" s="263" t="inlineStr">
        <is>
          <t>Easy roll 85 alluminio cm. 85x200 bifacciale</t>
        </is>
      </c>
      <c r="H475" s="264" t="n">
        <v>1</v>
      </c>
      <c r="I475" s="265" t="n">
        <v>84.158</v>
      </c>
      <c r="J475" s="215" t="n"/>
      <c r="K475" s="209" t="n"/>
      <c r="L475" s="425" t="n"/>
      <c r="M475" s="962" t="n"/>
      <c r="N475" s="215" t="n"/>
    </row>
    <row r="476">
      <c r="A476" s="207" t="n">
        <v>1305</v>
      </c>
      <c r="B476" s="209" t="inlineStr">
        <is>
          <t>Coprivite Argentato - 13mm</t>
        </is>
      </c>
      <c r="C476" s="207" t="n">
        <v>1</v>
      </c>
      <c r="D476" s="960" t="n">
        <v>1.3905</v>
      </c>
      <c r="E476" s="214" t="n"/>
      <c r="F476" s="267" t="n">
        <v>112382</v>
      </c>
      <c r="G476" s="263" t="inlineStr">
        <is>
          <t>Easy roll 100 alluminio cm. 100x200 monofacciale</t>
        </is>
      </c>
      <c r="H476" s="264" t="n">
        <v>1</v>
      </c>
      <c r="I476" s="265" t="n">
        <v>46.699</v>
      </c>
      <c r="J476" s="214" t="n"/>
      <c r="K476" s="208" t="n"/>
      <c r="L476" s="424" t="n"/>
      <c r="M476" s="961" t="n"/>
      <c r="N476" s="214" t="n"/>
    </row>
    <row r="477" ht="12.75" customHeight="1">
      <c r="A477" s="207" t="n">
        <v>2507</v>
      </c>
      <c r="B477" s="209" t="inlineStr">
        <is>
          <t>Coprivite Argentato - 24,5mm</t>
        </is>
      </c>
      <c r="C477" s="207" t="n">
        <v>1</v>
      </c>
      <c r="D477" s="960" t="n">
        <v>1.8025</v>
      </c>
      <c r="E477" s="215" t="n"/>
      <c r="F477" s="267" t="n">
        <v>112384</v>
      </c>
      <c r="G477" s="263" t="inlineStr">
        <is>
          <t>Big roll 150 alluminio cm. 150x200 monofacciale</t>
        </is>
      </c>
      <c r="H477" s="264" t="n">
        <v>1</v>
      </c>
      <c r="I477" s="265" t="n">
        <v>87.26300000000001</v>
      </c>
      <c r="J477" s="215" t="n"/>
      <c r="K477" s="208" t="n"/>
      <c r="L477" s="424" t="n"/>
      <c r="M477" s="961" t="n"/>
      <c r="N477" s="215" t="n"/>
    </row>
    <row r="478">
      <c r="A478" s="209" t="n">
        <v>172159</v>
      </c>
      <c r="B478" s="209" t="inlineStr">
        <is>
          <t>Catena A Pallini 50 M - Ø 2,4mm</t>
        </is>
      </c>
      <c r="C478" s="209" t="n">
        <v>50</v>
      </c>
      <c r="D478" s="960" t="n">
        <v>0.5493</v>
      </c>
      <c r="E478" s="215" t="n"/>
      <c r="F478" s="267" t="n">
        <v>112388</v>
      </c>
      <c r="G478" s="263" t="inlineStr">
        <is>
          <t>Easy roll 85 alluminio cm. 85x200 monofacciale</t>
        </is>
      </c>
      <c r="H478" s="264" t="n">
        <v>1</v>
      </c>
      <c r="I478" s="265" t="n">
        <v>39.992</v>
      </c>
      <c r="J478" s="215" t="n"/>
      <c r="K478" s="209" t="n"/>
      <c r="L478" s="425" t="n"/>
      <c r="M478" s="962" t="n"/>
      <c r="N478" s="215" t="n"/>
    </row>
    <row r="479" ht="12.75" customHeight="1">
      <c r="A479" s="207" t="n">
        <v>172161</v>
      </c>
      <c r="B479" s="209" t="inlineStr">
        <is>
          <t>Catena A Pallini 50 M - Ø 3,2mm</t>
        </is>
      </c>
      <c r="C479" s="209" t="n">
        <v>50</v>
      </c>
      <c r="D479" s="960" t="n">
        <v>0.721</v>
      </c>
      <c r="E479" s="215" t="n"/>
      <c r="F479" s="267" t="n">
        <v>112392</v>
      </c>
      <c r="G479" s="263" t="inlineStr">
        <is>
          <t>Strong roll 85 - struttura</t>
        </is>
      </c>
      <c r="H479" s="264" t="n">
        <v>1</v>
      </c>
      <c r="I479" s="265" t="n">
        <v>84.158</v>
      </c>
      <c r="J479" s="215" t="n"/>
      <c r="K479" s="209" t="n"/>
      <c r="L479" s="425" t="n"/>
      <c r="M479" s="962" t="n"/>
      <c r="N479" s="215" t="n"/>
    </row>
    <row r="480">
      <c r="A480" s="209" t="n">
        <v>172174</v>
      </c>
      <c r="B480" s="209" t="inlineStr">
        <is>
          <t>Braccialetto A Pallini 100 mm - Ø 2,4mm</t>
        </is>
      </c>
      <c r="C480" s="209" t="n">
        <v>100</v>
      </c>
      <c r="D480" s="960" t="n">
        <v>0.0549</v>
      </c>
      <c r="E480" s="215" t="n"/>
      <c r="F480" s="267" t="n">
        <v>112393</v>
      </c>
      <c r="G480" s="263" t="inlineStr">
        <is>
          <t>Easy roll 100 alluminio cm. 100x200 BIfacciale</t>
        </is>
      </c>
      <c r="H480" s="264" t="n">
        <v>1</v>
      </c>
      <c r="I480" s="265" t="n">
        <v>76.557</v>
      </c>
      <c r="J480" s="215" t="n"/>
      <c r="K480" s="209" t="n"/>
      <c r="L480" s="425" t="n"/>
      <c r="M480" s="962" t="n"/>
      <c r="N480" s="215" t="n"/>
    </row>
    <row r="481" ht="12.75" customHeight="1">
      <c r="A481" s="207" t="n">
        <v>172165</v>
      </c>
      <c r="B481" s="209" t="inlineStr">
        <is>
          <t>Braccialetto A Pallini 150 mm - Ø 2,4mm</t>
        </is>
      </c>
      <c r="C481" s="209" t="n">
        <v>100</v>
      </c>
      <c r="D481" s="960" t="n">
        <v>0.0907</v>
      </c>
      <c r="E481" s="215" t="n"/>
      <c r="F481" s="267" t="n">
        <v>112397</v>
      </c>
      <c r="G481" s="263" t="inlineStr">
        <is>
          <t>Paretina telescopica alluminio</t>
        </is>
      </c>
      <c r="H481" s="264" t="n">
        <v>1</v>
      </c>
      <c r="I481" s="265" t="n">
        <v>230.812</v>
      </c>
      <c r="J481" s="215" t="n"/>
      <c r="K481" s="209" t="n"/>
      <c r="L481" s="425" t="n"/>
      <c r="M481" s="962" t="n"/>
      <c r="N481" s="215" t="n"/>
    </row>
    <row r="482">
      <c r="A482" s="207" t="n">
        <v>172175</v>
      </c>
      <c r="B482" s="209" t="inlineStr">
        <is>
          <t>Braccialetto A Pallini 220 mm - Ø 2,4mm</t>
        </is>
      </c>
      <c r="C482" s="207" t="n">
        <v>100</v>
      </c>
      <c r="D482" s="960" t="n">
        <v>0.133</v>
      </c>
      <c r="E482" s="214" t="n"/>
      <c r="F482" s="267" t="n">
        <v>112398</v>
      </c>
      <c r="G482" s="263" t="inlineStr">
        <is>
          <t>Paretina handy - struttura</t>
        </is>
      </c>
      <c r="H482" s="264" t="n">
        <v>1</v>
      </c>
      <c r="I482" s="265" t="n">
        <v>139.15</v>
      </c>
      <c r="J482" s="214" t="n"/>
      <c r="K482" s="208" t="n"/>
      <c r="L482" s="424" t="n"/>
      <c r="M482" s="961" t="n"/>
      <c r="N482" s="214" t="n"/>
    </row>
    <row r="483">
      <c r="A483" s="207" t="n">
        <v>172176</v>
      </c>
      <c r="B483" s="209" t="inlineStr">
        <is>
          <t>Braccialetto A Pallini 300 mm - Ø 2,4mm</t>
        </is>
      </c>
      <c r="C483" s="207" t="n">
        <v>100</v>
      </c>
      <c r="D483" s="960" t="n">
        <v>0.1648</v>
      </c>
      <c r="E483" s="214" t="n"/>
      <c r="F483" s="267" t="n">
        <v>112470</v>
      </c>
      <c r="G483" s="263" t="inlineStr">
        <is>
          <t>Etichetta per porta biglietti da visita orizzontale da banco e da muro</t>
        </is>
      </c>
      <c r="H483" s="264" t="n">
        <v>100</v>
      </c>
      <c r="I483" s="265" t="n">
        <v>1.454</v>
      </c>
      <c r="J483" s="214" t="n"/>
      <c r="K483" s="208" t="n"/>
      <c r="L483" s="424" t="n"/>
      <c r="M483" s="961" t="n"/>
      <c r="N483" s="214" t="n"/>
    </row>
    <row r="484">
      <c r="A484" s="207" t="n">
        <v>172166</v>
      </c>
      <c r="B484" s="209" t="inlineStr">
        <is>
          <t>Braccialetto A Pallini 150 mm - Ø 3,2mm</t>
        </is>
      </c>
      <c r="C484" s="207" t="n">
        <v>100</v>
      </c>
      <c r="D484" s="960" t="n">
        <v>0.1545</v>
      </c>
      <c r="E484" s="214" t="n"/>
      <c r="F484" s="267" t="n">
        <v>112472</v>
      </c>
      <c r="G484" s="263" t="inlineStr">
        <is>
          <t>Etichetta per porta biglietti da visita verticale da banco e da muro</t>
        </is>
      </c>
      <c r="H484" s="264" t="n">
        <v>100</v>
      </c>
      <c r="I484" s="265" t="n">
        <v>1.454</v>
      </c>
      <c r="J484" s="214" t="n"/>
      <c r="K484" s="208" t="n"/>
      <c r="L484" s="424" t="n"/>
      <c r="M484" s="961" t="n"/>
      <c r="N484" s="214" t="n"/>
    </row>
    <row r="485">
      <c r="A485" s="207" t="n">
        <v>172168</v>
      </c>
      <c r="B485" s="209" t="inlineStr">
        <is>
          <t>Braccialetto A Pallini 200 mm - Ø 3,2mm</t>
        </is>
      </c>
      <c r="C485" s="207" t="n">
        <v>100</v>
      </c>
      <c r="D485" s="960" t="n">
        <v>0.206</v>
      </c>
      <c r="E485" s="214" t="n"/>
      <c r="F485" s="267" t="n">
        <v>112500</v>
      </c>
      <c r="G485" s="263" t="inlineStr">
        <is>
          <t>Broche singola in plastica per pannelli forati bianca mm. 50</t>
        </is>
      </c>
      <c r="H485" s="264" t="n">
        <v>1000</v>
      </c>
      <c r="I485" s="265" t="n">
        <v>0.122</v>
      </c>
      <c r="J485" s="214" t="n"/>
      <c r="K485" s="208" t="n"/>
      <c r="L485" s="424" t="n"/>
      <c r="M485" s="961" t="n"/>
      <c r="N485" s="214" t="n"/>
    </row>
    <row r="486">
      <c r="A486" s="207" t="n">
        <v>172170</v>
      </c>
      <c r="B486" s="209" t="inlineStr">
        <is>
          <t>Braccialetto A Pallini 300 mm - Ø 3,2mm</t>
        </is>
      </c>
      <c r="C486" s="207" t="n">
        <v>100</v>
      </c>
      <c r="D486" s="960" t="n">
        <v>0.309</v>
      </c>
      <c r="E486" s="214" t="n"/>
      <c r="F486" s="267" t="n">
        <v>112501</v>
      </c>
      <c r="G486" s="263" t="inlineStr">
        <is>
          <t>Broche singola in plastica per pannelli forati bianca mm. 100</t>
        </is>
      </c>
      <c r="H486" s="264" t="n">
        <v>1000</v>
      </c>
      <c r="I486" s="265" t="n">
        <v>0.141</v>
      </c>
      <c r="J486" s="214" t="n"/>
      <c r="K486" s="208" t="n"/>
      <c r="L486" s="424" t="n"/>
      <c r="M486" s="961" t="n"/>
      <c r="N486" s="214" t="n"/>
    </row>
    <row r="487">
      <c r="A487" s="207" t="n">
        <v>172163</v>
      </c>
      <c r="B487" s="209" t="inlineStr">
        <is>
          <t>Fermo Per Catena A Pallini - Ø 2,4mm</t>
        </is>
      </c>
      <c r="C487" s="207" t="n">
        <v>100</v>
      </c>
      <c r="D487" s="960" t="n">
        <v>0.0392</v>
      </c>
      <c r="E487" s="214" t="n"/>
      <c r="F487" s="267" t="n">
        <v>112502</v>
      </c>
      <c r="G487" s="263" t="inlineStr">
        <is>
          <t>Broche singola in plastica per pannelli forati bianca mm. 150</t>
        </is>
      </c>
      <c r="H487" s="264" t="n">
        <v>1000</v>
      </c>
      <c r="I487" s="265" t="n">
        <v>0.154</v>
      </c>
      <c r="J487" s="214" t="n"/>
      <c r="K487" s="208" t="n"/>
      <c r="L487" s="424" t="n"/>
      <c r="M487" s="961" t="n"/>
      <c r="N487" s="214" t="n"/>
    </row>
    <row r="488">
      <c r="A488" s="207" t="n">
        <v>172162</v>
      </c>
      <c r="B488" s="209" t="inlineStr">
        <is>
          <t>Fermo Per Catena A Pallini - Ø 3,2mm</t>
        </is>
      </c>
      <c r="C488" s="207" t="n">
        <v>100</v>
      </c>
      <c r="D488" s="960" t="n">
        <v>0.0392</v>
      </c>
      <c r="E488" s="214" t="n"/>
      <c r="F488" s="267" t="n">
        <v>112503</v>
      </c>
      <c r="G488" s="263" t="inlineStr">
        <is>
          <t>Broche singola in plastica per pannelli forati bianca mm. 200</t>
        </is>
      </c>
      <c r="H488" s="264" t="n">
        <v>1000</v>
      </c>
      <c r="I488" s="265" t="n">
        <v>0.17</v>
      </c>
      <c r="J488" s="214" t="n"/>
      <c r="K488" s="208" t="n"/>
      <c r="L488" s="424" t="n"/>
      <c r="M488" s="961" t="n"/>
      <c r="N488" s="214" t="n"/>
    </row>
    <row r="489">
      <c r="A489" s="207" t="n">
        <v>172180</v>
      </c>
      <c r="B489" s="209" t="inlineStr">
        <is>
          <t>Fermaglio Per Catena A Pallini - Ø 2,4mm</t>
        </is>
      </c>
      <c r="C489" s="207" t="n">
        <v>100</v>
      </c>
      <c r="D489" s="960" t="n">
        <v>0.0423</v>
      </c>
      <c r="E489" s="214" t="n"/>
      <c r="F489" s="267" t="n">
        <v>112504</v>
      </c>
      <c r="G489" s="263" t="inlineStr">
        <is>
          <t>Broche singola in plastica per pannelli forati bianca mm. 250</t>
        </is>
      </c>
      <c r="H489" s="264" t="n">
        <v>1000</v>
      </c>
      <c r="I489" s="265" t="n">
        <v>0.189</v>
      </c>
      <c r="J489" s="214" t="n"/>
      <c r="K489" s="208" t="n"/>
      <c r="L489" s="424" t="n"/>
      <c r="M489" s="961" t="n"/>
      <c r="N489" s="214" t="n"/>
    </row>
    <row r="490">
      <c r="A490" s="207" t="n">
        <v>172181</v>
      </c>
      <c r="B490" s="209" t="inlineStr">
        <is>
          <t>Fermaglio Per Catena A Pallini - Ø 3,2mm</t>
        </is>
      </c>
      <c r="C490" s="207" t="n">
        <v>100</v>
      </c>
      <c r="D490" s="960" t="n">
        <v>0.0402</v>
      </c>
      <c r="E490" s="214" t="n"/>
      <c r="F490" s="267" t="n">
        <v>112510</v>
      </c>
      <c r="G490" s="263" t="inlineStr">
        <is>
          <t>Broche singola in plastica per pannelli forati nera mm. 50</t>
        </is>
      </c>
      <c r="H490" s="264" t="n">
        <v>1000</v>
      </c>
      <c r="I490" s="265" t="n">
        <v>0.138</v>
      </c>
      <c r="J490" s="214" t="n"/>
      <c r="K490" s="208" t="n"/>
      <c r="L490" s="424" t="n"/>
      <c r="M490" s="961" t="n"/>
      <c r="N490" s="214" t="n"/>
    </row>
    <row r="491">
      <c r="A491" s="207" t="n">
        <v>797881</v>
      </c>
      <c r="B491" s="209" t="inlineStr">
        <is>
          <t>Legame In Nylon Pieno 75mm</t>
        </is>
      </c>
      <c r="C491" s="207" t="n">
        <v>100</v>
      </c>
      <c r="D491" s="960" t="n">
        <v>0.0243</v>
      </c>
      <c r="E491" s="214" t="n"/>
      <c r="F491" s="267" t="n">
        <v>112511</v>
      </c>
      <c r="G491" s="263" t="inlineStr">
        <is>
          <t>Broche singola in plastica per pannelli forati nera mm. 100</t>
        </is>
      </c>
      <c r="H491" s="264" t="n">
        <v>1000</v>
      </c>
      <c r="I491" s="265" t="n">
        <v>0.154</v>
      </c>
      <c r="J491" s="214" t="n"/>
      <c r="K491" s="208" t="n"/>
      <c r="L491" s="424" t="n"/>
      <c r="M491" s="961" t="n"/>
      <c r="N491" s="214" t="n"/>
    </row>
    <row r="492">
      <c r="A492" s="207" t="n">
        <v>797782</v>
      </c>
      <c r="B492" s="209" t="inlineStr">
        <is>
          <t>Legame In Nylon Pieno 100mm</t>
        </is>
      </c>
      <c r="C492" s="207" t="n">
        <v>100</v>
      </c>
      <c r="D492" s="960" t="n">
        <v>0.0248</v>
      </c>
      <c r="E492" s="214" t="n"/>
      <c r="F492" s="267" t="n">
        <v>112512</v>
      </c>
      <c r="G492" s="263" t="inlineStr">
        <is>
          <t>Broche singola in plastica per pannelli forati nera mm. 150</t>
        </is>
      </c>
      <c r="H492" s="264" t="n">
        <v>1000</v>
      </c>
      <c r="I492" s="265" t="n">
        <v>0.169</v>
      </c>
      <c r="J492" s="214" t="n"/>
      <c r="K492" s="208" t="n"/>
      <c r="L492" s="424" t="n"/>
      <c r="M492" s="961" t="n"/>
      <c r="N492" s="214" t="n"/>
    </row>
    <row r="493">
      <c r="A493" s="207" t="n">
        <v>797882</v>
      </c>
      <c r="B493" s="209" t="inlineStr">
        <is>
          <t>Legame In Nylon Pieno 135mm</t>
        </is>
      </c>
      <c r="C493" s="207" t="n">
        <v>100</v>
      </c>
      <c r="D493" s="960" t="n">
        <v>0.0351</v>
      </c>
      <c r="E493" s="214" t="n"/>
      <c r="F493" s="267" t="n">
        <v>112513</v>
      </c>
      <c r="G493" s="263" t="inlineStr">
        <is>
          <t>Broche singola in plastica per pannelli forati nera mm. 200</t>
        </is>
      </c>
      <c r="H493" s="264" t="n">
        <v>1000</v>
      </c>
      <c r="I493" s="265" t="n">
        <v>0.187</v>
      </c>
      <c r="J493" s="214" t="n"/>
      <c r="K493" s="208" t="n"/>
      <c r="L493" s="424" t="n"/>
      <c r="M493" s="961" t="n"/>
      <c r="N493" s="214" t="n"/>
    </row>
    <row r="494">
      <c r="A494" s="209" t="n">
        <v>797883</v>
      </c>
      <c r="B494" s="209" t="inlineStr">
        <is>
          <t>Legame In Nylon Pieno 160mm</t>
        </is>
      </c>
      <c r="C494" s="209" t="n">
        <v>100</v>
      </c>
      <c r="D494" s="960" t="n">
        <v>0.0361</v>
      </c>
      <c r="E494" s="215" t="n"/>
      <c r="F494" s="267" t="n">
        <v>112514</v>
      </c>
      <c r="G494" s="263" t="inlineStr">
        <is>
          <t>Broche singola in plastica per pannelli forati nera mm. 250</t>
        </is>
      </c>
      <c r="H494" s="264" t="n">
        <v>1000</v>
      </c>
      <c r="I494" s="265" t="n">
        <v>0.208</v>
      </c>
      <c r="J494" s="215" t="n"/>
      <c r="K494" s="209" t="n"/>
      <c r="L494" s="425" t="n"/>
      <c r="M494" s="962" t="n"/>
      <c r="N494" s="215" t="n"/>
    </row>
    <row r="495">
      <c r="A495" s="207" t="n">
        <v>797884</v>
      </c>
      <c r="B495" s="209" t="inlineStr">
        <is>
          <t>Legame In Nylon Pieno 200mm</t>
        </is>
      </c>
      <c r="C495" s="207" t="n">
        <v>100</v>
      </c>
      <c r="D495" s="960" t="n">
        <v>0.0371</v>
      </c>
      <c r="E495" s="214" t="n"/>
      <c r="F495" s="267" t="n">
        <v>112520</v>
      </c>
      <c r="G495" s="263" t="inlineStr">
        <is>
          <t>Broche singola in plastica per pannelli dogati bianca mm. 50</t>
        </is>
      </c>
      <c r="H495" s="264" t="n">
        <v>1000</v>
      </c>
      <c r="I495" s="265" t="n">
        <v>0.157</v>
      </c>
      <c r="J495" s="214" t="n"/>
      <c r="K495" s="208" t="n"/>
      <c r="L495" s="424" t="n"/>
      <c r="M495" s="961" t="n"/>
      <c r="N495" s="214" t="n"/>
    </row>
    <row r="496">
      <c r="A496" s="209" t="n">
        <v>797885</v>
      </c>
      <c r="B496" s="209" t="inlineStr">
        <is>
          <t>Legame In Nylon Pieno 300mm</t>
        </is>
      </c>
      <c r="C496" s="209" t="n">
        <v>100</v>
      </c>
      <c r="D496" s="960" t="n">
        <v>0.0454</v>
      </c>
      <c r="E496" s="215" t="n"/>
      <c r="F496" s="267" t="n">
        <v>112521</v>
      </c>
      <c r="G496" s="263" t="inlineStr">
        <is>
          <t>Broche singola in plastica per pannelli dogati bianca mm. 100</t>
        </is>
      </c>
      <c r="H496" s="264" t="n">
        <v>1000</v>
      </c>
      <c r="I496" s="265" t="n">
        <v>0.176</v>
      </c>
      <c r="J496" s="215" t="n"/>
      <c r="K496" s="209" t="n"/>
      <c r="L496" s="425" t="n"/>
      <c r="M496" s="962" t="n"/>
      <c r="N496" s="215" t="n"/>
    </row>
    <row r="497">
      <c r="A497" s="207" t="n">
        <v>797886</v>
      </c>
      <c r="B497" s="209" t="inlineStr">
        <is>
          <t>Legame In Nylon Pieno 370mm</t>
        </is>
      </c>
      <c r="C497" s="207" t="n">
        <v>100</v>
      </c>
      <c r="D497" s="960" t="n">
        <v>0.0701</v>
      </c>
      <c r="E497" s="214" t="n"/>
      <c r="F497" s="267" t="n">
        <v>112522</v>
      </c>
      <c r="G497" s="263" t="inlineStr">
        <is>
          <t>Broche singola in plastica per pannelli dogati bianca mm. 150</t>
        </is>
      </c>
      <c r="H497" s="264" t="n">
        <v>1000</v>
      </c>
      <c r="I497" s="265" t="n">
        <v>0.191</v>
      </c>
      <c r="J497" s="214" t="n"/>
      <c r="K497" s="208" t="n"/>
      <c r="L497" s="424" t="n"/>
      <c r="M497" s="961" t="n"/>
      <c r="N497" s="214" t="n"/>
    </row>
    <row r="498">
      <c r="A498" s="209" t="n">
        <v>797794</v>
      </c>
      <c r="B498" s="209" t="inlineStr">
        <is>
          <t>Maxi Legame In Nylon Pieno 460mm</t>
        </is>
      </c>
      <c r="C498" s="209" t="n">
        <v>100</v>
      </c>
      <c r="D498" s="960" t="n">
        <v>0.2009</v>
      </c>
      <c r="E498" s="215" t="n"/>
      <c r="F498" s="267" t="n">
        <v>112523</v>
      </c>
      <c r="G498" s="263" t="inlineStr">
        <is>
          <t>Broche singola in plastica per pannelli dogati bianca mm. 200</t>
        </is>
      </c>
      <c r="H498" s="264" t="n">
        <v>1000</v>
      </c>
      <c r="I498" s="265" t="n">
        <v>0.201</v>
      </c>
      <c r="J498" s="215" t="n"/>
      <c r="K498" s="209" t="n"/>
      <c r="L498" s="425" t="n"/>
      <c r="M498" s="962" t="n"/>
      <c r="N498" s="215" t="n"/>
    </row>
    <row r="499">
      <c r="A499" s="207" t="n">
        <v>797890</v>
      </c>
      <c r="B499" s="209" t="inlineStr">
        <is>
          <t>Maxi Legame In Nylon Pieno 540mm</t>
        </is>
      </c>
      <c r="C499" s="207" t="n">
        <v>100</v>
      </c>
      <c r="D499" s="960" t="n">
        <v>0.2009</v>
      </c>
      <c r="E499" s="214" t="n"/>
      <c r="F499" s="267" t="n">
        <v>112524</v>
      </c>
      <c r="G499" s="263" t="inlineStr">
        <is>
          <t>Broche singola in plastica per pannelli dogati bianca mm. 250</t>
        </is>
      </c>
      <c r="H499" s="264" t="n">
        <v>1000</v>
      </c>
      <c r="I499" s="265" t="n">
        <v>0.24</v>
      </c>
      <c r="J499" s="214" t="n"/>
      <c r="K499" s="208" t="n"/>
      <c r="L499" s="424" t="n"/>
      <c r="M499" s="961" t="n"/>
      <c r="N499" s="214" t="n"/>
    </row>
    <row r="500">
      <c r="A500" s="209" t="n">
        <v>797891</v>
      </c>
      <c r="B500" s="209" t="inlineStr">
        <is>
          <t>Maxi Legame In Nylon Pieno 615mm</t>
        </is>
      </c>
      <c r="C500" s="209" t="n">
        <v>100</v>
      </c>
      <c r="D500" s="960" t="n">
        <v>0.3502</v>
      </c>
      <c r="E500" s="215" t="n"/>
      <c r="F500" s="267" t="n">
        <v>112530</v>
      </c>
      <c r="G500" s="263" t="inlineStr">
        <is>
          <t>Broche singola in plastica per pannelli dogati nera mm. 50</t>
        </is>
      </c>
      <c r="H500" s="264" t="n">
        <v>1000</v>
      </c>
      <c r="I500" s="265" t="n">
        <v>0.173</v>
      </c>
      <c r="J500" s="215" t="n"/>
      <c r="K500" s="209" t="n"/>
      <c r="L500" s="425" t="n"/>
      <c r="M500" s="962" t="n"/>
      <c r="N500" s="215" t="n"/>
    </row>
    <row r="501">
      <c r="A501" s="207" t="n">
        <v>797892</v>
      </c>
      <c r="B501" s="209" t="inlineStr">
        <is>
          <t>Maxi Legame In Nylon Pieno 780mm</t>
        </is>
      </c>
      <c r="C501" s="207" t="n">
        <v>100</v>
      </c>
      <c r="D501" s="960" t="n">
        <v>0.3605</v>
      </c>
      <c r="E501" s="214" t="n"/>
      <c r="F501" s="267" t="n">
        <v>112531</v>
      </c>
      <c r="G501" s="263" t="inlineStr">
        <is>
          <t>Broche singola in plastica per pannelli dogati nera mm. 100</t>
        </is>
      </c>
      <c r="H501" s="264" t="n">
        <v>1000</v>
      </c>
      <c r="I501" s="265" t="n">
        <v>0.193</v>
      </c>
      <c r="J501" s="214" t="n"/>
      <c r="K501" s="208" t="n"/>
      <c r="L501" s="424" t="n"/>
      <c r="M501" s="961" t="n"/>
      <c r="N501" s="214" t="n"/>
    </row>
    <row r="502">
      <c r="A502" s="207" t="n">
        <v>797887</v>
      </c>
      <c r="B502" s="209" t="inlineStr">
        <is>
          <t>Legame In Nylon Nero 100mm</t>
        </is>
      </c>
      <c r="C502" s="207" t="n">
        <v>100</v>
      </c>
      <c r="D502" s="960" t="n">
        <v>0.0309</v>
      </c>
      <c r="E502" s="214" t="n"/>
      <c r="F502" s="267" t="n">
        <v>112532</v>
      </c>
      <c r="G502" s="263" t="inlineStr">
        <is>
          <t>Broche singola in plastica per pannelli dogati nera mm. 150</t>
        </is>
      </c>
      <c r="H502" s="264" t="n">
        <v>1000</v>
      </c>
      <c r="I502" s="265" t="n">
        <v>0.21</v>
      </c>
      <c r="J502" s="214" t="n"/>
      <c r="K502" s="208" t="n"/>
      <c r="L502" s="424" t="n"/>
      <c r="M502" s="961" t="n"/>
      <c r="N502" s="214" t="n"/>
    </row>
    <row r="503">
      <c r="A503" s="209" t="n">
        <v>797888</v>
      </c>
      <c r="B503" s="209" t="inlineStr">
        <is>
          <t>Legame In Nylon Nero 200mm</t>
        </is>
      </c>
      <c r="C503" s="209" t="n">
        <v>100</v>
      </c>
      <c r="D503" s="960" t="n">
        <v>0.0402</v>
      </c>
      <c r="E503" s="215" t="n"/>
      <c r="F503" s="267" t="n">
        <v>112533</v>
      </c>
      <c r="G503" s="263" t="inlineStr">
        <is>
          <t>Broche singola in plastica per pannelli dogati nera mm. 200</t>
        </is>
      </c>
      <c r="H503" s="264" t="n">
        <v>1000</v>
      </c>
      <c r="I503" s="265" t="n">
        <v>0.221</v>
      </c>
      <c r="J503" s="215" t="n"/>
      <c r="K503" s="209" t="n"/>
      <c r="L503" s="425" t="n"/>
      <c r="M503" s="962" t="n"/>
      <c r="N503" s="215" t="n"/>
    </row>
    <row r="504">
      <c r="A504" s="207" t="n">
        <v>797889</v>
      </c>
      <c r="B504" s="209" t="inlineStr">
        <is>
          <t>Legame In Nylon Nero 290mm</t>
        </is>
      </c>
      <c r="C504" s="207" t="n">
        <v>100</v>
      </c>
      <c r="D504" s="960" t="n">
        <v>0.0505</v>
      </c>
      <c r="E504" s="214" t="n"/>
      <c r="F504" s="267" t="n">
        <v>112534</v>
      </c>
      <c r="G504" s="263" t="inlineStr">
        <is>
          <t>Broche singola in plastica per pannelli dogati nera mm. 250</t>
        </is>
      </c>
      <c r="H504" s="264" t="n">
        <v>1000</v>
      </c>
      <c r="I504" s="265" t="n">
        <v>0.264</v>
      </c>
      <c r="J504" s="214" t="n"/>
      <c r="K504" s="208" t="n"/>
      <c r="L504" s="424" t="n"/>
      <c r="M504" s="961" t="n"/>
      <c r="N504" s="214" t="n"/>
    </row>
    <row r="505">
      <c r="A505" s="209" t="n">
        <v>792781</v>
      </c>
      <c r="B505" s="209" t="inlineStr">
        <is>
          <t>Fascetta A Perline  Lunghezza : 125mm</t>
        </is>
      </c>
      <c r="C505" s="209" t="n">
        <v>100</v>
      </c>
      <c r="D505" s="960" t="n">
        <v>3.61</v>
      </c>
      <c r="E505" s="215" t="n"/>
      <c r="F505" s="267" t="n">
        <v>112540</v>
      </c>
      <c r="G505" s="263" t="inlineStr">
        <is>
          <t>Broche doppia in plastica per pannelli forati bianca mm. 50</t>
        </is>
      </c>
      <c r="H505" s="264" t="n">
        <v>1000</v>
      </c>
      <c r="I505" s="265" t="n">
        <v>0.145</v>
      </c>
      <c r="J505" s="215" t="n"/>
      <c r="K505" s="209" t="n"/>
      <c r="L505" s="425" t="n"/>
      <c r="M505" s="962" t="n"/>
      <c r="N505" s="215" t="n"/>
    </row>
    <row r="506">
      <c r="A506" s="207" t="n">
        <v>792782</v>
      </c>
      <c r="B506" s="209" t="inlineStr">
        <is>
          <t>Fascetta A Perline  Lunghezza : 225mm</t>
        </is>
      </c>
      <c r="C506" s="207" t="n">
        <v>100</v>
      </c>
      <c r="D506" s="960" t="n">
        <v>0.0649</v>
      </c>
      <c r="E506" s="214" t="n"/>
      <c r="F506" s="267" t="n">
        <v>112541</v>
      </c>
      <c r="G506" s="263" t="inlineStr">
        <is>
          <t>Broche doppia in plastica per pannelli forati bianca mm. 100</t>
        </is>
      </c>
      <c r="H506" s="264" t="n">
        <v>1000</v>
      </c>
      <c r="I506" s="265" t="n">
        <v>0.17</v>
      </c>
      <c r="J506" s="214" t="n"/>
      <c r="K506" s="208" t="n"/>
      <c r="L506" s="424" t="n"/>
      <c r="M506" s="961" t="n"/>
      <c r="N506" s="214" t="n"/>
    </row>
    <row r="507">
      <c r="A507" s="209" t="n">
        <v>172173</v>
      </c>
      <c r="B507" s="209" t="inlineStr">
        <is>
          <t>Fibbia Di Fissaggio Trasparente</t>
        </is>
      </c>
      <c r="C507" s="209" t="n">
        <v>100</v>
      </c>
      <c r="D507" s="960" t="n">
        <v>0.0567</v>
      </c>
      <c r="E507" s="215" t="n"/>
      <c r="F507" s="267" t="n">
        <v>112542</v>
      </c>
      <c r="G507" s="263" t="inlineStr">
        <is>
          <t>Broche doppia in plastica per pannelli forati bianca mm. 150</t>
        </is>
      </c>
      <c r="H507" s="264" t="n">
        <v>1000</v>
      </c>
      <c r="I507" s="265" t="n">
        <v>0.198</v>
      </c>
      <c r="J507" s="215" t="n"/>
      <c r="K507" s="209" t="n"/>
      <c r="L507" s="425" t="n"/>
      <c r="M507" s="962" t="n"/>
      <c r="N507" s="215" t="n"/>
    </row>
    <row r="508">
      <c r="A508" s="207" t="n">
        <v>792293</v>
      </c>
      <c r="B508" s="209" t="inlineStr">
        <is>
          <t>Laccio In Filo Di Nylon 125 mm</t>
        </is>
      </c>
      <c r="C508" s="207" t="n">
        <v>500</v>
      </c>
      <c r="D508" s="960" t="n">
        <v>0.0112</v>
      </c>
      <c r="E508" s="214" t="n"/>
      <c r="F508" s="267" t="n">
        <v>112543</v>
      </c>
      <c r="G508" s="263" t="inlineStr">
        <is>
          <t>Broche doppia in plastica per pannelli forati bianca mm. 200</t>
        </is>
      </c>
      <c r="H508" s="264" t="n">
        <v>1000</v>
      </c>
      <c r="I508" s="265" t="n">
        <v>0.223</v>
      </c>
      <c r="J508" s="214" t="n"/>
      <c r="K508" s="208" t="n"/>
      <c r="L508" s="424" t="n"/>
      <c r="M508" s="961" t="n"/>
      <c r="N508" s="214" t="n"/>
    </row>
    <row r="509">
      <c r="A509" s="207" t="n">
        <v>792292</v>
      </c>
      <c r="B509" s="209" t="inlineStr">
        <is>
          <t>Laccio In Filo Di Nylon 125 mm</t>
        </is>
      </c>
      <c r="C509" s="207" t="n">
        <v>500</v>
      </c>
      <c r="D509" s="960" t="n">
        <v>0.0114</v>
      </c>
      <c r="E509" s="214" t="n"/>
      <c r="F509" s="267" t="n">
        <v>112544</v>
      </c>
      <c r="G509" s="263" t="inlineStr">
        <is>
          <t>Broche doppia in plastica per pannelli forati bianca mm. 250</t>
        </is>
      </c>
      <c r="H509" s="264" t="n">
        <v>1000</v>
      </c>
      <c r="I509" s="265" t="n">
        <v>0.246</v>
      </c>
      <c r="J509" s="214" t="n"/>
      <c r="K509" s="208" t="n"/>
      <c r="L509" s="424" t="n"/>
      <c r="M509" s="961" t="n"/>
      <c r="N509" s="214" t="n"/>
    </row>
    <row r="510">
      <c r="A510" s="207" t="n">
        <v>792391</v>
      </c>
      <c r="B510" s="209" t="inlineStr">
        <is>
          <t>Laccio In Filo Di Nylon 225 mm</t>
        </is>
      </c>
      <c r="C510" s="207" t="n">
        <v>500</v>
      </c>
      <c r="D510" s="960" t="n">
        <v>0.0128</v>
      </c>
      <c r="E510" s="214" t="n"/>
      <c r="F510" s="267" t="n">
        <v>112545</v>
      </c>
      <c r="G510" s="263" t="inlineStr">
        <is>
          <t>Broche doppia in plastica per pannelli forati bianca mm. 300</t>
        </is>
      </c>
      <c r="H510" s="264" t="n">
        <v>1000</v>
      </c>
      <c r="I510" s="265" t="n">
        <v>0.27</v>
      </c>
      <c r="J510" s="214" t="n"/>
      <c r="K510" s="208" t="n"/>
      <c r="L510" s="424" t="n"/>
      <c r="M510" s="961" t="n"/>
      <c r="N510" s="214" t="n"/>
    </row>
    <row r="511">
      <c r="A511" s="207" t="n">
        <v>797860</v>
      </c>
      <c r="B511" s="209" t="inlineStr">
        <is>
          <t>Legame Laccetto Bianco 120mm</t>
        </is>
      </c>
      <c r="C511" s="207" t="n">
        <v>500</v>
      </c>
      <c r="D511" s="960" t="n">
        <v>0.0168</v>
      </c>
      <c r="E511" s="214" t="n"/>
      <c r="F511" s="267" t="n">
        <v>112550</v>
      </c>
      <c r="G511" s="263" t="inlineStr">
        <is>
          <t>Broche doppia in plastica per pannelli forati nera mm. 50</t>
        </is>
      </c>
      <c r="H511" s="264" t="n">
        <v>1000</v>
      </c>
      <c r="I511" s="265" t="n">
        <v>0.159</v>
      </c>
      <c r="J511" s="214" t="n"/>
      <c r="K511" s="208" t="n"/>
      <c r="L511" s="424" t="n"/>
      <c r="M511" s="961" t="n"/>
      <c r="N511" s="214" t="n"/>
    </row>
    <row r="512">
      <c r="A512" s="207" t="n">
        <v>797861</v>
      </c>
      <c r="B512" s="209" t="inlineStr">
        <is>
          <t>Legame Laccetto Nero 120mm</t>
        </is>
      </c>
      <c r="C512" s="207" t="n">
        <v>500</v>
      </c>
      <c r="D512" s="960" t="n">
        <v>0.0168</v>
      </c>
      <c r="E512" s="214" t="n"/>
      <c r="F512" s="267" t="n">
        <v>112551</v>
      </c>
      <c r="G512" s="263" t="inlineStr">
        <is>
          <t>Broche doppia in plastica per pannelli forati nera mm. 100</t>
        </is>
      </c>
      <c r="H512" s="264" t="n">
        <v>1000</v>
      </c>
      <c r="I512" s="265" t="n">
        <v>0.187</v>
      </c>
      <c r="J512" s="214" t="n"/>
      <c r="K512" s="208" t="n"/>
      <c r="L512" s="424" t="n"/>
      <c r="M512" s="961" t="n"/>
      <c r="N512" s="214" t="n"/>
    </row>
    <row r="513">
      <c r="A513" s="207" t="n">
        <v>797862</v>
      </c>
      <c r="B513" s="209" t="inlineStr">
        <is>
          <t>Legame Laccetto Bianco 200mm</t>
        </is>
      </c>
      <c r="C513" s="207" t="n">
        <v>500</v>
      </c>
      <c r="D513" s="960" t="n">
        <v>0.0168</v>
      </c>
      <c r="E513" s="214" t="n"/>
      <c r="F513" s="267" t="n">
        <v>112552</v>
      </c>
      <c r="G513" s="263" t="inlineStr">
        <is>
          <t>Broche doppia in plastica per pannelli forati nera mm. 150</t>
        </is>
      </c>
      <c r="H513" s="264" t="n">
        <v>1000</v>
      </c>
      <c r="I513" s="265" t="n">
        <v>0.217</v>
      </c>
      <c r="J513" s="214" t="n"/>
      <c r="K513" s="208" t="n"/>
      <c r="L513" s="424" t="n"/>
      <c r="M513" s="961" t="n"/>
      <c r="N513" s="214" t="n"/>
    </row>
    <row r="514">
      <c r="A514" s="207" t="n">
        <v>797863</v>
      </c>
      <c r="B514" s="209" t="inlineStr">
        <is>
          <t>Legame Laccetto Nero 200mm</t>
        </is>
      </c>
      <c r="C514" s="207" t="n">
        <v>500</v>
      </c>
      <c r="D514" s="960" t="n">
        <v>0.0168</v>
      </c>
      <c r="E514" s="214" t="n"/>
      <c r="F514" s="267" t="n">
        <v>112553</v>
      </c>
      <c r="G514" s="263" t="inlineStr">
        <is>
          <t>Broche doppia in plastica per pannelli forati nera mm. 200</t>
        </is>
      </c>
      <c r="H514" s="264" t="n">
        <v>1000</v>
      </c>
      <c r="I514" s="265" t="n">
        <v>0.245</v>
      </c>
      <c r="J514" s="214" t="n"/>
      <c r="K514" s="208" t="n"/>
      <c r="L514" s="424" t="n"/>
      <c r="M514" s="961" t="n"/>
      <c r="N514" s="214" t="n"/>
    </row>
    <row r="515">
      <c r="A515" s="207" t="n">
        <v>797864</v>
      </c>
      <c r="B515" s="209" t="inlineStr">
        <is>
          <t>Legame Laccetto Bianco</t>
        </is>
      </c>
      <c r="C515" s="207" t="n">
        <v>1000</v>
      </c>
      <c r="D515" s="960" t="n">
        <v>0.102</v>
      </c>
      <c r="E515" s="214" t="n"/>
      <c r="F515" s="267" t="n">
        <v>112554</v>
      </c>
      <c r="G515" s="263" t="inlineStr">
        <is>
          <t>Broche doppia in plastica per pannelli forati nera mm. 250</t>
        </is>
      </c>
      <c r="H515" s="264" t="n">
        <v>1000</v>
      </c>
      <c r="I515" s="265" t="n">
        <v>0.271</v>
      </c>
      <c r="J515" s="214" t="n"/>
      <c r="K515" s="208" t="n"/>
      <c r="L515" s="424" t="n"/>
      <c r="M515" s="961" t="n"/>
      <c r="N515" s="214" t="n"/>
    </row>
    <row r="516">
      <c r="A516" s="207" t="n">
        <v>797865</v>
      </c>
      <c r="B516" s="209" t="inlineStr">
        <is>
          <t>Legame Laccetto Nero</t>
        </is>
      </c>
      <c r="C516" s="207" t="n">
        <v>1000</v>
      </c>
      <c r="D516" s="960" t="n">
        <v>0.102</v>
      </c>
      <c r="E516" s="214" t="n"/>
      <c r="F516" s="267" t="n">
        <v>112555</v>
      </c>
      <c r="G516" s="263" t="inlineStr">
        <is>
          <t>Broche doppia in plastica per pannelli forati nera mm. 300</t>
        </is>
      </c>
      <c r="H516" s="264" t="n">
        <v>1000</v>
      </c>
      <c r="I516" s="265" t="n">
        <v>0.297</v>
      </c>
      <c r="J516" s="214" t="n"/>
      <c r="K516" s="208" t="n"/>
      <c r="L516" s="424" t="n"/>
      <c r="M516" s="961" t="n"/>
      <c r="N516" s="214" t="n"/>
    </row>
    <row r="517">
      <c r="A517" s="207" t="n">
        <v>797866</v>
      </c>
      <c r="B517" s="209" t="inlineStr">
        <is>
          <t>Clip Di Perforazione</t>
        </is>
      </c>
      <c r="C517" s="207" t="n">
        <v>100</v>
      </c>
      <c r="D517" s="960" t="n">
        <v>0.0876</v>
      </c>
      <c r="E517" s="214" t="n"/>
      <c r="F517" s="267" t="n">
        <v>112560</v>
      </c>
      <c r="G517" s="263" t="inlineStr">
        <is>
          <t>Broche doppia in plastica per pannelli dogati bianca mm. 50</t>
        </is>
      </c>
      <c r="H517" s="264" t="n">
        <v>1000</v>
      </c>
      <c r="I517" s="265" t="n">
        <v>0.182</v>
      </c>
      <c r="J517" s="214" t="n"/>
      <c r="K517" s="208" t="n"/>
      <c r="L517" s="424" t="n"/>
      <c r="M517" s="961" t="n"/>
      <c r="N517" s="214" t="n"/>
    </row>
    <row r="518">
      <c r="A518" s="207" t="n">
        <v>797910</v>
      </c>
      <c r="B518" s="209" t="inlineStr">
        <is>
          <t>Pistola Di Etichettatura</t>
        </is>
      </c>
      <c r="C518" s="207" t="n">
        <v>1</v>
      </c>
      <c r="D518" s="960" t="n">
        <v>10.197</v>
      </c>
      <c r="E518" s="214" t="n"/>
      <c r="F518" s="267" t="n">
        <v>112561</v>
      </c>
      <c r="G518" s="263" t="inlineStr">
        <is>
          <t>Broche doppia in plastica per pannelli dogati bianca mm. 100</t>
        </is>
      </c>
      <c r="H518" s="264" t="n">
        <v>1000</v>
      </c>
      <c r="I518" s="265" t="n">
        <v>0.201</v>
      </c>
      <c r="J518" s="214" t="n"/>
      <c r="K518" s="208" t="n"/>
      <c r="L518" s="424" t="n"/>
      <c r="M518" s="961" t="n"/>
      <c r="N518" s="214" t="n"/>
    </row>
    <row r="519">
      <c r="A519" s="207" t="n">
        <v>797911</v>
      </c>
      <c r="B519" s="209" t="inlineStr">
        <is>
          <t>Set Di 5 Aghi</t>
        </is>
      </c>
      <c r="C519" s="207" t="n">
        <v>1</v>
      </c>
      <c r="D519" s="960" t="n">
        <v>7.313</v>
      </c>
      <c r="E519" s="214" t="n"/>
      <c r="F519" s="267" t="n">
        <v>112562</v>
      </c>
      <c r="G519" s="263" t="inlineStr">
        <is>
          <t>Broche doppia in plastica per pannelli dogati bianca mm. 150</t>
        </is>
      </c>
      <c r="H519" s="264" t="n">
        <v>1000</v>
      </c>
      <c r="I519" s="265" t="n">
        <v>0.22</v>
      </c>
      <c r="J519" s="214" t="n"/>
      <c r="K519" s="208" t="n"/>
      <c r="L519" s="424" t="n"/>
      <c r="M519" s="961" t="n"/>
      <c r="N519" s="214" t="n"/>
    </row>
    <row r="520">
      <c r="A520" s="207" t="n">
        <v>797912</v>
      </c>
      <c r="B520" s="209" t="inlineStr">
        <is>
          <t>Legame Nylon Regolabile - 1 Estremita Larga - Lunghezza : 15mm</t>
        </is>
      </c>
      <c r="C520" s="207" t="n">
        <v>5000</v>
      </c>
      <c r="D520" s="960" t="n">
        <v>0.0016</v>
      </c>
      <c r="E520" s="214" t="n"/>
      <c r="F520" s="267" t="n">
        <v>112563</v>
      </c>
      <c r="G520" s="263" t="inlineStr">
        <is>
          <t>Broche doppia in plastica per pannelli dogati bianca mm. 200</t>
        </is>
      </c>
      <c r="H520" s="264" t="n">
        <v>1000</v>
      </c>
      <c r="I520" s="265" t="n">
        <v>0.229</v>
      </c>
      <c r="J520" s="214" t="n"/>
      <c r="K520" s="208" t="n"/>
      <c r="L520" s="424" t="n"/>
      <c r="M520" s="961" t="n"/>
      <c r="N520" s="214" t="n"/>
    </row>
    <row r="521">
      <c r="A521" s="207" t="n">
        <v>797913</v>
      </c>
      <c r="B521" s="209" t="inlineStr">
        <is>
          <t>Legame Nylon Regolabile - 1 Estremita Larga - Lunghezza : 20mm</t>
        </is>
      </c>
      <c r="C521" s="207" t="n">
        <v>5000</v>
      </c>
      <c r="D521" s="960" t="n">
        <v>0.0016</v>
      </c>
      <c r="E521" s="214" t="n"/>
      <c r="F521" s="267" t="n">
        <v>112564</v>
      </c>
      <c r="G521" s="263" t="inlineStr">
        <is>
          <t>Broche doppia in plastica per pannelli dogati bianca mm. 250</t>
        </is>
      </c>
      <c r="H521" s="264" t="n">
        <v>1000</v>
      </c>
      <c r="I521" s="265" t="n">
        <v>0.286</v>
      </c>
      <c r="J521" s="214" t="n"/>
      <c r="K521" s="208" t="n"/>
      <c r="L521" s="424" t="n"/>
      <c r="M521" s="961" t="n"/>
      <c r="N521" s="214" t="n"/>
    </row>
    <row r="522">
      <c r="A522" s="207" t="n">
        <v>797914</v>
      </c>
      <c r="B522" s="209" t="inlineStr">
        <is>
          <t>Legame Nylon Regolabile - 1 Estremita Larga - Lunghezza : 25mm</t>
        </is>
      </c>
      <c r="C522" s="207" t="n">
        <v>5000</v>
      </c>
      <c r="D522" s="960" t="n">
        <v>0.0017</v>
      </c>
      <c r="E522" s="214" t="n"/>
      <c r="F522" s="267" t="n">
        <v>112565</v>
      </c>
      <c r="G522" s="263" t="inlineStr">
        <is>
          <t>Broche doppia in plastica per pannelli dogati bianca mm. 300</t>
        </is>
      </c>
      <c r="H522" s="264" t="n">
        <v>1000</v>
      </c>
      <c r="I522" s="265" t="n">
        <v>0.346</v>
      </c>
      <c r="J522" s="214" t="n"/>
      <c r="K522" s="208" t="n"/>
      <c r="L522" s="424" t="n"/>
      <c r="M522" s="961" t="n"/>
      <c r="N522" s="214" t="n"/>
    </row>
    <row r="523">
      <c r="A523" s="207" t="n">
        <v>797915</v>
      </c>
      <c r="B523" s="209" t="inlineStr">
        <is>
          <t>Legame Nylon Regolabile - 1 Estremita Larga - Lunghezza : 40mm</t>
        </is>
      </c>
      <c r="C523" s="207" t="n">
        <v>5000</v>
      </c>
      <c r="D523" s="960" t="n">
        <v>0.0019</v>
      </c>
      <c r="E523" s="214" t="n"/>
      <c r="F523" s="267" t="n">
        <v>112570</v>
      </c>
      <c r="G523" s="263" t="inlineStr">
        <is>
          <t>Broche doppia in plastica per pannelli dogati nera mm. 50</t>
        </is>
      </c>
      <c r="H523" s="264" t="n">
        <v>1000</v>
      </c>
      <c r="I523" s="265" t="n">
        <v>0.189</v>
      </c>
      <c r="J523" s="214" t="n"/>
      <c r="K523" s="208" t="n"/>
      <c r="L523" s="424" t="n"/>
      <c r="M523" s="961" t="n"/>
      <c r="N523" s="214" t="n"/>
    </row>
    <row r="524">
      <c r="A524" s="207" t="n">
        <v>797916</v>
      </c>
      <c r="B524" s="209" t="inlineStr">
        <is>
          <t>Legame Nylon Regolabile - 1 Estremita Larga -  Lunghezza : 50mm</t>
        </is>
      </c>
      <c r="C524" s="207" t="n">
        <v>5000</v>
      </c>
      <c r="D524" s="960" t="n">
        <v>0.002</v>
      </c>
      <c r="E524" s="214" t="n"/>
      <c r="F524" s="267" t="n">
        <v>112571</v>
      </c>
      <c r="G524" s="263" t="inlineStr">
        <is>
          <t>Broche doppia in plastica per pannelli dogati nera mm. 100</t>
        </is>
      </c>
      <c r="H524" s="264" t="n">
        <v>1000</v>
      </c>
      <c r="I524" s="265" t="n">
        <v>0.222</v>
      </c>
      <c r="J524" s="214" t="n"/>
      <c r="K524" s="208" t="n"/>
      <c r="L524" s="424" t="n"/>
      <c r="M524" s="961" t="n"/>
      <c r="N524" s="214" t="n"/>
    </row>
    <row r="525">
      <c r="A525" s="207" t="n">
        <v>797917</v>
      </c>
      <c r="B525" s="209" t="inlineStr">
        <is>
          <t>Legame Nylon Regolabile - 1 Estremita Larga - Lunghezza : 65mm</t>
        </is>
      </c>
      <c r="C525" s="207" t="n">
        <v>5000</v>
      </c>
      <c r="D525" s="960" t="n">
        <v>0.002</v>
      </c>
      <c r="E525" s="214" t="n"/>
      <c r="F525" s="267" t="n">
        <v>112572</v>
      </c>
      <c r="G525" s="263" t="inlineStr">
        <is>
          <t>Broche doppia in plastica per pannelli dogati nera mm. 150</t>
        </is>
      </c>
      <c r="H525" s="264" t="n">
        <v>1000</v>
      </c>
      <c r="I525" s="265" t="n">
        <v>0.242</v>
      </c>
      <c r="J525" s="214" t="n"/>
      <c r="K525" s="208" t="n"/>
      <c r="L525" s="424" t="n"/>
      <c r="M525" s="961" t="n"/>
      <c r="N525" s="214" t="n"/>
    </row>
    <row r="526">
      <c r="A526" s="207" t="n">
        <v>797918</v>
      </c>
      <c r="B526" s="209" t="inlineStr">
        <is>
          <t>Legame Nylon Regolabile - 1 Estremita Larga - Lunghezza : 125mm</t>
        </is>
      </c>
      <c r="C526" s="207" t="n">
        <v>5000</v>
      </c>
      <c r="D526" s="960" t="n">
        <v>0.002</v>
      </c>
      <c r="E526" s="214" t="n"/>
      <c r="F526" s="267" t="n">
        <v>112573</v>
      </c>
      <c r="G526" s="263" t="inlineStr">
        <is>
          <t>Broche doppia in plastica per pannelli dogati nera mm. 200</t>
        </is>
      </c>
      <c r="H526" s="264" t="n">
        <v>1000</v>
      </c>
      <c r="I526" s="265" t="n">
        <v>0.252</v>
      </c>
      <c r="J526" s="214" t="n"/>
      <c r="K526" s="208" t="n"/>
      <c r="L526" s="424" t="n"/>
      <c r="M526" s="961" t="n"/>
      <c r="N526" s="214" t="n"/>
    </row>
    <row r="527">
      <c r="A527" s="207" t="n">
        <v>797919</v>
      </c>
      <c r="B527" s="209" t="inlineStr">
        <is>
          <t>Legame Nylon Regolabile - 2 Estremita Strette - Lunghezza : 13mm</t>
        </is>
      </c>
      <c r="C527" s="207" t="n">
        <v>5000</v>
      </c>
      <c r="D527" s="960" t="n">
        <v>0.009299999999999999</v>
      </c>
      <c r="E527" s="214" t="n"/>
      <c r="F527" s="267" t="n">
        <v>112574</v>
      </c>
      <c r="G527" s="263" t="inlineStr">
        <is>
          <t>Broche doppia in plastica per pannelli dogati nera mm. 250</t>
        </is>
      </c>
      <c r="H527" s="264" t="n">
        <v>1000</v>
      </c>
      <c r="I527" s="265" t="n">
        <v>0.315</v>
      </c>
      <c r="J527" s="214" t="n"/>
      <c r="K527" s="208" t="n"/>
      <c r="L527" s="424" t="n"/>
      <c r="M527" s="961" t="n"/>
      <c r="N527" s="214" t="n"/>
    </row>
    <row r="528">
      <c r="A528" s="209" t="n">
        <v>797920</v>
      </c>
      <c r="B528" s="209" t="inlineStr">
        <is>
          <t>Legame Nylon Regolabile - 2 Estremita Strette - Lunghezza : 25mm</t>
        </is>
      </c>
      <c r="C528" s="209" t="n">
        <v>5000</v>
      </c>
      <c r="D528" s="960" t="n">
        <v>0.0098</v>
      </c>
      <c r="E528" s="215" t="n"/>
      <c r="F528" s="267" t="n">
        <v>112575</v>
      </c>
      <c r="G528" s="263" t="inlineStr">
        <is>
          <t>Broche doppia in plastica per pannelli dogati nera mm. 300</t>
        </is>
      </c>
      <c r="H528" s="264" t="n">
        <v>1000</v>
      </c>
      <c r="I528" s="265" t="n">
        <v>0.381</v>
      </c>
      <c r="J528" s="215" t="n"/>
      <c r="K528" s="209" t="n"/>
      <c r="L528" s="425" t="n"/>
      <c r="M528" s="962" t="n"/>
      <c r="N528" s="215" t="n"/>
    </row>
    <row r="529">
      <c r="A529" s="207" t="n">
        <v>797921</v>
      </c>
      <c r="B529" s="209" t="inlineStr">
        <is>
          <t>Legame Nylon Regolabile - 2 Estremita Strette - Lunghezza : 125mm</t>
        </is>
      </c>
      <c r="C529" s="207" t="n">
        <v>5000</v>
      </c>
      <c r="D529" s="960" t="n">
        <v>0.0109</v>
      </c>
      <c r="E529" s="214" t="n"/>
      <c r="F529" s="267" t="n">
        <v>112579</v>
      </c>
      <c r="G529" s="263" t="inlineStr">
        <is>
          <t>Broche universale larga in plastica bianca mm. 100</t>
        </is>
      </c>
      <c r="H529" s="264" t="n">
        <v>1000</v>
      </c>
      <c r="I529" s="265" t="n">
        <v>0.128</v>
      </c>
      <c r="J529" s="214" t="n"/>
      <c r="K529" s="208" t="n"/>
      <c r="L529" s="424" t="n"/>
      <c r="M529" s="961" t="n"/>
      <c r="N529" s="214" t="n"/>
    </row>
    <row r="530">
      <c r="A530" s="209" t="n">
        <v>797922</v>
      </c>
      <c r="B530" s="209" t="inlineStr">
        <is>
          <t>Legame DoPPio 65mm</t>
        </is>
      </c>
      <c r="C530" s="209" t="n">
        <v>5000</v>
      </c>
      <c r="D530" s="960" t="n">
        <v>0.015</v>
      </c>
      <c r="E530" s="215" t="n"/>
      <c r="F530" s="267" t="n">
        <v>112580</v>
      </c>
      <c r="G530" s="263" t="inlineStr">
        <is>
          <t>Broche universale larga in plastica bianca mm. 190</t>
        </is>
      </c>
      <c r="H530" s="264" t="n">
        <v>1000</v>
      </c>
      <c r="I530" s="265" t="n">
        <v>0.166</v>
      </c>
      <c r="J530" s="215" t="n"/>
      <c r="K530" s="209" t="n"/>
      <c r="L530" s="425" t="n"/>
      <c r="M530" s="962" t="n"/>
      <c r="N530" s="215" t="n"/>
    </row>
    <row r="531">
      <c r="A531" s="207" t="n">
        <v>797923</v>
      </c>
      <c r="B531" s="209" t="inlineStr">
        <is>
          <t>Gancio Modello PP</t>
        </is>
      </c>
      <c r="C531" s="207" t="n">
        <v>5000</v>
      </c>
      <c r="D531" s="960" t="n">
        <v>0.0037</v>
      </c>
      <c r="E531" s="214" t="n"/>
      <c r="F531" s="267" t="n">
        <v>112585</v>
      </c>
      <c r="G531" s="263" t="inlineStr">
        <is>
          <t>Broche singola adesiva bianca mm. 25</t>
        </is>
      </c>
      <c r="H531" s="264" t="n">
        <v>1000</v>
      </c>
      <c r="I531" s="265" t="n">
        <v>0.233</v>
      </c>
      <c r="J531" s="214" t="n"/>
      <c r="K531" s="208" t="n"/>
      <c r="L531" s="424" t="n"/>
      <c r="M531" s="961" t="n"/>
      <c r="N531" s="214" t="n"/>
    </row>
    <row r="532">
      <c r="A532" s="209" t="n">
        <v>715065</v>
      </c>
      <c r="B532" s="209" t="inlineStr">
        <is>
          <t>Bobina Magnetica 12,7mmx10M</t>
        </is>
      </c>
      <c r="C532" s="209" t="n">
        <v>1</v>
      </c>
      <c r="D532" s="960" t="n">
        <v>7.21</v>
      </c>
      <c r="E532" s="215" t="n"/>
      <c r="F532" s="267" t="n">
        <v>112586</v>
      </c>
      <c r="G532" s="263" t="inlineStr">
        <is>
          <t>Broche singola adesiva bianca mm. 50</t>
        </is>
      </c>
      <c r="H532" s="264" t="n">
        <v>1000</v>
      </c>
      <c r="I532" s="265" t="n">
        <v>0.237</v>
      </c>
      <c r="J532" s="215" t="n"/>
      <c r="K532" s="209" t="n"/>
      <c r="L532" s="425" t="n"/>
      <c r="M532" s="962" t="n"/>
      <c r="N532" s="215" t="n"/>
    </row>
    <row r="533">
      <c r="A533" s="207" t="n">
        <v>715010</v>
      </c>
      <c r="B533" s="209" t="inlineStr">
        <is>
          <t>Bobina Magnetica 12,7mmx30M</t>
        </is>
      </c>
      <c r="C533" s="207" t="n">
        <v>30</v>
      </c>
      <c r="D533" s="960" t="n">
        <v>20.497</v>
      </c>
      <c r="E533" s="214" t="n"/>
      <c r="F533" s="267" t="n">
        <v>112587</v>
      </c>
      <c r="G533" s="263" t="inlineStr">
        <is>
          <t>Broche singola adesiva bianca mm. 75</t>
        </is>
      </c>
      <c r="H533" s="264" t="n">
        <v>1000</v>
      </c>
      <c r="I533" s="265" t="n">
        <v>0.242</v>
      </c>
      <c r="J533" s="214" t="n"/>
      <c r="K533" s="208" t="n"/>
      <c r="L533" s="424" t="n"/>
      <c r="M533" s="961" t="n"/>
      <c r="N533" s="214" t="n"/>
    </row>
    <row r="534">
      <c r="A534" s="209" t="n">
        <v>715061</v>
      </c>
      <c r="B534" s="209" t="inlineStr">
        <is>
          <t>Bobina Magnetica 19mmx10M</t>
        </is>
      </c>
      <c r="C534" s="209" t="n">
        <v>1</v>
      </c>
      <c r="D534" s="960" t="n">
        <v>8.961</v>
      </c>
      <c r="E534" s="215" t="n"/>
      <c r="F534" s="267" t="n">
        <v>112589</v>
      </c>
      <c r="G534" s="263" t="inlineStr">
        <is>
          <t>Broche universale larga in plastica nera mm. 100</t>
        </is>
      </c>
      <c r="H534" s="264" t="n">
        <v>1000</v>
      </c>
      <c r="I534" s="265" t="n">
        <v>0.128</v>
      </c>
      <c r="J534" s="215" t="n"/>
      <c r="K534" s="209" t="n"/>
      <c r="L534" s="425" t="n"/>
      <c r="M534" s="962" t="n"/>
      <c r="N534" s="215" t="n"/>
    </row>
    <row r="535">
      <c r="A535" s="207" t="n">
        <v>715014</v>
      </c>
      <c r="B535" s="209" t="inlineStr">
        <is>
          <t>Bobina Magnetica 19mmx30M</t>
        </is>
      </c>
      <c r="C535" s="207" t="n">
        <v>30</v>
      </c>
      <c r="D535" s="960" t="n">
        <v>31.1472</v>
      </c>
      <c r="E535" s="214" t="n"/>
      <c r="F535" s="267" t="n">
        <v>112590</v>
      </c>
      <c r="G535" s="263" t="inlineStr">
        <is>
          <t>Broche universale larga in plastica nera mm. 190</t>
        </is>
      </c>
      <c r="H535" s="264" t="n">
        <v>1000</v>
      </c>
      <c r="I535" s="265" t="n">
        <v>0.166</v>
      </c>
      <c r="J535" s="214" t="n"/>
      <c r="K535" s="208" t="n"/>
      <c r="L535" s="424" t="n"/>
      <c r="M535" s="961" t="n"/>
      <c r="N535" s="214" t="n"/>
    </row>
    <row r="536">
      <c r="A536" s="209" t="n">
        <v>715062</v>
      </c>
      <c r="B536" s="209" t="inlineStr">
        <is>
          <t>Bobina Magnetica 25,4mmx10M</t>
        </is>
      </c>
      <c r="C536" s="209" t="n">
        <v>1</v>
      </c>
      <c r="D536" s="960" t="n">
        <v>14.111</v>
      </c>
      <c r="E536" s="215" t="n"/>
      <c r="F536" s="267" t="n">
        <v>112595</v>
      </c>
      <c r="G536" s="263" t="inlineStr">
        <is>
          <t>Broche singola adesiva nera mm. 25</t>
        </is>
      </c>
      <c r="H536" s="264" t="n">
        <v>1000</v>
      </c>
      <c r="I536" s="265" t="n">
        <v>0.256</v>
      </c>
      <c r="J536" s="215" t="n"/>
      <c r="K536" s="209" t="n"/>
      <c r="L536" s="425" t="n"/>
      <c r="M536" s="962" t="n"/>
      <c r="N536" s="215" t="n"/>
    </row>
    <row r="537">
      <c r="A537" s="207" t="n">
        <v>715011</v>
      </c>
      <c r="B537" s="209" t="inlineStr">
        <is>
          <t>Bobina Magnetica 25,4mmx30M</t>
        </is>
      </c>
      <c r="C537" s="207" t="n">
        <v>30</v>
      </c>
      <c r="D537" s="960" t="n">
        <v>42.642</v>
      </c>
      <c r="E537" s="214" t="n"/>
      <c r="F537" s="267" t="n">
        <v>112596</v>
      </c>
      <c r="G537" s="263" t="inlineStr">
        <is>
          <t>Broche singola adesiva nera mm. 50</t>
        </is>
      </c>
      <c r="H537" s="264" t="n">
        <v>1000</v>
      </c>
      <c r="I537" s="265" t="n">
        <v>0.26</v>
      </c>
      <c r="J537" s="214" t="n"/>
      <c r="K537" s="208" t="n"/>
      <c r="L537" s="424" t="n"/>
      <c r="M537" s="961" t="n"/>
      <c r="N537" s="214" t="n"/>
    </row>
    <row r="538">
      <c r="A538" s="207" t="n">
        <v>715063</v>
      </c>
      <c r="B538" s="209" t="inlineStr">
        <is>
          <t>Bobina Magnetica 50mmx10M</t>
        </is>
      </c>
      <c r="C538" s="207" t="n">
        <v>1</v>
      </c>
      <c r="D538" s="960" t="n">
        <v>22.351</v>
      </c>
      <c r="E538" s="214" t="n"/>
      <c r="F538" s="267" t="n">
        <v>112597</v>
      </c>
      <c r="G538" s="263" t="inlineStr">
        <is>
          <t>Broche singola adesiva nera mm. 75</t>
        </is>
      </c>
      <c r="H538" s="264" t="n">
        <v>1000</v>
      </c>
      <c r="I538" s="265" t="n">
        <v>0.266</v>
      </c>
      <c r="J538" s="214" t="n"/>
      <c r="K538" s="208" t="n"/>
      <c r="L538" s="424" t="n"/>
      <c r="M538" s="961" t="n"/>
      <c r="N538" s="214" t="n"/>
    </row>
    <row r="539">
      <c r="A539" s="207" t="n">
        <v>950701</v>
      </c>
      <c r="B539" s="209" t="inlineStr">
        <is>
          <t>Bobina Magnetico Adesivo 12 mm X 30 M</t>
        </is>
      </c>
      <c r="C539" s="207" t="n">
        <v>1</v>
      </c>
      <c r="D539" s="960" t="n">
        <v>21.424</v>
      </c>
      <c r="E539" s="214" t="n"/>
      <c r="F539" s="267" t="n">
        <v>112600</v>
      </c>
      <c r="G539" s="263" t="inlineStr">
        <is>
          <t>Automatico a pressione testa diametro mm. 15 per spessori da 0 mm a 8,5 mm bi</t>
        </is>
      </c>
      <c r="H539" s="264" t="n">
        <v>500</v>
      </c>
      <c r="I539" s="265" t="n">
        <v>0.09</v>
      </c>
      <c r="J539" s="214" t="n"/>
      <c r="K539" s="208" t="n"/>
      <c r="L539" s="424" t="n"/>
      <c r="M539" s="961" t="n"/>
      <c r="N539" s="214" t="n"/>
    </row>
    <row r="540">
      <c r="A540" s="207" t="n">
        <v>950702</v>
      </c>
      <c r="B540" s="209" t="inlineStr">
        <is>
          <t>Bobina Magnetico Adesivo 19 mm X 30 M</t>
        </is>
      </c>
      <c r="C540" s="207" t="n">
        <v>1</v>
      </c>
      <c r="D540" s="960" t="n">
        <v>29.664</v>
      </c>
      <c r="E540" s="214" t="n"/>
      <c r="F540" s="267" t="n">
        <v>112601</v>
      </c>
      <c r="G540" s="263" t="inlineStr">
        <is>
          <t>Automatico a pressione testa diametro mm. 15 per spessori da 0 mm a 12 mm bia</t>
        </is>
      </c>
      <c r="H540" s="264" t="n">
        <v>500</v>
      </c>
      <c r="I540" s="265" t="n">
        <v>0.092</v>
      </c>
      <c r="J540" s="214" t="n"/>
      <c r="K540" s="208" t="n"/>
      <c r="L540" s="424" t="n"/>
      <c r="M540" s="961" t="n"/>
      <c r="N540" s="214" t="n"/>
    </row>
    <row r="541">
      <c r="A541" s="207" t="n">
        <v>950703</v>
      </c>
      <c r="B541" s="209" t="inlineStr">
        <is>
          <t>Bobina Magnetico Adesivo 25 mm X 30 M</t>
        </is>
      </c>
      <c r="C541" s="207" t="n">
        <v>1</v>
      </c>
      <c r="D541" s="960" t="n">
        <v>44.393</v>
      </c>
      <c r="E541" s="214" t="n"/>
      <c r="F541" s="267" t="n">
        <v>112602</v>
      </c>
      <c r="G541" s="263" t="inlineStr">
        <is>
          <t>Automatico a pressione testa diametro mm. 15 per spessori da 0 mm a 20 mm bia</t>
        </is>
      </c>
      <c r="H541" s="264" t="n">
        <v>500</v>
      </c>
      <c r="I541" s="265" t="n">
        <v>0.096</v>
      </c>
      <c r="J541" s="214" t="n"/>
      <c r="K541" s="208" t="n"/>
      <c r="L541" s="424" t="n"/>
      <c r="M541" s="961" t="n"/>
      <c r="N541" s="214" t="n"/>
    </row>
    <row r="542">
      <c r="A542" s="207" t="n">
        <v>715064</v>
      </c>
      <c r="B542" s="209" t="inlineStr">
        <is>
          <t>Bobina Metallica 35mmx10M</t>
        </is>
      </c>
      <c r="C542" s="207" t="n">
        <v>1</v>
      </c>
      <c r="D542" s="960" t="n">
        <v>17.819</v>
      </c>
      <c r="E542" s="214" t="n"/>
      <c r="F542" s="267" t="n">
        <v>112603</v>
      </c>
      <c r="G542" s="263" t="inlineStr">
        <is>
          <t>Automatico a pressione testa diametro mm. 15 per spessori da 0 mm a 34 mm bia</t>
        </is>
      </c>
      <c r="H542" s="264" t="n">
        <v>500</v>
      </c>
      <c r="I542" s="265" t="n">
        <v>0.103</v>
      </c>
      <c r="J542" s="214" t="n"/>
      <c r="K542" s="208" t="n"/>
      <c r="L542" s="424" t="n"/>
      <c r="M542" s="961" t="n"/>
      <c r="N542" s="214" t="n"/>
    </row>
    <row r="543">
      <c r="A543" s="207" t="n">
        <v>793247</v>
      </c>
      <c r="B543" s="209" t="inlineStr">
        <is>
          <t>Bollino Adesivo Auto Collante Carafix Bianco - Fibbia - 13mm</t>
        </is>
      </c>
      <c r="C543" s="207" t="n">
        <v>1</v>
      </c>
      <c r="D543" s="960" t="n">
        <v>14.317</v>
      </c>
      <c r="E543" s="214" t="n"/>
      <c r="F543" s="267" t="n">
        <v>112605</v>
      </c>
      <c r="G543" s="263" t="inlineStr">
        <is>
          <t>Bulloni in plastica a vite testa diametro mm 27 per spessori da 5 mm a 11 mm bian</t>
        </is>
      </c>
      <c r="H543" s="264" t="n">
        <v>250</v>
      </c>
      <c r="I543" s="265" t="n">
        <v>0.12</v>
      </c>
      <c r="J543" s="214" t="n"/>
      <c r="K543" s="208" t="n"/>
      <c r="L543" s="424" t="n"/>
      <c r="M543" s="961" t="n"/>
      <c r="N543" s="214" t="n"/>
    </row>
    <row r="544">
      <c r="A544" s="207" t="n">
        <v>793248</v>
      </c>
      <c r="B544" s="209" t="inlineStr">
        <is>
          <t>Bollino Adesivo Auto Collante Carafix Bianco - Gancio - 13mm</t>
        </is>
      </c>
      <c r="C544" s="207" t="n">
        <v>1</v>
      </c>
      <c r="D544" s="960" t="n">
        <v>14.317</v>
      </c>
      <c r="E544" s="214" t="n"/>
      <c r="F544" s="267" t="n">
        <v>112606</v>
      </c>
      <c r="G544" s="263" t="inlineStr">
        <is>
          <t>Bulloni in plastica a vite testa diametro mm 27 per spessori da 5 mm a 15 mm bian</t>
        </is>
      </c>
      <c r="H544" s="264" t="n">
        <v>250</v>
      </c>
      <c r="I544" s="265" t="n">
        <v>0.121</v>
      </c>
      <c r="J544" s="214" t="n"/>
      <c r="K544" s="208" t="n"/>
      <c r="L544" s="424" t="n"/>
      <c r="M544" s="961" t="n"/>
      <c r="N544" s="214" t="n"/>
    </row>
    <row r="545">
      <c r="A545" s="207" t="n">
        <v>793249</v>
      </c>
      <c r="B545" s="209" t="inlineStr">
        <is>
          <t>Bollino Adesivo Auto Collante Carafix Nero - Fibbia - 13mm</t>
        </is>
      </c>
      <c r="C545" s="207" t="n">
        <v>1</v>
      </c>
      <c r="D545" s="960" t="n">
        <v>14.317</v>
      </c>
      <c r="E545" s="214" t="n"/>
      <c r="F545" s="267" t="n">
        <v>112607</v>
      </c>
      <c r="G545" s="263" t="inlineStr">
        <is>
          <t>Bulloni in plastica a vite testa diametro mm 27 per spessori da 5 mm a 21 mm bian</t>
        </is>
      </c>
      <c r="H545" s="264" t="n">
        <v>250</v>
      </c>
      <c r="I545" s="265" t="n">
        <v>0.124</v>
      </c>
      <c r="J545" s="214" t="n"/>
      <c r="K545" s="208" t="n"/>
      <c r="L545" s="424" t="n"/>
      <c r="M545" s="961" t="n"/>
      <c r="N545" s="214" t="n"/>
    </row>
    <row r="546">
      <c r="A546" s="207" t="n">
        <v>793250</v>
      </c>
      <c r="B546" s="209" t="inlineStr">
        <is>
          <t>Bollino Adesivo Auto Collante Carafix Nero - Gancio - 13mm</t>
        </is>
      </c>
      <c r="C546" s="207" t="n">
        <v>1</v>
      </c>
      <c r="D546" s="960" t="n">
        <v>14.317</v>
      </c>
      <c r="E546" s="214" t="n"/>
      <c r="F546" s="267" t="n">
        <v>112610</v>
      </c>
      <c r="G546" s="263" t="inlineStr">
        <is>
          <t>Automatico a pressione testa diametro mm. 15 per spessori da 0 mm a 8,5 mm ne</t>
        </is>
      </c>
      <c r="H546" s="264" t="n">
        <v>500</v>
      </c>
      <c r="I546" s="265" t="n">
        <v>0.09</v>
      </c>
      <c r="J546" s="214" t="n"/>
      <c r="K546" s="208" t="n"/>
      <c r="L546" s="424" t="n"/>
      <c r="M546" s="961" t="n"/>
      <c r="N546" s="214" t="n"/>
    </row>
    <row r="547">
      <c r="A547" s="207" t="n">
        <v>793242</v>
      </c>
      <c r="B547" s="209" t="inlineStr">
        <is>
          <t>Bollino Adesivo Auto Collante Carafix Bianco - Fibbia - 19mm</t>
        </is>
      </c>
      <c r="C547" s="207" t="n">
        <v>1</v>
      </c>
      <c r="D547" s="960" t="n">
        <v>18.437</v>
      </c>
      <c r="E547" s="214" t="n"/>
      <c r="F547" s="267" t="n">
        <v>112611</v>
      </c>
      <c r="G547" s="263" t="inlineStr">
        <is>
          <t>Automatico a pressione testa diametro mm. 15 per spessori da 0 mm a 12 mm ner</t>
        </is>
      </c>
      <c r="H547" s="264" t="n">
        <v>500</v>
      </c>
      <c r="I547" s="265" t="n">
        <v>0.092</v>
      </c>
      <c r="J547" s="214" t="n"/>
      <c r="K547" s="208" t="n"/>
      <c r="L547" s="424" t="n"/>
      <c r="M547" s="961" t="n"/>
      <c r="N547" s="214" t="n"/>
    </row>
    <row r="548">
      <c r="A548" s="207" t="n">
        <v>793240</v>
      </c>
      <c r="B548" s="209" t="inlineStr">
        <is>
          <t>Bollino Adesivo Auto Collante Carafix Bianco - Gancio - 19mm</t>
        </is>
      </c>
      <c r="C548" s="207" t="n">
        <v>1</v>
      </c>
      <c r="D548" s="960" t="n">
        <v>18.437</v>
      </c>
      <c r="E548" s="214" t="n"/>
      <c r="F548" s="267" t="n">
        <v>112612</v>
      </c>
      <c r="G548" s="263" t="inlineStr">
        <is>
          <t>Automatico a pressione testa diametro mm. 15 per spessori da 0 mm a 20 mm ner</t>
        </is>
      </c>
      <c r="H548" s="264" t="n">
        <v>500</v>
      </c>
      <c r="I548" s="265" t="n">
        <v>0.095</v>
      </c>
      <c r="J548" s="214" t="n"/>
      <c r="K548" s="208" t="n"/>
      <c r="L548" s="424" t="n"/>
      <c r="M548" s="961" t="n"/>
      <c r="N548" s="214" t="n"/>
    </row>
    <row r="549">
      <c r="A549" s="207" t="n">
        <v>793244</v>
      </c>
      <c r="B549" s="209" t="inlineStr">
        <is>
          <t>Bollino Adesivo Auto Collante Carafix Nero - Fibbia - 19mm</t>
        </is>
      </c>
      <c r="C549" s="207" t="n">
        <v>1</v>
      </c>
      <c r="D549" s="960" t="n">
        <v>18.437</v>
      </c>
      <c r="E549" s="214" t="n"/>
      <c r="F549" s="267" t="n">
        <v>112613</v>
      </c>
      <c r="G549" s="263" t="inlineStr">
        <is>
          <t>Automatico a pressione testa diametro mm. 15 per spessori da 0 mm a 34 mm ner</t>
        </is>
      </c>
      <c r="H549" s="264" t="n">
        <v>500</v>
      </c>
      <c r="I549" s="265" t="n">
        <v>0.102</v>
      </c>
      <c r="J549" s="214" t="n"/>
      <c r="K549" s="208" t="n"/>
      <c r="L549" s="424" t="n"/>
      <c r="M549" s="961" t="n"/>
      <c r="N549" s="214" t="n"/>
    </row>
    <row r="550" ht="12.75" customHeight="1">
      <c r="A550" s="207" t="n">
        <v>793246</v>
      </c>
      <c r="B550" s="209" t="inlineStr">
        <is>
          <t>Bollino Adesivo Auto Collante Carafix Nero - Gancio - 19mm</t>
        </is>
      </c>
      <c r="C550" s="209" t="n">
        <v>1</v>
      </c>
      <c r="D550" s="960" t="n">
        <v>18.437</v>
      </c>
      <c r="E550" s="215" t="n"/>
      <c r="F550" s="267" t="n">
        <v>112615</v>
      </c>
      <c r="G550" s="263" t="inlineStr">
        <is>
          <t>Bulloni in plastica a vite testa diametro mm 27 per spessori da 5 mm a 11 mm ner</t>
        </is>
      </c>
      <c r="H550" s="264" t="n">
        <v>250</v>
      </c>
      <c r="I550" s="265" t="n">
        <v>0.12</v>
      </c>
      <c r="J550" s="215" t="n"/>
      <c r="K550" s="209" t="n"/>
      <c r="L550" s="425" t="n"/>
      <c r="M550" s="962" t="n"/>
      <c r="N550" s="215" t="n"/>
    </row>
    <row r="551" ht="12.75" customHeight="1">
      <c r="A551" s="207" t="n">
        <v>793251</v>
      </c>
      <c r="B551" s="209" t="inlineStr">
        <is>
          <t>Bollino Adesivo Auto Collante Carafix Bianco - Fibbia - 22mm</t>
        </is>
      </c>
      <c r="C551" s="209" t="n">
        <v>1</v>
      </c>
      <c r="D551" s="960" t="n">
        <v>21.63</v>
      </c>
      <c r="E551" s="215" t="n"/>
      <c r="F551" s="262" t="n">
        <v>112616</v>
      </c>
      <c r="G551" s="263" t="inlineStr">
        <is>
          <t>Bulloni in plastica a vite testa diametro mm 27 per spessori da 5 mm a 15 mm ner</t>
        </is>
      </c>
      <c r="H551" s="264" t="n">
        <v>250</v>
      </c>
      <c r="I551" s="265" t="n">
        <v>0.121</v>
      </c>
      <c r="J551" s="215" t="n"/>
      <c r="K551" s="209" t="n"/>
      <c r="L551" s="425" t="n"/>
      <c r="M551" s="962" t="n"/>
      <c r="N551" s="215" t="n"/>
    </row>
    <row r="552" ht="12.75" customHeight="1">
      <c r="A552" s="207" t="n">
        <v>793252</v>
      </c>
      <c r="B552" s="209" t="inlineStr">
        <is>
          <t>Bollino Adesivo Auto Collante Carafix Bianco - Gancio - 22mm</t>
        </is>
      </c>
      <c r="C552" s="209" t="n">
        <v>1</v>
      </c>
      <c r="D552" s="960" t="n">
        <v>21.63</v>
      </c>
      <c r="E552" s="215" t="n"/>
      <c r="F552" s="262" t="n">
        <v>112617</v>
      </c>
      <c r="G552" s="263" t="inlineStr">
        <is>
          <t>Bulloni in plastica a vite testa diametro mm 27 per spessori da 5 mm a 21 mm ner</t>
        </is>
      </c>
      <c r="H552" s="264" t="n">
        <v>250</v>
      </c>
      <c r="I552" s="265" t="n">
        <v>0.124</v>
      </c>
      <c r="J552" s="215" t="n"/>
      <c r="K552" s="209" t="n"/>
      <c r="L552" s="425" t="n"/>
      <c r="M552" s="962" t="n"/>
      <c r="N552" s="215" t="n"/>
    </row>
    <row r="553" ht="12.75" customHeight="1">
      <c r="A553" s="207" t="n">
        <v>797576</v>
      </c>
      <c r="B553" s="209" t="inlineStr">
        <is>
          <t>Distributore Di Bollini Velcro Fibbia/Gancio 25M - 200 Paia</t>
        </is>
      </c>
      <c r="C553" s="209" t="n">
        <v>1</v>
      </c>
      <c r="D553" s="960" t="n">
        <v>10.094</v>
      </c>
      <c r="E553" s="215" t="n"/>
      <c r="F553" s="262" t="n">
        <v>112620</v>
      </c>
      <c r="G553" s="263" t="inlineStr">
        <is>
          <t>Automatico a pressione testa diametro mm. 15 per spessori da 0 mm a 8,5 mm tra</t>
        </is>
      </c>
      <c r="H553" s="264" t="n">
        <v>500</v>
      </c>
      <c r="I553" s="265" t="n">
        <v>0.096</v>
      </c>
      <c r="J553" s="215" t="n"/>
      <c r="K553" s="209" t="n"/>
      <c r="L553" s="425" t="n"/>
      <c r="M553" s="962" t="n"/>
      <c r="N553" s="215" t="n"/>
    </row>
    <row r="554" ht="12.75" customHeight="1">
      <c r="A554" s="207" t="n">
        <v>793227</v>
      </c>
      <c r="B554" s="209" t="inlineStr">
        <is>
          <t>Distributore Di Bollini Velcro Fibbia/Gancio 35X12mm - 550 Paia</t>
        </is>
      </c>
      <c r="C554" s="209" t="n">
        <v>1</v>
      </c>
      <c r="D554" s="960" t="n">
        <v>39.964</v>
      </c>
      <c r="E554" s="215" t="n"/>
      <c r="F554" s="262" t="n">
        <v>112621</v>
      </c>
      <c r="G554" s="263" t="inlineStr">
        <is>
          <t>Automatico a pressione testa diametro mm. 15 per spessori da 0 mm a 12 mm tra</t>
        </is>
      </c>
      <c r="H554" s="264" t="n">
        <v>500</v>
      </c>
      <c r="I554" s="265" t="n">
        <v>0.098</v>
      </c>
      <c r="J554" s="215" t="n"/>
      <c r="K554" s="209" t="n"/>
      <c r="L554" s="425" t="n"/>
      <c r="M554" s="962" t="n"/>
      <c r="N554" s="215" t="n"/>
    </row>
    <row r="555" ht="12.75" customHeight="1">
      <c r="A555" s="207" t="n">
        <v>793220</v>
      </c>
      <c r="B555" s="209" t="inlineStr">
        <is>
          <t>Nastro Adesivo Auto-Collante Fibbia - 20mmx25M - Bianco</t>
        </is>
      </c>
      <c r="C555" s="209" t="n">
        <v>1</v>
      </c>
      <c r="D555" s="960" t="n">
        <v>14.42</v>
      </c>
      <c r="E555" s="215" t="n"/>
      <c r="F555" s="262" t="n">
        <v>112622</v>
      </c>
      <c r="G555" s="263" t="inlineStr">
        <is>
          <t>Automatico a pressione testa diametro mm. 15 per spessori da 0 mm a 20 mm tra</t>
        </is>
      </c>
      <c r="H555" s="264" t="n">
        <v>500</v>
      </c>
      <c r="I555" s="265" t="n">
        <v>0.102</v>
      </c>
      <c r="J555" s="215" t="n"/>
      <c r="K555" s="209" t="n"/>
      <c r="L555" s="425" t="n"/>
      <c r="M555" s="962" t="n"/>
      <c r="N555" s="215" t="n"/>
    </row>
    <row r="556" ht="12.75" customHeight="1">
      <c r="A556" s="207" t="n">
        <v>793221</v>
      </c>
      <c r="B556" s="209" t="inlineStr">
        <is>
          <t>Nastro Adesivo Auto-Collante Gancio - 20mmx25M - Bianco</t>
        </is>
      </c>
      <c r="C556" s="209" t="n">
        <v>1</v>
      </c>
      <c r="D556" s="960" t="n">
        <v>14.42</v>
      </c>
      <c r="E556" s="215" t="n"/>
      <c r="F556" s="262" t="n">
        <v>112623</v>
      </c>
      <c r="G556" s="263" t="inlineStr">
        <is>
          <t>Automatico a pressione testa diametro mm. 15 per spessori da 0 mm a 34 mm tra</t>
        </is>
      </c>
      <c r="H556" s="264" t="n">
        <v>500</v>
      </c>
      <c r="I556" s="265" t="n">
        <v>0.108</v>
      </c>
      <c r="J556" s="215" t="n"/>
      <c r="K556" s="209" t="n"/>
      <c r="L556" s="425" t="n"/>
      <c r="M556" s="962" t="n"/>
      <c r="N556" s="215" t="n"/>
    </row>
    <row r="557" ht="12.75" customHeight="1">
      <c r="A557" s="207" t="n">
        <v>793253</v>
      </c>
      <c r="B557" s="209" t="inlineStr">
        <is>
          <t>Nastro Adesivo Auto-Collante Fibbia - 25mmx25M - Bianco</t>
        </is>
      </c>
      <c r="C557" s="209" t="n">
        <v>1</v>
      </c>
      <c r="D557" s="960" t="n">
        <v>12.669</v>
      </c>
      <c r="E557" s="215" t="n"/>
      <c r="F557" s="262" t="n">
        <v>112625</v>
      </c>
      <c r="G557" s="263" t="inlineStr">
        <is>
          <t>Bulloni in plastica a vite testa diametro mm 27 per spessori da 5 mm a 11 mm tras</t>
        </is>
      </c>
      <c r="H557" s="264" t="n">
        <v>250</v>
      </c>
      <c r="I557" s="265" t="n">
        <v>0.125</v>
      </c>
      <c r="J557" s="215" t="n"/>
      <c r="K557" s="209" t="n"/>
      <c r="L557" s="425" t="n"/>
      <c r="M557" s="962" t="n"/>
      <c r="N557" s="215" t="n"/>
    </row>
    <row r="558" ht="12.75" customHeight="1">
      <c r="A558" s="207" t="n">
        <v>793254</v>
      </c>
      <c r="B558" s="209" t="inlineStr">
        <is>
          <t>Nastro Adesivo Auto-Collante Gancio - 25mmx25M - Bianco</t>
        </is>
      </c>
      <c r="C558" s="209" t="n">
        <v>1</v>
      </c>
      <c r="D558" s="960" t="n">
        <v>12.669</v>
      </c>
      <c r="E558" s="215" t="n"/>
      <c r="F558" s="262" t="n">
        <v>112626</v>
      </c>
      <c r="G558" s="263" t="inlineStr">
        <is>
          <t>Bulloni in plastica a vite testa diametro mm 27 per spessori da 5 mm a 15 mm tras</t>
        </is>
      </c>
      <c r="H558" s="264" t="n">
        <v>250</v>
      </c>
      <c r="I558" s="265" t="n">
        <v>0.127</v>
      </c>
      <c r="J558" s="215" t="n"/>
      <c r="K558" s="209" t="n"/>
      <c r="L558" s="425" t="n"/>
      <c r="M558" s="962" t="n"/>
      <c r="N558" s="215" t="n"/>
    </row>
    <row r="559" ht="12.75" customHeight="1">
      <c r="A559" s="207" t="n">
        <v>793255</v>
      </c>
      <c r="B559" s="209" t="inlineStr">
        <is>
          <t>Nastro Adesivo Auto-Collante Fibbia - 30mmx25M - Bianco</t>
        </is>
      </c>
      <c r="C559" s="209" t="n">
        <v>1</v>
      </c>
      <c r="D559" s="960" t="n">
        <v>15.553</v>
      </c>
      <c r="E559" s="215" t="n"/>
      <c r="F559" s="262" t="n">
        <v>112627</v>
      </c>
      <c r="G559" s="263" t="inlineStr">
        <is>
          <t>Bulloni in plastica a vite testa diametro mm 27 per spessori da 5 mm a 21 mm tras</t>
        </is>
      </c>
      <c r="H559" s="264" t="n">
        <v>250</v>
      </c>
      <c r="I559" s="265" t="n">
        <v>0.13</v>
      </c>
      <c r="J559" s="215" t="n"/>
      <c r="K559" s="209" t="n"/>
      <c r="L559" s="425" t="n"/>
      <c r="M559" s="962" t="n"/>
      <c r="N559" s="215" t="n"/>
    </row>
    <row r="560" ht="12.75" customHeight="1">
      <c r="A560" s="207" t="n">
        <v>793256</v>
      </c>
      <c r="B560" s="209" t="inlineStr">
        <is>
          <t>Nastro Adesivo Auto-Collante Gancio - 30mmx25M - Bianco</t>
        </is>
      </c>
      <c r="C560" s="209" t="n">
        <v>1</v>
      </c>
      <c r="D560" s="960" t="n">
        <v>15.553</v>
      </c>
      <c r="E560" s="215" t="n"/>
      <c r="F560" s="262" t="n">
        <v>112630</v>
      </c>
      <c r="G560" s="263" t="inlineStr">
        <is>
          <t>Automatico testa diametro mm. 28 accoppiato per spessori da 6 mm a 15 mm tras</t>
        </is>
      </c>
      <c r="H560" s="264" t="n">
        <v>250</v>
      </c>
      <c r="I560" s="265" t="n">
        <v>0.123</v>
      </c>
      <c r="J560" s="215" t="n"/>
      <c r="K560" s="209" t="n"/>
      <c r="L560" s="425" t="n"/>
      <c r="M560" s="962" t="n"/>
      <c r="N560" s="215" t="n"/>
    </row>
    <row r="561" ht="12.75" customHeight="1">
      <c r="A561" s="207" t="n">
        <v>793257</v>
      </c>
      <c r="B561" s="209" t="inlineStr">
        <is>
          <t>Nastro Adesivo Auto-Collante Fibbia - 50mmx25M - Bianco</t>
        </is>
      </c>
      <c r="C561" s="209" t="n">
        <v>1</v>
      </c>
      <c r="D561" s="960" t="n">
        <v>24.514</v>
      </c>
      <c r="E561" s="215" t="n"/>
      <c r="F561" s="262" t="n">
        <v>112631</v>
      </c>
      <c r="G561" s="263" t="inlineStr">
        <is>
          <t>Automatico testa diametro mm. 28 accoppiato per spessori da 6 mm a 22 mm tras</t>
        </is>
      </c>
      <c r="H561" s="264" t="n">
        <v>250</v>
      </c>
      <c r="I561" s="265" t="n">
        <v>0.123</v>
      </c>
      <c r="J561" s="215" t="n"/>
      <c r="K561" s="209" t="n"/>
      <c r="L561" s="425" t="n"/>
      <c r="M561" s="962" t="n"/>
      <c r="N561" s="215" t="n"/>
    </row>
    <row r="562" ht="12.75" customHeight="1">
      <c r="A562" s="207" t="n">
        <v>793258</v>
      </c>
      <c r="B562" s="209" t="inlineStr">
        <is>
          <t>Nastro Adesivo Auto-Collante Gancio - 50mmx25M - Bianco</t>
        </is>
      </c>
      <c r="C562" s="209" t="n">
        <v>1</v>
      </c>
      <c r="D562" s="960" t="n">
        <v>24.514</v>
      </c>
      <c r="E562" s="215" t="n"/>
      <c r="F562" s="262" t="n">
        <v>112632</v>
      </c>
      <c r="G562" s="263" t="inlineStr">
        <is>
          <t>Automatico testa diametro mm. 28 accoppiato per spessori da 6 mm a 38 mm tras</t>
        </is>
      </c>
      <c r="H562" s="264" t="n">
        <v>250</v>
      </c>
      <c r="I562" s="265" t="n">
        <v>0.123</v>
      </c>
      <c r="J562" s="215" t="n"/>
      <c r="K562" s="209" t="n"/>
      <c r="L562" s="425" t="n"/>
      <c r="M562" s="962" t="n"/>
      <c r="N562" s="215" t="n"/>
    </row>
    <row r="563" ht="12.75" customHeight="1">
      <c r="A563" s="207" t="n">
        <v>793219</v>
      </c>
      <c r="B563" s="209" t="inlineStr">
        <is>
          <t>Distributore Di Nastro In Velcro - Fibbia/Gancio - 25M</t>
        </is>
      </c>
      <c r="C563" s="209" t="n">
        <v>25</v>
      </c>
      <c r="D563" s="960" t="n">
        <v>33.887</v>
      </c>
      <c r="E563" s="215" t="n"/>
      <c r="F563" s="262" t="n">
        <v>112633</v>
      </c>
      <c r="G563" s="263" t="inlineStr">
        <is>
          <t>Automatico testa diametro mm. 28 accoppiato per spessori da 6 mm a 32 mm tras</t>
        </is>
      </c>
      <c r="H563" s="264" t="n">
        <v>250</v>
      </c>
      <c r="I563" s="265" t="n">
        <v>0.123</v>
      </c>
      <c r="J563" s="215" t="n"/>
      <c r="K563" s="209" t="n"/>
      <c r="L563" s="425" t="n"/>
      <c r="M563" s="962" t="n"/>
      <c r="N563" s="215" t="n"/>
    </row>
    <row r="564" ht="12.75" customHeight="1">
      <c r="A564" s="207" t="n">
        <v>793259</v>
      </c>
      <c r="B564" s="209" t="inlineStr">
        <is>
          <t>Nastro Adesivo In Velcro Misto Traslucido - 10mmx20M</t>
        </is>
      </c>
      <c r="C564" s="209" t="n">
        <v>1</v>
      </c>
      <c r="D564" s="960" t="n">
        <v>45.217</v>
      </c>
      <c r="E564" s="215" t="n"/>
      <c r="F564" s="262" t="n">
        <v>112635</v>
      </c>
      <c r="G564" s="263" t="inlineStr">
        <is>
          <t>Automatico testa diametro mm. 28 accoppiato per spessori da 6 mm a 15 mm bian</t>
        </is>
      </c>
      <c r="H564" s="264" t="n">
        <v>250</v>
      </c>
      <c r="I564" s="265" t="n">
        <v>0.12</v>
      </c>
      <c r="J564" s="215" t="n"/>
      <c r="K564" s="209" t="n"/>
      <c r="L564" s="425" t="n"/>
      <c r="M564" s="962" t="n"/>
      <c r="N564" s="215" t="n"/>
    </row>
    <row r="565">
      <c r="A565" s="207" t="n">
        <v>793260</v>
      </c>
      <c r="B565" s="209" t="inlineStr">
        <is>
          <t>Nastro Di Bollini  Adesivi In Velcro Misto Traslucido - 10mmx20M</t>
        </is>
      </c>
      <c r="C565" s="207" t="n">
        <v>1</v>
      </c>
      <c r="D565" s="960" t="n">
        <v>89.816</v>
      </c>
      <c r="E565" s="214" t="n"/>
      <c r="F565" s="262" t="n">
        <v>112636</v>
      </c>
      <c r="G565" s="263" t="inlineStr">
        <is>
          <t>Automatico testa diametro mm. 28 accoppiato per spessori da 6 mm a 22 mm bian</t>
        </is>
      </c>
      <c r="H565" s="264" t="n">
        <v>250</v>
      </c>
      <c r="I565" s="265" t="n">
        <v>0.12</v>
      </c>
      <c r="J565" s="214" t="n"/>
      <c r="K565" s="208" t="n"/>
      <c r="L565" s="424" t="n"/>
      <c r="M565" s="961" t="n"/>
      <c r="N565" s="214" t="n"/>
    </row>
    <row r="566">
      <c r="A566" s="207" t="n">
        <v>793226</v>
      </c>
      <c r="B566" s="209" t="inlineStr">
        <is>
          <t>Bobina Carafix Bianco Fibbia/Gancio 20mmx25M</t>
        </is>
      </c>
      <c r="C566" s="207" t="n">
        <v>1</v>
      </c>
      <c r="D566" s="960" t="n">
        <v>25.75</v>
      </c>
      <c r="E566" s="214" t="n"/>
      <c r="F566" s="262" t="n">
        <v>112637</v>
      </c>
      <c r="G566" s="263" t="inlineStr">
        <is>
          <t>Automatico testa diametro mm. 28 accoppiato per spessori da 6 mm a 38 mm bian</t>
        </is>
      </c>
      <c r="H566" s="264" t="n">
        <v>250</v>
      </c>
      <c r="I566" s="265" t="n">
        <v>0.12</v>
      </c>
      <c r="J566" s="214" t="n"/>
      <c r="K566" s="208" t="n"/>
      <c r="L566" s="424" t="n"/>
      <c r="M566" s="961" t="n"/>
      <c r="N566" s="214" t="n"/>
    </row>
    <row r="567">
      <c r="A567" s="207" t="n">
        <v>715028</v>
      </c>
      <c r="B567" s="209" t="inlineStr">
        <is>
          <t>Neodimio Magnetico -Ø9.5mm Sp:0,75mm</t>
        </is>
      </c>
      <c r="C567" s="207" t="n">
        <v>100</v>
      </c>
      <c r="D567" s="960" t="n">
        <v>0.2833</v>
      </c>
      <c r="E567" s="214" t="n"/>
      <c r="F567" s="262" t="n">
        <v>112638</v>
      </c>
      <c r="G567" s="263" t="inlineStr">
        <is>
          <t>Automatico testa diametro mm. 28 accoppiato per spessori da 6 mm a 32 mm bian</t>
        </is>
      </c>
      <c r="H567" s="264" t="n">
        <v>250</v>
      </c>
      <c r="I567" s="265" t="n">
        <v>0.12</v>
      </c>
      <c r="J567" s="214" t="n"/>
      <c r="K567" s="208" t="n"/>
      <c r="L567" s="424" t="n"/>
      <c r="M567" s="961" t="n"/>
      <c r="N567" s="214" t="n"/>
    </row>
    <row r="568">
      <c r="A568" s="207" t="n">
        <v>715030</v>
      </c>
      <c r="B568" s="209" t="inlineStr">
        <is>
          <t>Neodimio Magnetico -Ø9.5mm Sp:1,5mm</t>
        </is>
      </c>
      <c r="C568" s="207" t="n">
        <v>100</v>
      </c>
      <c r="D568" s="960" t="n">
        <v>0.19</v>
      </c>
      <c r="E568" s="214" t="n"/>
      <c r="F568" s="262" t="n">
        <v>112640</v>
      </c>
      <c r="G568" s="263" t="inlineStr">
        <is>
          <t>Automatico testa diametro mm. 28 accoppiato per spessori da 6 mm a 15 mm ner</t>
        </is>
      </c>
      <c r="H568" s="264" t="n">
        <v>250</v>
      </c>
      <c r="I568" s="265" t="n">
        <v>0.12</v>
      </c>
      <c r="J568" s="214" t="n"/>
      <c r="K568" s="208" t="n"/>
      <c r="L568" s="424" t="n"/>
      <c r="M568" s="961" t="n"/>
      <c r="N568" s="214" t="n"/>
    </row>
    <row r="569">
      <c r="A569" s="207" t="n">
        <v>171220</v>
      </c>
      <c r="B569" s="209" t="inlineStr">
        <is>
          <t>Dispenser 3M-Atg 700</t>
        </is>
      </c>
      <c r="C569" s="207" t="n">
        <v>1</v>
      </c>
      <c r="D569" s="960" t="n">
        <v>49.337</v>
      </c>
      <c r="E569" s="214" t="n"/>
      <c r="F569" s="262" t="n">
        <v>112641</v>
      </c>
      <c r="G569" s="263" t="inlineStr">
        <is>
          <t>Automatico testa diametro mm. 28 accoppiato per spessori da 6 mm a 22 mm ner</t>
        </is>
      </c>
      <c r="H569" s="264" t="n">
        <v>250</v>
      </c>
      <c r="I569" s="265" t="n">
        <v>0.12</v>
      </c>
      <c r="J569" s="214" t="n"/>
      <c r="K569" s="208" t="n"/>
      <c r="L569" s="424" t="n"/>
      <c r="M569" s="961" t="n"/>
      <c r="N569" s="214" t="n"/>
    </row>
    <row r="570">
      <c r="A570" s="207" t="n">
        <v>171222</v>
      </c>
      <c r="B570" s="209" t="inlineStr">
        <is>
          <t>Nastro Trasferibile Per Dispenser 3M 904 - 12mm X 25 M</t>
        </is>
      </c>
      <c r="C570" s="207" t="n">
        <v>1</v>
      </c>
      <c r="D570" s="960" t="n">
        <v>3.8625</v>
      </c>
      <c r="E570" s="214" t="n"/>
      <c r="F570" s="262" t="n">
        <v>112642</v>
      </c>
      <c r="G570" s="263" t="inlineStr">
        <is>
          <t>Automatico testa diametro mm. 28 accoppiato per spessori da 6 mm a 38 mm ner</t>
        </is>
      </c>
      <c r="H570" s="264" t="n">
        <v>250</v>
      </c>
      <c r="I570" s="265" t="n">
        <v>0.12</v>
      </c>
      <c r="J570" s="214" t="n"/>
      <c r="K570" s="208" t="n"/>
      <c r="L570" s="424" t="n"/>
      <c r="M570" s="961" t="n"/>
      <c r="N570" s="214" t="n"/>
    </row>
    <row r="571">
      <c r="A571" s="207" t="n">
        <v>171224</v>
      </c>
      <c r="B571" s="209" t="inlineStr">
        <is>
          <t>Nastro Trasferibile Per Dispenser 3M 904 - 19 mm X 25 M</t>
        </is>
      </c>
      <c r="C571" s="207" t="n">
        <v>1</v>
      </c>
      <c r="D571" s="960" t="n">
        <v>5.974</v>
      </c>
      <c r="E571" s="214" t="n"/>
      <c r="F571" s="262" t="n">
        <v>112643</v>
      </c>
      <c r="G571" s="263" t="inlineStr">
        <is>
          <t>Automatico testa diametro mm. 28 accoppiato per spessori da 6 mm a 32 mm ner</t>
        </is>
      </c>
      <c r="H571" s="264" t="n">
        <v>250</v>
      </c>
      <c r="I571" s="265" t="n">
        <v>0.12</v>
      </c>
      <c r="J571" s="214" t="n"/>
      <c r="K571" s="208" t="n"/>
      <c r="L571" s="424" t="n"/>
      <c r="M571" s="961" t="n"/>
      <c r="N571" s="214" t="n"/>
    </row>
    <row r="572">
      <c r="A572" s="207" t="n">
        <v>171226</v>
      </c>
      <c r="B572" s="209" t="inlineStr">
        <is>
          <t>Nastro Trasferibile Per Dispenser 3M 924 - 12 mm X 55 M</t>
        </is>
      </c>
      <c r="C572" s="207" t="n">
        <v>1</v>
      </c>
      <c r="D572" s="960" t="n">
        <v>9.579000000000001</v>
      </c>
      <c r="E572" s="214" t="n"/>
      <c r="F572" s="262" t="n">
        <v>112645</v>
      </c>
      <c r="G572" s="263" t="inlineStr">
        <is>
          <t>Automatico a pressione testa diametro mm. 15 accoppiato per spessori da 0 a 8 m</t>
        </is>
      </c>
      <c r="H572" s="264" t="n">
        <v>500</v>
      </c>
      <c r="I572" s="265" t="n">
        <v>0.08400000000000001</v>
      </c>
      <c r="J572" s="214" t="n"/>
      <c r="K572" s="208" t="n"/>
      <c r="L572" s="424" t="n"/>
      <c r="M572" s="961" t="n"/>
      <c r="N572" s="214" t="n"/>
    </row>
    <row r="573">
      <c r="A573" s="207" t="n">
        <v>171233</v>
      </c>
      <c r="B573" s="209" t="inlineStr">
        <is>
          <t>Nastro Trasferibile Per Dispenser 3M 924 - 19 mm X 55M</t>
        </is>
      </c>
      <c r="C573" s="207" t="n">
        <v>1</v>
      </c>
      <c r="D573" s="960" t="n">
        <v>14.523</v>
      </c>
      <c r="E573" s="214" t="n"/>
      <c r="F573" s="262" t="n">
        <v>112646</v>
      </c>
      <c r="G573" s="263" t="inlineStr">
        <is>
          <t>Automatico a pressione testa diametro mm. 15 accoppiato per spessori da 0 a 15</t>
        </is>
      </c>
      <c r="H573" s="264" t="n">
        <v>500</v>
      </c>
      <c r="I573" s="265" t="n">
        <v>0.08699999999999999</v>
      </c>
      <c r="J573" s="214" t="n"/>
      <c r="K573" s="208" t="n"/>
      <c r="L573" s="424" t="n"/>
      <c r="M573" s="961" t="n"/>
      <c r="N573" s="214" t="n"/>
    </row>
    <row r="574">
      <c r="A574" s="207" t="n">
        <v>171237</v>
      </c>
      <c r="B574" s="209" t="inlineStr">
        <is>
          <t>Nastro Trasferibile Per Dispenser 3M 969 - 12mm X  33 M</t>
        </is>
      </c>
      <c r="C574" s="207" t="n">
        <v>1</v>
      </c>
      <c r="D574" s="960" t="n">
        <v>21.527</v>
      </c>
      <c r="E574" s="214" t="n"/>
      <c r="F574" s="262" t="n">
        <v>112647</v>
      </c>
      <c r="G574" s="263" t="inlineStr">
        <is>
          <t>Automatico a pressione testa diametro mm. 15 accoppiato per spessori da 0 a 22</t>
        </is>
      </c>
      <c r="H574" s="264" t="n">
        <v>500</v>
      </c>
      <c r="I574" s="265" t="n">
        <v>0.09</v>
      </c>
      <c r="J574" s="214" t="n"/>
      <c r="K574" s="208" t="n"/>
      <c r="L574" s="424" t="n"/>
      <c r="M574" s="961" t="n"/>
      <c r="N574" s="214" t="n"/>
    </row>
    <row r="575">
      <c r="A575" s="207" t="n">
        <v>171239</v>
      </c>
      <c r="B575" s="209" t="inlineStr">
        <is>
          <t>Nastro Trasferibile Per Dispenser 3M 969 - 19mm X  33 M</t>
        </is>
      </c>
      <c r="C575" s="207" t="n">
        <v>1</v>
      </c>
      <c r="D575" s="960" t="n">
        <v>29.767</v>
      </c>
      <c r="E575" s="214" t="n"/>
      <c r="F575" s="262" t="n">
        <v>112648</v>
      </c>
      <c r="G575" s="263" t="inlineStr">
        <is>
          <t>Automatico a pressione testa diametro mm. 15 accoppiato per spessori da 0 a 38</t>
        </is>
      </c>
      <c r="H575" s="264" t="n">
        <v>500</v>
      </c>
      <c r="I575" s="265" t="n">
        <v>0.097</v>
      </c>
      <c r="J575" s="214" t="n"/>
      <c r="K575" s="208" t="n"/>
      <c r="L575" s="424" t="n"/>
      <c r="M575" s="961" t="n"/>
      <c r="N575" s="214" t="n"/>
    </row>
    <row r="576">
      <c r="A576" s="207" t="n">
        <v>171266</v>
      </c>
      <c r="B576" s="209" t="inlineStr">
        <is>
          <t>Bifacciale Cartack 8 mmx50 M</t>
        </is>
      </c>
      <c r="C576" s="207" t="n">
        <v>1</v>
      </c>
      <c r="D576" s="960" t="n">
        <v>10.815</v>
      </c>
      <c r="E576" s="214" t="n"/>
      <c r="F576" s="262" t="n">
        <v>112650</v>
      </c>
      <c r="G576" s="263" t="inlineStr">
        <is>
          <t>Automatico a pressione testa diametro mm. 15 accoppiato per spessori da 0 a 8 m</t>
        </is>
      </c>
      <c r="H576" s="264" t="n">
        <v>500</v>
      </c>
      <c r="I576" s="265" t="n">
        <v>0.079</v>
      </c>
      <c r="J576" s="214" t="n"/>
      <c r="K576" s="208" t="n"/>
      <c r="L576" s="424" t="n"/>
      <c r="M576" s="961" t="n"/>
      <c r="N576" s="214" t="n"/>
    </row>
    <row r="577">
      <c r="A577" s="207" t="n">
        <v>171247</v>
      </c>
      <c r="B577" s="209" t="inlineStr">
        <is>
          <t>Bifacciale Cartack 390- 12 mmx25 M</t>
        </is>
      </c>
      <c r="C577" s="207" t="n">
        <v>1</v>
      </c>
      <c r="D577" s="960" t="n">
        <v>6.077</v>
      </c>
      <c r="E577" s="214" t="n"/>
      <c r="F577" s="262" t="n">
        <v>112651</v>
      </c>
      <c r="G577" s="263" t="inlineStr">
        <is>
          <t>Automatico a pressione testa diametro mm. 15 accoppiato per spessori da 0 a 15</t>
        </is>
      </c>
      <c r="H577" s="264" t="n">
        <v>500</v>
      </c>
      <c r="I577" s="265" t="n">
        <v>0.08500000000000001</v>
      </c>
      <c r="J577" s="214" t="n"/>
      <c r="K577" s="208" t="n"/>
      <c r="L577" s="424" t="n"/>
      <c r="M577" s="961" t="n"/>
      <c r="N577" s="214" t="n"/>
    </row>
    <row r="578">
      <c r="A578" s="207" t="n">
        <v>171267</v>
      </c>
      <c r="B578" s="209" t="inlineStr">
        <is>
          <t>Bifacciale Cartack 15mmx50 M</t>
        </is>
      </c>
      <c r="C578" s="207" t="n">
        <v>1</v>
      </c>
      <c r="D578" s="960" t="n">
        <v>12.36</v>
      </c>
      <c r="E578" s="214" t="n"/>
      <c r="F578" s="262" t="n">
        <v>112652</v>
      </c>
      <c r="G578" s="263" t="inlineStr">
        <is>
          <t>Automatico a pressione testa diametro mm. 15 accoppiato per spessori da 0 a 22</t>
        </is>
      </c>
      <c r="H578" s="264" t="n">
        <v>500</v>
      </c>
      <c r="I578" s="265" t="n">
        <v>0.08799999999999999</v>
      </c>
      <c r="J578" s="214" t="n"/>
      <c r="K578" s="208" t="n"/>
      <c r="L578" s="424" t="n"/>
      <c r="M578" s="961" t="n"/>
      <c r="N578" s="214" t="n"/>
    </row>
    <row r="579">
      <c r="A579" s="207" t="n">
        <v>171268</v>
      </c>
      <c r="B579" s="209" t="inlineStr">
        <is>
          <t>Bifacciale Cartack 18mmx50 M</t>
        </is>
      </c>
      <c r="C579" s="207" t="n">
        <v>1</v>
      </c>
      <c r="D579" s="960" t="n">
        <v>14.523</v>
      </c>
      <c r="E579" s="214" t="n"/>
      <c r="F579" s="262" t="n">
        <v>112653</v>
      </c>
      <c r="G579" s="263" t="inlineStr">
        <is>
          <t>Automatico a pressione testa diametro mm. 15 accoppiato per spessori da 0 a 38</t>
        </is>
      </c>
      <c r="H579" s="264" t="n">
        <v>500</v>
      </c>
      <c r="I579" s="265" t="n">
        <v>0.095</v>
      </c>
      <c r="J579" s="214" t="n"/>
      <c r="K579" s="208" t="n"/>
      <c r="L579" s="424" t="n"/>
      <c r="M579" s="961" t="n"/>
      <c r="N579" s="214" t="n"/>
    </row>
    <row r="580">
      <c r="A580" s="207" t="n">
        <v>171248</v>
      </c>
      <c r="B580" s="209" t="inlineStr">
        <is>
          <t>Bifacciale Cartack 390- 19mmx25M</t>
        </is>
      </c>
      <c r="C580" s="207" t="n">
        <v>1</v>
      </c>
      <c r="D580" s="960" t="n">
        <v>10.4545</v>
      </c>
      <c r="E580" s="214" t="n"/>
      <c r="F580" s="262" t="n">
        <v>112655</v>
      </c>
      <c r="G580" s="263" t="inlineStr">
        <is>
          <t>Automatico a pressione testa diametro mm. 15 accoppiato per spessori da 0 a 8 m</t>
        </is>
      </c>
      <c r="H580" s="264" t="n">
        <v>500</v>
      </c>
      <c r="I580" s="265" t="n">
        <v>0.08</v>
      </c>
      <c r="J580" s="214" t="n"/>
      <c r="K580" s="208" t="n"/>
      <c r="L580" s="424" t="n"/>
      <c r="M580" s="961" t="n"/>
      <c r="N580" s="214" t="n"/>
    </row>
    <row r="581">
      <c r="A581" s="207" t="n">
        <v>171249</v>
      </c>
      <c r="B581" s="209" t="inlineStr">
        <is>
          <t>Bifacciale Cartack 390- 25mm X 25M</t>
        </is>
      </c>
      <c r="C581" s="207" t="n">
        <v>1</v>
      </c>
      <c r="D581" s="960" t="n">
        <v>14.523</v>
      </c>
      <c r="E581" s="214" t="n"/>
      <c r="F581" s="262" t="n">
        <v>112656</v>
      </c>
      <c r="G581" s="263" t="inlineStr">
        <is>
          <t>Automatico a pressione testa diametro mm. 15 accoppiato per spessori da 0 a 15</t>
        </is>
      </c>
      <c r="H581" s="264" t="n">
        <v>500</v>
      </c>
      <c r="I581" s="265" t="n">
        <v>0.08500000000000001</v>
      </c>
      <c r="J581" s="214" t="n"/>
      <c r="K581" s="208" t="n"/>
      <c r="L581" s="424" t="n"/>
      <c r="M581" s="961" t="n"/>
      <c r="N581" s="214" t="n"/>
    </row>
    <row r="582">
      <c r="A582" s="207" t="n">
        <v>171269</v>
      </c>
      <c r="B582" s="209" t="inlineStr">
        <is>
          <t>Bifacciale Cartack 390- 25mm X 50M</t>
        </is>
      </c>
      <c r="C582" s="207" t="n">
        <v>1</v>
      </c>
      <c r="D582" s="960" t="n">
        <v>20.497</v>
      </c>
      <c r="E582" s="214" t="n"/>
      <c r="F582" s="262" t="n">
        <v>112657</v>
      </c>
      <c r="G582" s="263" t="inlineStr">
        <is>
          <t>Automatico a pressione testa diametro mm. 15 accoppiato per spessori da 0 a 22</t>
        </is>
      </c>
      <c r="H582" s="264" t="n">
        <v>500</v>
      </c>
      <c r="I582" s="265" t="n">
        <v>0.08699999999999999</v>
      </c>
      <c r="J582" s="214" t="n"/>
      <c r="K582" s="208" t="n"/>
      <c r="L582" s="424" t="n"/>
      <c r="M582" s="961" t="n"/>
      <c r="N582" s="214" t="n"/>
    </row>
    <row r="583">
      <c r="A583" s="207" t="n">
        <v>171270</v>
      </c>
      <c r="B583" s="209" t="inlineStr">
        <is>
          <t>Bifacciale Cartack 391- 12mmx33M</t>
        </is>
      </c>
      <c r="C583" s="207" t="n">
        <v>1</v>
      </c>
      <c r="D583" s="960" t="n">
        <v>7.004</v>
      </c>
      <c r="E583" s="214" t="n"/>
      <c r="F583" s="262" t="n">
        <v>112658</v>
      </c>
      <c r="G583" s="263" t="inlineStr">
        <is>
          <t>Automatico a pressione testa diametro mm. 15 accoppiato per spessori da 0 a 38</t>
        </is>
      </c>
      <c r="H583" s="264" t="n">
        <v>500</v>
      </c>
      <c r="I583" s="265" t="n">
        <v>0.095</v>
      </c>
      <c r="J583" s="214" t="n"/>
      <c r="K583" s="208" t="n"/>
      <c r="L583" s="424" t="n"/>
      <c r="M583" s="961" t="n"/>
      <c r="N583" s="214" t="n"/>
    </row>
    <row r="584">
      <c r="A584" s="207" t="n">
        <v>343020</v>
      </c>
      <c r="B584" s="209" t="inlineStr">
        <is>
          <t>Bifacciale  Cartack 391- 19mmx33M</t>
        </is>
      </c>
      <c r="C584" s="207" t="n">
        <v>33</v>
      </c>
      <c r="D584" s="960" t="n">
        <v>11.433</v>
      </c>
      <c r="E584" s="214" t="n"/>
      <c r="F584" s="262" t="n">
        <v>112660</v>
      </c>
      <c r="G584" s="263" t="inlineStr">
        <is>
          <t>Automatico testa diametro mm. 28 femmina piatta accoppiato per spessori da 0 a</t>
        </is>
      </c>
      <c r="H584" s="264" t="n">
        <v>250</v>
      </c>
      <c r="I584" s="265" t="n">
        <v>0.123</v>
      </c>
      <c r="J584" s="214" t="n"/>
      <c r="K584" s="208" t="n"/>
      <c r="L584" s="424" t="n"/>
      <c r="M584" s="961" t="n"/>
      <c r="N584" s="214" t="n"/>
    </row>
    <row r="585">
      <c r="A585" s="207" t="n">
        <v>171272</v>
      </c>
      <c r="B585" s="209" t="inlineStr">
        <is>
          <t>Bifacciale Cartack 391- 25mm X 33M</t>
        </is>
      </c>
      <c r="C585" s="207" t="n">
        <v>1</v>
      </c>
      <c r="D585" s="960" t="n">
        <v>13.39</v>
      </c>
      <c r="E585" s="214" t="n"/>
      <c r="F585" s="262" t="n">
        <v>112661</v>
      </c>
      <c r="G585" s="263" t="inlineStr">
        <is>
          <t>Automatico testa diametro mm. 28 femmina piatta accoppiato per spessori da 0 a</t>
        </is>
      </c>
      <c r="H585" s="264" t="n">
        <v>250</v>
      </c>
      <c r="I585" s="265" t="n">
        <v>0.123</v>
      </c>
      <c r="J585" s="214" t="n"/>
      <c r="K585" s="208" t="n"/>
      <c r="L585" s="424" t="n"/>
      <c r="M585" s="961" t="n"/>
      <c r="N585" s="214" t="n"/>
    </row>
    <row r="586">
      <c r="A586" s="207" t="n">
        <v>171273</v>
      </c>
      <c r="B586" s="209" t="inlineStr">
        <is>
          <t>Bifacciale Cartack 4300-12mm X 66M</t>
        </is>
      </c>
      <c r="C586" s="207" t="n">
        <v>1</v>
      </c>
      <c r="D586" s="960" t="n">
        <v>9.167</v>
      </c>
      <c r="E586" s="214" t="n"/>
      <c r="F586" s="262" t="n">
        <v>112662</v>
      </c>
      <c r="G586" s="263" t="inlineStr">
        <is>
          <t>Automatico testa diametro mm. 28 femmina piatta accoppiato per spessori da 0 a</t>
        </is>
      </c>
      <c r="H586" s="264" t="n">
        <v>250</v>
      </c>
      <c r="I586" s="265" t="n">
        <v>0.123</v>
      </c>
      <c r="J586" s="214" t="n"/>
      <c r="K586" s="208" t="n"/>
      <c r="L586" s="424" t="n"/>
      <c r="M586" s="961" t="n"/>
      <c r="N586" s="214" t="n"/>
    </row>
    <row r="587">
      <c r="A587" s="207" t="n">
        <v>171274</v>
      </c>
      <c r="B587" s="209" t="inlineStr">
        <is>
          <t>Bifacciale Cartack 4300- 19mmx66M</t>
        </is>
      </c>
      <c r="C587" s="207" t="n">
        <v>1</v>
      </c>
      <c r="D587" s="960" t="n">
        <v>13.081</v>
      </c>
      <c r="E587" s="214" t="n"/>
      <c r="F587" s="262" t="n">
        <v>112663</v>
      </c>
      <c r="G587" s="263" t="inlineStr">
        <is>
          <t>Automatico testa diametro mm. 28 femmina piatta accoppiato per spessori da 0 a</t>
        </is>
      </c>
      <c r="H587" s="264" t="n">
        <v>250</v>
      </c>
      <c r="I587" s="265" t="n">
        <v>0.123</v>
      </c>
      <c r="J587" s="214" t="n"/>
      <c r="K587" s="208" t="n"/>
      <c r="L587" s="424" t="n"/>
      <c r="M587" s="961" t="n"/>
      <c r="N587" s="214" t="n"/>
    </row>
    <row r="588">
      <c r="A588" s="207" t="n">
        <v>171275</v>
      </c>
      <c r="B588" s="209" t="inlineStr">
        <is>
          <t>Bifacciale Cartack 398 -19mm X25M</t>
        </is>
      </c>
      <c r="C588" s="207" t="n">
        <v>1</v>
      </c>
      <c r="D588" s="960" t="n">
        <v>9.167</v>
      </c>
      <c r="E588" s="214" t="n"/>
      <c r="F588" s="262" t="n">
        <v>112665</v>
      </c>
      <c r="G588" s="263" t="inlineStr">
        <is>
          <t>Automatico testa diametro mm. 28 femmina piatta accoppiato per spessori da 0 a</t>
        </is>
      </c>
      <c r="H588" s="264" t="n">
        <v>250</v>
      </c>
      <c r="I588" s="265" t="n">
        <v>0.12</v>
      </c>
      <c r="J588" s="214" t="n"/>
      <c r="K588" s="208" t="n"/>
      <c r="L588" s="424" t="n"/>
      <c r="M588" s="961" t="n"/>
      <c r="N588" s="214" t="n"/>
    </row>
    <row r="589">
      <c r="A589" s="207" t="n">
        <v>171276</v>
      </c>
      <c r="B589" s="209" t="inlineStr">
        <is>
          <t>Bifacciale Cartack 398-25 X 25mm</t>
        </is>
      </c>
      <c r="C589" s="207" t="n">
        <v>1</v>
      </c>
      <c r="D589" s="960" t="n">
        <v>12.3085</v>
      </c>
      <c r="E589" s="214" t="n"/>
      <c r="F589" s="262" t="n">
        <v>112666</v>
      </c>
      <c r="G589" s="263" t="inlineStr">
        <is>
          <t>Automatico testa diametro mm. 28 femmina piatta accoppiato per spessori da 0 a</t>
        </is>
      </c>
      <c r="H589" s="264" t="n">
        <v>250</v>
      </c>
      <c r="I589" s="265" t="n">
        <v>0.12</v>
      </c>
      <c r="J589" s="214" t="n"/>
      <c r="K589" s="208" t="n"/>
      <c r="L589" s="424" t="n"/>
      <c r="M589" s="961" t="n"/>
      <c r="N589" s="214" t="n"/>
    </row>
    <row r="590">
      <c r="A590" s="207" t="n">
        <v>171277</v>
      </c>
      <c r="B590" s="209" t="inlineStr">
        <is>
          <t>Bifacciale Cartack 1700- 6mm X 50M</t>
        </is>
      </c>
      <c r="C590" s="207" t="n">
        <v>1</v>
      </c>
      <c r="D590" s="960" t="n">
        <v>1.4935</v>
      </c>
      <c r="E590" s="214" t="n"/>
      <c r="F590" s="262" t="n">
        <v>112667</v>
      </c>
      <c r="G590" s="263" t="inlineStr">
        <is>
          <t>Automatico testa diametro mm. 28 femmina piatta accoppiato per spessori da 0 a</t>
        </is>
      </c>
      <c r="H590" s="264" t="n">
        <v>250</v>
      </c>
      <c r="I590" s="265" t="n">
        <v>0.12</v>
      </c>
      <c r="J590" s="214" t="n"/>
      <c r="K590" s="208" t="n"/>
      <c r="L590" s="424" t="n"/>
      <c r="M590" s="961" t="n"/>
      <c r="N590" s="214" t="n"/>
    </row>
    <row r="591">
      <c r="A591" s="207" t="n">
        <v>171230</v>
      </c>
      <c r="B591" s="209" t="inlineStr">
        <is>
          <t>Bifacciale Cartack 1700 -9mm X 50M</t>
        </is>
      </c>
      <c r="C591" s="207" t="n">
        <v>1</v>
      </c>
      <c r="D591" s="960" t="n">
        <v>2.163</v>
      </c>
      <c r="E591" s="214" t="n"/>
      <c r="F591" s="262" t="n">
        <v>112668</v>
      </c>
      <c r="G591" s="263" t="inlineStr">
        <is>
          <t>Automatico testa diametro mm. 28 femmina piatta accoppiato per spessori da 0 a</t>
        </is>
      </c>
      <c r="H591" s="264" t="n">
        <v>250</v>
      </c>
      <c r="I591" s="265" t="n">
        <v>0.12</v>
      </c>
      <c r="J591" s="214" t="n"/>
      <c r="K591" s="208" t="n"/>
      <c r="L591" s="424" t="n"/>
      <c r="M591" s="961" t="n"/>
      <c r="N591" s="214" t="n"/>
    </row>
    <row r="592">
      <c r="A592" s="207" t="n">
        <v>171232</v>
      </c>
      <c r="B592" s="209" t="inlineStr">
        <is>
          <t>Bifacciale Cartack 1700 -12mmx50M</t>
        </is>
      </c>
      <c r="C592" s="207" t="n">
        <v>1</v>
      </c>
      <c r="D592" s="960" t="n">
        <v>2.987</v>
      </c>
      <c r="E592" s="214" t="n"/>
      <c r="F592" s="262" t="n">
        <v>112670</v>
      </c>
      <c r="G592" s="263" t="inlineStr">
        <is>
          <t>Automatico testa diametro mm. 28 femmina piatta accoppiato per spessori da 0 a</t>
        </is>
      </c>
      <c r="H592" s="264" t="n">
        <v>250</v>
      </c>
      <c r="I592" s="265" t="n">
        <v>0.12</v>
      </c>
      <c r="J592" s="214" t="n"/>
      <c r="K592" s="208" t="n"/>
      <c r="L592" s="424" t="n"/>
      <c r="M592" s="961" t="n"/>
      <c r="N592" s="214" t="n"/>
    </row>
    <row r="593">
      <c r="A593" s="207" t="n">
        <v>171234</v>
      </c>
      <c r="B593" s="209" t="inlineStr">
        <is>
          <t>Bifacciale Cartack 1700- 19mmx50M</t>
        </is>
      </c>
      <c r="C593" s="207" t="n">
        <v>1</v>
      </c>
      <c r="D593" s="960" t="n">
        <v>4.223</v>
      </c>
      <c r="E593" s="214" t="n"/>
      <c r="F593" s="262" t="n">
        <v>112671</v>
      </c>
      <c r="G593" s="263" t="inlineStr">
        <is>
          <t>Automatico testa diametro mm. 28 femmina piatta accoppiato per spessori da 0 a</t>
        </is>
      </c>
      <c r="H593" s="264" t="n">
        <v>250</v>
      </c>
      <c r="I593" s="265" t="n">
        <v>0.12</v>
      </c>
      <c r="J593" s="214" t="n"/>
      <c r="K593" s="208" t="n"/>
      <c r="L593" s="424" t="n"/>
      <c r="M593" s="961" t="n"/>
      <c r="N593" s="214" t="n"/>
    </row>
    <row r="594">
      <c r="A594" s="207" t="n">
        <v>171278</v>
      </c>
      <c r="B594" s="209" t="inlineStr">
        <is>
          <t>Bifacciale Cartack 1700-25mmx50M</t>
        </is>
      </c>
      <c r="C594" s="207" t="n">
        <v>1</v>
      </c>
      <c r="D594" s="960" t="n">
        <v>4.326</v>
      </c>
      <c r="E594" s="214" t="n"/>
      <c r="F594" s="262" t="n">
        <v>112672</v>
      </c>
      <c r="G594" s="263" t="inlineStr">
        <is>
          <t>Automatico testa diametro mm. 28 femmina piatta accoppiato per spessori da 0 a</t>
        </is>
      </c>
      <c r="H594" s="264" t="n">
        <v>250</v>
      </c>
      <c r="I594" s="265" t="n">
        <v>0.12</v>
      </c>
      <c r="J594" s="214" t="n"/>
      <c r="K594" s="208" t="n"/>
      <c r="L594" s="424" t="n"/>
      <c r="M594" s="961" t="n"/>
      <c r="N594" s="214" t="n"/>
    </row>
    <row r="595">
      <c r="A595" s="207" t="n">
        <v>171279</v>
      </c>
      <c r="B595" s="209" t="inlineStr">
        <is>
          <t>Bifacciale Cartack 1700 - 50mmx50M</t>
        </is>
      </c>
      <c r="C595" s="207" t="n">
        <v>1</v>
      </c>
      <c r="D595" s="960" t="n">
        <v>7.6735</v>
      </c>
      <c r="E595" s="214" t="n"/>
      <c r="F595" s="262" t="n">
        <v>112673</v>
      </c>
      <c r="G595" s="263" t="inlineStr">
        <is>
          <t>Automatico testa diametro mm. 28 femmina piatta accoppiato per spessori da 0 a</t>
        </is>
      </c>
      <c r="H595" s="264" t="n">
        <v>250</v>
      </c>
      <c r="I595" s="265" t="n">
        <v>0.12</v>
      </c>
      <c r="J595" s="214" t="n"/>
      <c r="K595" s="208" t="n"/>
      <c r="L595" s="424" t="n"/>
      <c r="M595" s="961" t="n"/>
      <c r="N595" s="214" t="n"/>
    </row>
    <row r="596">
      <c r="A596" s="207" t="n">
        <v>171281</v>
      </c>
      <c r="B596" s="209" t="inlineStr">
        <is>
          <t>Bifacciale Cartack 380 - 9mm X50 M</t>
        </is>
      </c>
      <c r="C596" s="207" t="n">
        <v>1</v>
      </c>
      <c r="D596" s="960" t="n">
        <v>5.871</v>
      </c>
      <c r="E596" s="214" t="n"/>
      <c r="F596" s="262" t="n">
        <v>112700</v>
      </c>
      <c r="G596" s="263" t="inlineStr">
        <is>
          <t>Sis urna rettangolare per lotterie</t>
        </is>
      </c>
      <c r="H596" s="264" t="n">
        <v>1</v>
      </c>
      <c r="I596" s="265" t="n">
        <v>177.108</v>
      </c>
      <c r="J596" s="214" t="n"/>
      <c r="K596" s="208" t="n"/>
      <c r="L596" s="424" t="n"/>
      <c r="M596" s="961" t="n"/>
      <c r="N596" s="214" t="n"/>
    </row>
    <row r="597">
      <c r="A597" s="207" t="n">
        <v>171282</v>
      </c>
      <c r="B597" s="209" t="inlineStr">
        <is>
          <t>Bifacciale Cartack 380 -12mm X 50M</t>
        </is>
      </c>
      <c r="C597" s="207" t="n">
        <v>1</v>
      </c>
      <c r="D597" s="960" t="n">
        <v>7.313</v>
      </c>
      <c r="E597" s="214" t="n"/>
      <c r="F597" s="262" t="n">
        <v>112701</v>
      </c>
      <c r="G597" s="263" t="inlineStr">
        <is>
          <t>Sis urna quadrato per lotterie</t>
        </is>
      </c>
      <c r="H597" s="264" t="n">
        <v>1</v>
      </c>
      <c r="I597" s="265" t="n">
        <v>177.652</v>
      </c>
      <c r="J597" s="214" t="n"/>
      <c r="K597" s="208" t="n"/>
      <c r="L597" s="424" t="n"/>
      <c r="M597" s="961" t="n"/>
      <c r="N597" s="214" t="n"/>
    </row>
    <row r="598">
      <c r="A598" s="207" t="n">
        <v>171283</v>
      </c>
      <c r="B598" s="209" t="inlineStr">
        <is>
          <t>Bifacciale Cartack 380 -19mm X 50M</t>
        </is>
      </c>
      <c r="C598" s="207" t="n">
        <v>1</v>
      </c>
      <c r="D598" s="960" t="n">
        <v>10.609</v>
      </c>
      <c r="E598" s="214" t="n"/>
      <c r="F598" s="262" t="n">
        <v>112781</v>
      </c>
      <c r="G598" s="263" t="inlineStr">
        <is>
          <t>Basetta 1/3 A4 con tappo per spessori mm. 4,2</t>
        </is>
      </c>
      <c r="H598" s="264" t="n">
        <v>50</v>
      </c>
      <c r="I598" s="265" t="n">
        <v>1.111</v>
      </c>
      <c r="J598" s="214" t="n"/>
      <c r="K598" s="208" t="n"/>
      <c r="L598" s="424" t="n"/>
      <c r="M598" s="961" t="n"/>
      <c r="N598" s="214" t="n"/>
    </row>
    <row r="599">
      <c r="A599" s="207" t="n">
        <v>171284</v>
      </c>
      <c r="B599" s="209" t="inlineStr">
        <is>
          <t>Bifacciale Cartack 705T-12mm X 33M</t>
        </is>
      </c>
      <c r="C599" s="207" t="n">
        <v>1</v>
      </c>
      <c r="D599" s="960" t="n">
        <v>27.192</v>
      </c>
      <c r="E599" s="214" t="n"/>
      <c r="F599" s="262" t="n">
        <v>112783</v>
      </c>
      <c r="G599" s="263" t="inlineStr">
        <is>
          <t>Basetta 1/3 A4 con tappo per spessori mm. 1,7/1,8</t>
        </is>
      </c>
      <c r="H599" s="264" t="n">
        <v>50</v>
      </c>
      <c r="I599" s="265" t="n">
        <v>1.558</v>
      </c>
      <c r="J599" s="214" t="n"/>
      <c r="K599" s="208" t="n"/>
      <c r="L599" s="424" t="n"/>
      <c r="M599" s="961" t="n"/>
      <c r="N599" s="214" t="n"/>
    </row>
    <row r="600">
      <c r="A600" s="207" t="n">
        <v>171285</v>
      </c>
      <c r="B600" s="209" t="inlineStr">
        <is>
          <t>Bifacciale Cartack 705T-19mm X33M</t>
        </is>
      </c>
      <c r="C600" s="207" t="n">
        <v>1</v>
      </c>
      <c r="D600" s="960" t="n">
        <v>40.994</v>
      </c>
      <c r="E600" s="214" t="n"/>
      <c r="F600" s="262" t="n">
        <v>112791</v>
      </c>
      <c r="G600" s="263" t="inlineStr">
        <is>
          <t>Basetta 1/3 A4 con tappo per spessori mm. 4,2 con tasca in metacrilato</t>
        </is>
      </c>
      <c r="H600" s="264" t="n">
        <v>50</v>
      </c>
      <c r="I600" s="265" t="n">
        <v>2.545</v>
      </c>
      <c r="J600" s="214" t="n"/>
      <c r="K600" s="208" t="n"/>
      <c r="L600" s="424" t="n"/>
      <c r="M600" s="961" t="n"/>
      <c r="N600" s="214" t="n"/>
    </row>
    <row r="601">
      <c r="A601" s="207" t="n">
        <v>171286</v>
      </c>
      <c r="B601" s="209" t="inlineStr">
        <is>
          <t>Bifacciale Cartack 705T-25mm X33M</t>
        </is>
      </c>
      <c r="C601" s="207" t="n">
        <v>1</v>
      </c>
      <c r="D601" s="960" t="n">
        <v>53.869</v>
      </c>
      <c r="E601" s="214" t="n"/>
      <c r="F601" s="262" t="n">
        <v>112793</v>
      </c>
      <c r="G601" s="263" t="inlineStr">
        <is>
          <t>Basetta 1/3 A4 con tappo per spessori mm. 1,7/1,8 con tasca in PVC</t>
        </is>
      </c>
      <c r="H601" s="264" t="n">
        <v>50</v>
      </c>
      <c r="I601" s="265" t="n">
        <v>2.073</v>
      </c>
      <c r="J601" s="214" t="n"/>
      <c r="K601" s="208" t="n"/>
      <c r="L601" s="424" t="n"/>
      <c r="M601" s="961" t="n"/>
      <c r="N601" s="214" t="n"/>
    </row>
    <row r="602">
      <c r="A602" s="207" t="n">
        <v>171287</v>
      </c>
      <c r="B602" s="209" t="inlineStr">
        <is>
          <t>Bifacciale Cartack 710T-12mm X 33M</t>
        </is>
      </c>
      <c r="C602" s="207" t="n">
        <v>1</v>
      </c>
      <c r="D602" s="960" t="n">
        <v>36.05</v>
      </c>
      <c r="E602" s="214" t="n"/>
      <c r="F602" s="262" t="n">
        <v>112811</v>
      </c>
      <c r="G602" s="263" t="inlineStr">
        <is>
          <t>Basetta A5 con tappo per spessori mm. 4,2</t>
        </is>
      </c>
      <c r="H602" s="264" t="n">
        <v>50</v>
      </c>
      <c r="I602" s="265" t="n">
        <v>1.227</v>
      </c>
      <c r="J602" s="214" t="n"/>
      <c r="K602" s="208" t="n"/>
      <c r="L602" s="424" t="n"/>
      <c r="M602" s="961" t="n"/>
      <c r="N602" s="214" t="n"/>
    </row>
    <row r="603">
      <c r="A603" s="207" t="n">
        <v>171288</v>
      </c>
      <c r="B603" s="209" t="inlineStr">
        <is>
          <t>Bifacciale Cartack 710T-19 mm X33M</t>
        </is>
      </c>
      <c r="C603" s="207" t="n">
        <v>1</v>
      </c>
      <c r="D603" s="960" t="n">
        <v>55.105</v>
      </c>
      <c r="E603" s="214" t="n"/>
      <c r="F603" s="262" t="n">
        <v>112813</v>
      </c>
      <c r="G603" s="263" t="inlineStr">
        <is>
          <t>Basetta A5 con tappo per spessori mm. 1,7/1,8</t>
        </is>
      </c>
      <c r="H603" s="264" t="n">
        <v>50</v>
      </c>
      <c r="I603" s="265" t="n">
        <v>1.843</v>
      </c>
      <c r="J603" s="214" t="n"/>
      <c r="K603" s="208" t="n"/>
      <c r="L603" s="424" t="n"/>
      <c r="M603" s="961" t="n"/>
      <c r="N603" s="214" t="n"/>
    </row>
    <row r="604">
      <c r="A604" s="207" t="n">
        <v>950050</v>
      </c>
      <c r="B604" s="209" t="inlineStr">
        <is>
          <t>Bifacciale Cartack 511B-12mm X 25M</t>
        </is>
      </c>
      <c r="C604" s="207" t="n">
        <v>25</v>
      </c>
      <c r="D604" s="960" t="n">
        <v>10.609</v>
      </c>
      <c r="E604" s="214" t="n"/>
      <c r="F604" s="262" t="n">
        <v>112821</v>
      </c>
      <c r="G604" s="263" t="inlineStr">
        <is>
          <t>Basetta A5 con tappo per spessori mm. 4,2 con tasca in metacrilato</t>
        </is>
      </c>
      <c r="H604" s="264" t="n">
        <v>20</v>
      </c>
      <c r="I604" s="265" t="n">
        <v>3.981</v>
      </c>
      <c r="J604" s="214" t="n"/>
      <c r="K604" s="208" t="n"/>
      <c r="L604" s="424" t="n"/>
      <c r="M604" s="961" t="n"/>
      <c r="N604" s="214" t="n"/>
    </row>
    <row r="605">
      <c r="A605" s="207" t="n">
        <v>950052</v>
      </c>
      <c r="B605" s="209" t="inlineStr">
        <is>
          <t>Bifacciale Cartack 511B-19mm X 25M</t>
        </is>
      </c>
      <c r="C605" s="207" t="n">
        <v>25</v>
      </c>
      <c r="D605" s="960" t="n">
        <v>13.905</v>
      </c>
      <c r="E605" s="214" t="n"/>
      <c r="F605" s="262" t="n">
        <v>112823</v>
      </c>
      <c r="G605" s="263" t="inlineStr">
        <is>
          <t>Basetta A5 con tappo per spessori mm. 1,7/1,8 con tasca in PVC</t>
        </is>
      </c>
      <c r="H605" s="264" t="n">
        <v>25</v>
      </c>
      <c r="I605" s="265" t="n">
        <v>2.617</v>
      </c>
      <c r="J605" s="214" t="n"/>
      <c r="K605" s="208" t="n"/>
      <c r="L605" s="424" t="n"/>
      <c r="M605" s="961" t="n"/>
      <c r="N605" s="214" t="n"/>
    </row>
    <row r="606">
      <c r="A606" s="207" t="n">
        <v>171257</v>
      </c>
      <c r="B606" s="209" t="inlineStr">
        <is>
          <t>Bifacciale Cartack 511B-25mm X 25M</t>
        </is>
      </c>
      <c r="C606" s="207" t="n">
        <v>1</v>
      </c>
      <c r="D606" s="960" t="n">
        <v>16.377</v>
      </c>
      <c r="E606" s="214" t="n"/>
      <c r="F606" s="262" t="n">
        <v>112841</v>
      </c>
      <c r="G606" s="263" t="inlineStr">
        <is>
          <t>Basetta A4 con tappo per spessori mm. 4,2</t>
        </is>
      </c>
      <c r="H606" s="264" t="n">
        <v>20</v>
      </c>
      <c r="I606" s="265" t="n">
        <v>1.513</v>
      </c>
      <c r="J606" s="214" t="n"/>
      <c r="K606" s="208" t="n"/>
      <c r="L606" s="424" t="n"/>
      <c r="M606" s="961" t="n"/>
      <c r="N606" s="214" t="n"/>
    </row>
    <row r="607">
      <c r="A607" s="207" t="n">
        <v>171289</v>
      </c>
      <c r="B607" s="209" t="inlineStr">
        <is>
          <t>Bifacciale Cartack 511T-12mm X 25M</t>
        </is>
      </c>
      <c r="C607" s="207" t="n">
        <v>1</v>
      </c>
      <c r="D607" s="960" t="n">
        <v>12.978</v>
      </c>
      <c r="E607" s="214" t="n"/>
      <c r="F607" s="262" t="n">
        <v>112843</v>
      </c>
      <c r="G607" s="263" t="inlineStr">
        <is>
          <t>Basetta A4 con tappo per spessori mm. 1,7/1,8</t>
        </is>
      </c>
      <c r="H607" s="264" t="n">
        <v>20</v>
      </c>
      <c r="I607" s="265" t="n">
        <v>1.689</v>
      </c>
      <c r="J607" s="214" t="n"/>
      <c r="K607" s="208" t="n"/>
      <c r="L607" s="424" t="n"/>
      <c r="M607" s="961" t="n"/>
      <c r="N607" s="214" t="n"/>
    </row>
    <row r="608">
      <c r="A608" s="207" t="n">
        <v>171290</v>
      </c>
      <c r="B608" s="209" t="inlineStr">
        <is>
          <t>Bifacciale Cartack 511T-15mm X 25</t>
        </is>
      </c>
      <c r="C608" s="207" t="n">
        <v>1</v>
      </c>
      <c r="D608" s="960" t="n">
        <v>16.171</v>
      </c>
      <c r="E608" s="214" t="n"/>
      <c r="F608" s="262" t="n">
        <v>112851</v>
      </c>
      <c r="G608" s="263" t="inlineStr">
        <is>
          <t>Basetta A4 con tappo per spessori mm. 4,2 con tasca in metacrilato</t>
        </is>
      </c>
      <c r="H608" s="264" t="n">
        <v>20</v>
      </c>
      <c r="I608" s="265" t="n">
        <v>6.488</v>
      </c>
      <c r="J608" s="214" t="n"/>
      <c r="K608" s="208" t="n"/>
      <c r="L608" s="424" t="n"/>
      <c r="M608" s="961" t="n"/>
      <c r="N608" s="214" t="n"/>
    </row>
    <row r="609">
      <c r="A609" s="207" t="n">
        <v>171291</v>
      </c>
      <c r="B609" s="209" t="inlineStr">
        <is>
          <t>Bifacciale Cartack 511T-25mm X 25M</t>
        </is>
      </c>
      <c r="C609" s="207" t="n">
        <v>1</v>
      </c>
      <c r="D609" s="960" t="n">
        <v>26.78</v>
      </c>
      <c r="E609" s="214" t="n"/>
      <c r="F609" s="262" t="n">
        <v>112853</v>
      </c>
      <c r="G609" s="263" t="inlineStr">
        <is>
          <t>Basetta A4 con tappo per spessori mm. 1,7/1,8 con tasca in PVC</t>
        </is>
      </c>
      <c r="H609" s="264" t="n">
        <v>20</v>
      </c>
      <c r="I609" s="265" t="n">
        <v>4.189</v>
      </c>
      <c r="J609" s="214" t="n"/>
      <c r="K609" s="208" t="n"/>
      <c r="L609" s="424" t="n"/>
      <c r="M609" s="961" t="n"/>
      <c r="N609" s="214" t="n"/>
    </row>
    <row r="610">
      <c r="A610" s="207" t="n">
        <v>950054</v>
      </c>
      <c r="B610" s="209" t="inlineStr">
        <is>
          <t>Bifacciale Cartack 300N- 12mmx50M</t>
        </is>
      </c>
      <c r="C610" s="207" t="n">
        <v>1</v>
      </c>
      <c r="D610" s="960" t="n">
        <v>6.077</v>
      </c>
      <c r="E610" s="214" t="n"/>
      <c r="F610" s="262" t="n">
        <v>112870</v>
      </c>
      <c r="G610" s="263" t="inlineStr">
        <is>
          <t>Perfecto 7000 da terra</t>
        </is>
      </c>
      <c r="H610" s="264" t="n">
        <v>1</v>
      </c>
      <c r="I610" s="265" t="n">
        <v>83.068</v>
      </c>
      <c r="J610" s="214" t="n"/>
      <c r="K610" s="208" t="n"/>
      <c r="L610" s="424" t="n"/>
      <c r="M610" s="961" t="n"/>
      <c r="N610" s="214" t="n"/>
    </row>
    <row r="611">
      <c r="A611" s="207" t="n">
        <v>171293</v>
      </c>
      <c r="B611" s="209" t="inlineStr">
        <is>
          <t>Bifacciale Cartack 300N-19mmx50M</t>
        </is>
      </c>
      <c r="C611" s="207" t="n">
        <v>1</v>
      </c>
      <c r="D611" s="960" t="n">
        <v>8.548999999999999</v>
      </c>
      <c r="E611" s="214" t="n"/>
      <c r="F611" s="262" t="n">
        <v>112871</v>
      </c>
      <c r="G611" s="263" t="inlineStr">
        <is>
          <t>Perfecto 5000 da terra</t>
        </is>
      </c>
      <c r="H611" s="264" t="n">
        <v>1</v>
      </c>
      <c r="I611" s="265" t="n">
        <v>83.16</v>
      </c>
      <c r="J611" s="214" t="n"/>
      <c r="K611" s="208" t="n"/>
      <c r="L611" s="424" t="n"/>
      <c r="M611" s="961" t="n"/>
      <c r="N611" s="214" t="n"/>
    </row>
    <row r="612">
      <c r="A612" s="207" t="n">
        <v>171294</v>
      </c>
      <c r="B612" s="209" t="inlineStr">
        <is>
          <t>Bifacciale Cartack 300N-25mmx50M</t>
        </is>
      </c>
      <c r="C612" s="207" t="n">
        <v>1</v>
      </c>
      <c r="D612" s="960" t="n">
        <v>11.33</v>
      </c>
      <c r="E612" s="214" t="n"/>
      <c r="F612" s="262" t="n">
        <v>112872</v>
      </c>
      <c r="G612" s="263" t="inlineStr">
        <is>
          <t>Perfecto 4000 da terra</t>
        </is>
      </c>
      <c r="H612" s="264" t="n">
        <v>1</v>
      </c>
      <c r="I612" s="265" t="n">
        <v>84.52800000000001</v>
      </c>
      <c r="J612" s="214" t="n"/>
      <c r="K612" s="208" t="n"/>
      <c r="L612" s="424" t="n"/>
      <c r="M612" s="961" t="n"/>
      <c r="N612" s="214" t="n"/>
    </row>
    <row r="613">
      <c r="A613" s="207" t="n">
        <v>171295</v>
      </c>
      <c r="B613" s="209" t="inlineStr">
        <is>
          <t>Bifacciale Cartack 350R -12mmx50M</t>
        </is>
      </c>
      <c r="C613" s="207" t="n">
        <v>1</v>
      </c>
      <c r="D613" s="960" t="n">
        <v>6.798</v>
      </c>
      <c r="E613" s="214" t="n"/>
      <c r="F613" s="262" t="n">
        <v>112880</v>
      </c>
      <c r="G613" s="263" t="inlineStr">
        <is>
          <t>Perfecto wall 7000 da terra</t>
        </is>
      </c>
      <c r="H613" s="264" t="n">
        <v>1</v>
      </c>
      <c r="I613" s="265" t="n">
        <v>83.02200000000001</v>
      </c>
      <c r="J613" s="214" t="n"/>
      <c r="K613" s="208" t="n"/>
      <c r="L613" s="424" t="n"/>
      <c r="M613" s="961" t="n"/>
      <c r="N613" s="214" t="n"/>
    </row>
    <row r="614">
      <c r="A614" s="207" t="n">
        <v>171296</v>
      </c>
      <c r="B614" s="209" t="inlineStr">
        <is>
          <t>Bifacciale Cartack 350R -19mm X50M</t>
        </is>
      </c>
      <c r="C614" s="207" t="n">
        <v>1</v>
      </c>
      <c r="D614" s="960" t="n">
        <v>10.712</v>
      </c>
      <c r="E614" s="214" t="n"/>
      <c r="F614" s="262" t="n">
        <v>112881</v>
      </c>
      <c r="G614" s="263" t="inlineStr">
        <is>
          <t>Perfecto wall 5000 da terra</t>
        </is>
      </c>
      <c r="H614" s="264" t="n">
        <v>1</v>
      </c>
      <c r="I614" s="265" t="n">
        <v>83.17</v>
      </c>
      <c r="J614" s="214" t="n"/>
      <c r="K614" s="208" t="n"/>
      <c r="L614" s="424" t="n"/>
      <c r="M614" s="961" t="n"/>
      <c r="N614" s="214" t="n"/>
    </row>
    <row r="615">
      <c r="A615" s="207" t="n">
        <v>171297</v>
      </c>
      <c r="B615" s="209" t="inlineStr">
        <is>
          <t>Bifacciale Cartack 350R 25mmx50Ml</t>
        </is>
      </c>
      <c r="C615" s="207" t="n">
        <v>1</v>
      </c>
      <c r="D615" s="960" t="n">
        <v>14.008</v>
      </c>
      <c r="E615" s="214" t="n"/>
      <c r="F615" s="262" t="n">
        <v>112882</v>
      </c>
      <c r="G615" s="263" t="inlineStr">
        <is>
          <t>Perfecto wall 4000 da terra</t>
        </is>
      </c>
      <c r="H615" s="264" t="n">
        <v>1</v>
      </c>
      <c r="I615" s="265" t="n">
        <v>84.517</v>
      </c>
      <c r="J615" s="214" t="n"/>
      <c r="K615" s="208" t="n"/>
      <c r="L615" s="424" t="n"/>
      <c r="M615" s="961" t="n"/>
      <c r="N615" s="214" t="n"/>
    </row>
    <row r="616">
      <c r="A616" s="207" t="n">
        <v>171242</v>
      </c>
      <c r="B616" s="209" t="inlineStr">
        <is>
          <t>Bifacciale Cartack 720T -12mmx17M</t>
        </is>
      </c>
      <c r="C616" s="207" t="n">
        <v>1</v>
      </c>
      <c r="D616" s="960" t="n">
        <v>38.11</v>
      </c>
      <c r="E616" s="214" t="n"/>
      <c r="F616" s="262" t="n">
        <v>112885</v>
      </c>
      <c r="G616" s="263" t="inlineStr">
        <is>
          <t>Espositore mezza sfera diam 600 mm con tasca porta messaggio</t>
        </is>
      </c>
      <c r="H616" s="264" t="n">
        <v>1</v>
      </c>
      <c r="I616" s="265" t="n">
        <v>338.148</v>
      </c>
      <c r="J616" s="214" t="n"/>
      <c r="K616" s="208" t="n"/>
      <c r="L616" s="424" t="n"/>
      <c r="M616" s="961" t="n"/>
      <c r="N616" s="214" t="n"/>
    </row>
    <row r="617">
      <c r="A617" s="207" t="n">
        <v>171243</v>
      </c>
      <c r="B617" s="209" t="inlineStr">
        <is>
          <t>Bifacciale Cartack 720T -19mmx17M</t>
        </is>
      </c>
      <c r="C617" s="207" t="n">
        <v>1</v>
      </c>
      <c r="D617" s="960" t="n">
        <v>58.71</v>
      </c>
      <c r="E617" s="214" t="n"/>
      <c r="F617" s="262" t="n">
        <v>112886</v>
      </c>
      <c r="G617" s="263" t="inlineStr">
        <is>
          <t>Espositore mezza sfera diam 600 mm senza tasca porta messaggio</t>
        </is>
      </c>
      <c r="H617" s="264" t="n">
        <v>1</v>
      </c>
      <c r="I617" s="265" t="n">
        <v>242.703</v>
      </c>
      <c r="J617" s="214" t="n"/>
      <c r="K617" s="208" t="n"/>
      <c r="L617" s="424" t="n"/>
      <c r="M617" s="961" t="n"/>
      <c r="N617" s="214" t="n"/>
    </row>
    <row r="618">
      <c r="A618" s="207" t="n">
        <v>171264</v>
      </c>
      <c r="B618" s="209" t="inlineStr">
        <is>
          <t>Bollini Cartack 390° Permanente Polietilene Espanso Bianco - 15M</t>
        </is>
      </c>
      <c r="C618" s="207" t="n">
        <v>1</v>
      </c>
      <c r="D618" s="960" t="n">
        <v>33.475</v>
      </c>
      <c r="E618" s="214" t="n"/>
      <c r="F618" s="262" t="n">
        <v>112890</v>
      </c>
      <c r="G618" s="263" t="inlineStr">
        <is>
          <t>Perfecto multi 7000 da terra</t>
        </is>
      </c>
      <c r="H618" s="264" t="n">
        <v>1</v>
      </c>
      <c r="I618" s="265" t="n">
        <v>84.235</v>
      </c>
      <c r="J618" s="214" t="n"/>
      <c r="K618" s="208" t="n"/>
      <c r="L618" s="424" t="n"/>
      <c r="M618" s="961" t="n"/>
      <c r="N618" s="214" t="n"/>
    </row>
    <row r="619">
      <c r="A619" s="207" t="n">
        <v>171265</v>
      </c>
      <c r="B619" s="209" t="inlineStr">
        <is>
          <t>Bollini Cartack 390° Permanente Polietilene Espanso Bianco - 20M</t>
        </is>
      </c>
      <c r="C619" s="207" t="n">
        <v>1</v>
      </c>
      <c r="D619" s="960" t="n">
        <v>38.0585</v>
      </c>
      <c r="E619" s="214" t="n"/>
      <c r="F619" s="262" t="n">
        <v>112891</v>
      </c>
      <c r="G619" s="263" t="inlineStr">
        <is>
          <t>Perfecto multi 5000 da terra</t>
        </is>
      </c>
      <c r="H619" s="264" t="n">
        <v>1</v>
      </c>
      <c r="I619" s="265" t="n">
        <v>85.011</v>
      </c>
      <c r="J619" s="214" t="n"/>
      <c r="K619" s="208" t="n"/>
      <c r="L619" s="424" t="n"/>
      <c r="M619" s="961" t="n"/>
      <c r="N619" s="214" t="n"/>
    </row>
    <row r="620">
      <c r="A620" s="207" t="n">
        <v>171298</v>
      </c>
      <c r="B620" s="209" t="inlineStr">
        <is>
          <t>Bollini Cartack 390° Permanente Polietilene Espanso Bianco - 25M</t>
        </is>
      </c>
      <c r="C620" s="207" t="n">
        <v>1</v>
      </c>
      <c r="D620" s="960" t="n">
        <v>50.4185</v>
      </c>
      <c r="E620" s="214" t="n"/>
      <c r="F620" s="262" t="n">
        <v>112892</v>
      </c>
      <c r="G620" s="263" t="inlineStr">
        <is>
          <t>Perfecto multi 4000 da terra</t>
        </is>
      </c>
      <c r="H620" s="264" t="n">
        <v>1</v>
      </c>
      <c r="I620" s="265" t="n">
        <v>87.691</v>
      </c>
      <c r="J620" s="214" t="n"/>
      <c r="K620" s="208" t="n"/>
      <c r="L620" s="424" t="n"/>
      <c r="M620" s="961" t="n"/>
      <c r="N620" s="214" t="n"/>
    </row>
    <row r="621">
      <c r="A621" s="207" t="n">
        <v>171299</v>
      </c>
      <c r="B621" s="209" t="inlineStr">
        <is>
          <t>Bollini Cartack 390° Permanente Polietilene Espanso Bianco - 20M - 500 Pezzi</t>
        </is>
      </c>
      <c r="C621" s="207" t="n">
        <v>1</v>
      </c>
      <c r="D621" s="960" t="n">
        <v>67.053</v>
      </c>
      <c r="E621" s="214" t="n"/>
      <c r="F621" s="262" t="n">
        <v>112895</v>
      </c>
      <c r="G621" s="263" t="inlineStr">
        <is>
          <t>Porta brochures estensibile</t>
        </is>
      </c>
      <c r="H621" s="264" t="n">
        <v>1</v>
      </c>
      <c r="I621" s="265" t="n">
        <v>158.141</v>
      </c>
      <c r="J621" s="214" t="n"/>
      <c r="K621" s="208" t="n"/>
      <c r="L621" s="424" t="n"/>
      <c r="M621" s="961" t="n"/>
      <c r="N621" s="214" t="n"/>
    </row>
    <row r="622">
      <c r="A622" s="207" t="n">
        <v>171300</v>
      </c>
      <c r="B622" s="209" t="inlineStr">
        <is>
          <t>Bollini Cartack 390° Permanente Polietilene 12X12mm</t>
        </is>
      </c>
      <c r="C622" s="207" t="n">
        <v>1</v>
      </c>
      <c r="D622" s="960" t="n">
        <v>19.055</v>
      </c>
      <c r="E622" s="214" t="n"/>
      <c r="F622" s="262" t="n">
        <v>112897</v>
      </c>
      <c r="G622" s="263" t="inlineStr">
        <is>
          <t>Porta brochures A4 - 5 tasche</t>
        </is>
      </c>
      <c r="H622" s="264" t="n">
        <v>1</v>
      </c>
      <c r="I622" s="265" t="n">
        <v>134.136</v>
      </c>
      <c r="J622" s="214" t="n"/>
      <c r="K622" s="208" t="n"/>
      <c r="L622" s="424" t="n"/>
      <c r="M622" s="961" t="n"/>
      <c r="N622" s="214" t="n"/>
    </row>
    <row r="623">
      <c r="A623" s="207" t="n">
        <v>171301</v>
      </c>
      <c r="B623" s="209" t="inlineStr">
        <is>
          <t>Bollini Cartack 390° Permanente Polietilene 15X15mm</t>
        </is>
      </c>
      <c r="C623" s="207" t="n">
        <v>1</v>
      </c>
      <c r="D623" s="960" t="n">
        <v>23.484</v>
      </c>
      <c r="E623" s="214" t="n"/>
      <c r="F623" s="262" t="n">
        <v>112900</v>
      </c>
      <c r="G623" s="263" t="inlineStr">
        <is>
          <t>Colonna porta brochures 6 tasche A4</t>
        </is>
      </c>
      <c r="H623" s="264" t="n">
        <v>1</v>
      </c>
      <c r="I623" s="265" t="n">
        <v>154.67</v>
      </c>
      <c r="J623" s="214" t="n"/>
      <c r="K623" s="208" t="n"/>
      <c r="L623" s="424" t="n"/>
      <c r="M623" s="961" t="n"/>
      <c r="N623" s="214" t="n"/>
    </row>
    <row r="624">
      <c r="A624" s="207" t="n">
        <v>171302</v>
      </c>
      <c r="B624" s="209" t="inlineStr">
        <is>
          <t>Bollini Cartack 390° Permanente Polietilene 19X19mm</t>
        </is>
      </c>
      <c r="C624" s="207" t="n">
        <v>1</v>
      </c>
      <c r="D624" s="960" t="n">
        <v>35.02</v>
      </c>
      <c r="E624" s="214" t="n"/>
      <c r="F624" s="262" t="n">
        <v>112901</v>
      </c>
      <c r="G624" s="263" t="inlineStr">
        <is>
          <t>Colonna porta brochures 3 tasche A4</t>
        </is>
      </c>
      <c r="H624" s="264" t="n">
        <v>1</v>
      </c>
      <c r="I624" s="265" t="n">
        <v>105.628</v>
      </c>
      <c r="J624" s="214" t="n"/>
      <c r="K624" s="208" t="n"/>
      <c r="L624" s="424" t="n"/>
      <c r="M624" s="961" t="n"/>
      <c r="N624" s="214" t="n"/>
    </row>
    <row r="625">
      <c r="A625" s="207" t="n">
        <v>171303</v>
      </c>
      <c r="B625" s="209" t="inlineStr">
        <is>
          <t>Bollini Cartack 390° Permanente Polietilene 12X25mm</t>
        </is>
      </c>
      <c r="C625" s="207" t="n">
        <v>1</v>
      </c>
      <c r="D625" s="960" t="n">
        <v>21.7845</v>
      </c>
      <c r="E625" s="214" t="n"/>
      <c r="F625" s="262" t="n">
        <v>112905</v>
      </c>
      <c r="G625" s="263" t="inlineStr">
        <is>
          <t>Leggio senza meccanismo ad anelli</t>
        </is>
      </c>
      <c r="H625" s="264" t="n">
        <v>1</v>
      </c>
      <c r="I625" s="265" t="n">
        <v>119.577</v>
      </c>
      <c r="J625" s="214" t="n"/>
      <c r="K625" s="208" t="n"/>
      <c r="L625" s="424" t="n"/>
      <c r="M625" s="961" t="n"/>
      <c r="N625" s="214" t="n"/>
    </row>
    <row r="626">
      <c r="A626" s="207" t="n">
        <v>171304</v>
      </c>
      <c r="B626" s="209" t="inlineStr">
        <is>
          <t>Bollini Cartack 390° Permanente Polietilene 25X25mm</t>
        </is>
      </c>
      <c r="C626" s="207" t="n">
        <v>1</v>
      </c>
      <c r="D626" s="960" t="n">
        <v>14.5</v>
      </c>
      <c r="E626" s="214" t="n"/>
      <c r="F626" s="262" t="n">
        <v>112906</v>
      </c>
      <c r="G626" s="263" t="inlineStr">
        <is>
          <t>Leggio con meccanismo ad anelli</t>
        </is>
      </c>
      <c r="H626" s="264" t="n">
        <v>1</v>
      </c>
      <c r="I626" s="265" t="n">
        <v>121.065</v>
      </c>
      <c r="J626" s="214" t="n"/>
      <c r="K626" s="208" t="n"/>
      <c r="L626" s="424" t="n"/>
      <c r="M626" s="961" t="n"/>
      <c r="N626" s="214" t="n"/>
    </row>
    <row r="627">
      <c r="A627" s="207" t="n">
        <v>171305</v>
      </c>
      <c r="B627" s="209" t="inlineStr">
        <is>
          <t>Bollini Cartack Tesa 51970 Polietilene Trasparente - Ø10mm</t>
        </is>
      </c>
      <c r="C627" s="207" t="n">
        <v>1</v>
      </c>
      <c r="D627" s="960" t="n">
        <v>32.342</v>
      </c>
      <c r="E627" s="214" t="n"/>
      <c r="F627" s="262" t="n">
        <v>112910</v>
      </c>
      <c r="G627" s="263" t="inlineStr">
        <is>
          <t>Clips per dogati per porta brochures con fori colore bianco</t>
        </is>
      </c>
      <c r="H627" s="264" t="n">
        <v>10</v>
      </c>
      <c r="I627" s="265" t="n">
        <v>0.241</v>
      </c>
      <c r="J627" s="214" t="n"/>
      <c r="K627" s="208" t="n"/>
      <c r="L627" s="424" t="n"/>
      <c r="M627" s="961" t="n"/>
      <c r="N627" s="214" t="n"/>
    </row>
    <row r="628">
      <c r="A628" s="207" t="n">
        <v>171306</v>
      </c>
      <c r="B628" s="209" t="inlineStr">
        <is>
          <t>Bollini Cartack Tesa 51970 Polietilene Trasparente - Ø20mm</t>
        </is>
      </c>
      <c r="C628" s="207" t="n">
        <v>1</v>
      </c>
      <c r="D628" s="960" t="n">
        <v>14.935</v>
      </c>
      <c r="E628" s="214" t="n"/>
      <c r="F628" s="262" t="n">
        <v>112911</v>
      </c>
      <c r="G628" s="263" t="inlineStr">
        <is>
          <t>Clips per dogati per porta brochures con fori colore trasparente</t>
        </is>
      </c>
      <c r="H628" s="264" t="n">
        <v>10</v>
      </c>
      <c r="I628" s="265" t="n">
        <v>0.264</v>
      </c>
      <c r="J628" s="214" t="n"/>
      <c r="K628" s="208" t="n"/>
      <c r="L628" s="424" t="n"/>
      <c r="M628" s="961" t="n"/>
      <c r="N628" s="214" t="n"/>
    </row>
    <row r="629">
      <c r="A629" s="207" t="n">
        <v>171307</v>
      </c>
      <c r="B629" s="209" t="inlineStr">
        <is>
          <t>Bollini Cartack Tesa 51970 Polietilene Trasparente - Ø20mm</t>
        </is>
      </c>
      <c r="C629" s="207" t="n">
        <v>1</v>
      </c>
      <c r="D629" s="960" t="n">
        <v>45.217</v>
      </c>
      <c r="E629" s="214" t="n"/>
      <c r="F629" s="262" t="n">
        <v>112912</v>
      </c>
      <c r="G629" s="263" t="inlineStr">
        <is>
          <t>Clips per dogati universale colore bianco</t>
        </is>
      </c>
      <c r="H629" s="264" t="n">
        <v>10</v>
      </c>
      <c r="I629" s="265" t="n">
        <v>0.159</v>
      </c>
      <c r="J629" s="214" t="n"/>
      <c r="K629" s="208" t="n"/>
      <c r="L629" s="424" t="n"/>
      <c r="M629" s="961" t="n"/>
      <c r="N629" s="214" t="n"/>
    </row>
    <row r="630">
      <c r="A630" s="207" t="n">
        <v>171260</v>
      </c>
      <c r="B630" s="209" t="inlineStr">
        <is>
          <t>Bollini Cartack 708 Tark- Schiuma Acrilica Trasparente - Ø19mm</t>
        </is>
      </c>
      <c r="C630" s="207" t="n">
        <v>1</v>
      </c>
      <c r="D630" s="960" t="n">
        <v>14.935</v>
      </c>
      <c r="E630" s="214" t="n"/>
      <c r="F630" s="262" t="n">
        <v>112913</v>
      </c>
      <c r="G630" s="263" t="inlineStr">
        <is>
          <t>Clips per dogati universale colore trasparente</t>
        </is>
      </c>
      <c r="H630" s="264" t="n">
        <v>10</v>
      </c>
      <c r="I630" s="265" t="n">
        <v>0.12</v>
      </c>
      <c r="J630" s="214" t="n"/>
      <c r="K630" s="208" t="n"/>
      <c r="L630" s="424" t="n"/>
      <c r="M630" s="961" t="n"/>
      <c r="N630" s="214" t="n"/>
    </row>
    <row r="631">
      <c r="A631" s="207" t="n">
        <v>171309</v>
      </c>
      <c r="B631" s="209" t="inlineStr">
        <is>
          <t>Bollini Cartack 708 Tark- Schiuma Acrilica Trasparente - Ø19mm</t>
        </is>
      </c>
      <c r="C631" s="207" t="n">
        <v>1</v>
      </c>
      <c r="D631" s="960" t="n">
        <v>58.916</v>
      </c>
      <c r="E631" s="214" t="n"/>
      <c r="F631" s="262" t="n">
        <v>112920</v>
      </c>
      <c r="G631" s="263" t="inlineStr">
        <is>
          <t>Porta biglietti da visita orizzontale da banco</t>
        </is>
      </c>
      <c r="H631" s="264" t="n">
        <v>10</v>
      </c>
      <c r="I631" s="265" t="n">
        <v>1.33</v>
      </c>
      <c r="J631" s="214" t="n"/>
      <c r="K631" s="208" t="n"/>
      <c r="L631" s="424" t="n"/>
      <c r="M631" s="961" t="n"/>
      <c r="N631" s="214" t="n"/>
    </row>
    <row r="632">
      <c r="A632" s="207" t="n">
        <v>171310</v>
      </c>
      <c r="B632" s="209" t="inlineStr">
        <is>
          <t>Bollini Cartack 390° Permanente Polietilene Espanso Bianco - 15M</t>
        </is>
      </c>
      <c r="C632" s="207" t="n">
        <v>1</v>
      </c>
      <c r="D632" s="960" t="n">
        <v>12.566</v>
      </c>
      <c r="E632" s="214" t="n"/>
      <c r="F632" s="262" t="n">
        <v>112921</v>
      </c>
      <c r="G632" s="263" t="inlineStr">
        <is>
          <t>Porta biglietti da visita orizzontale da muro</t>
        </is>
      </c>
      <c r="H632" s="264" t="n">
        <v>10</v>
      </c>
      <c r="I632" s="265" t="n">
        <v>1.607</v>
      </c>
      <c r="J632" s="214" t="n"/>
      <c r="K632" s="208" t="n"/>
      <c r="L632" s="424" t="n"/>
      <c r="M632" s="961" t="n"/>
      <c r="N632" s="214" t="n"/>
    </row>
    <row r="633">
      <c r="A633" s="207" t="n">
        <v>171311</v>
      </c>
      <c r="B633" s="209" t="inlineStr">
        <is>
          <t>Bollini Cartack 390° Permanente Polietilene Espanso Bianco - 15M</t>
        </is>
      </c>
      <c r="C633" s="207" t="n">
        <v>1</v>
      </c>
      <c r="D633" s="960" t="n">
        <v>44.496</v>
      </c>
      <c r="E633" s="214" t="n"/>
      <c r="F633" s="262" t="n">
        <v>112922</v>
      </c>
      <c r="G633" s="263" t="inlineStr">
        <is>
          <t>Porta biglietti da visita verticale da banco</t>
        </is>
      </c>
      <c r="H633" s="264" t="n">
        <v>10</v>
      </c>
      <c r="I633" s="265" t="n">
        <v>1.607</v>
      </c>
      <c r="J633" s="214" t="n"/>
      <c r="K633" s="208" t="n"/>
      <c r="L633" s="424" t="n"/>
      <c r="M633" s="961" t="n"/>
      <c r="N633" s="214" t="n"/>
    </row>
    <row r="634">
      <c r="A634" s="207" t="n">
        <v>172244</v>
      </c>
      <c r="B634" s="209" t="inlineStr">
        <is>
          <t>Bollini Cartack 390° Permanente Polietilene Espanso Bianco - 15M</t>
        </is>
      </c>
      <c r="C634" s="207" t="n">
        <v>1</v>
      </c>
      <c r="D634" s="960" t="n">
        <v>53.56</v>
      </c>
      <c r="E634" s="214" t="n"/>
      <c r="F634" s="262" t="n">
        <v>112923</v>
      </c>
      <c r="G634" s="263" t="inlineStr">
        <is>
          <t>Porta biglietti da visita verticale da muro</t>
        </is>
      </c>
      <c r="H634" s="264" t="n">
        <v>10</v>
      </c>
      <c r="I634" s="265" t="n">
        <v>1.607</v>
      </c>
      <c r="J634" s="214" t="n"/>
      <c r="K634" s="208" t="n"/>
      <c r="L634" s="424" t="n"/>
      <c r="M634" s="961" t="n"/>
      <c r="N634" s="214" t="n"/>
    </row>
    <row r="635">
      <c r="A635" s="207" t="n">
        <v>171312</v>
      </c>
      <c r="B635" s="209" t="inlineStr">
        <is>
          <t>Bollini Cartack 390° Permanente Polietilene Espanso Bianco - 15M</t>
        </is>
      </c>
      <c r="C635" s="207" t="n">
        <v>1</v>
      </c>
      <c r="D635" s="960" t="n">
        <v>14.317</v>
      </c>
      <c r="E635" s="214" t="n"/>
      <c r="F635" s="262" t="n">
        <v>112925</v>
      </c>
      <c r="G635" s="263" t="inlineStr">
        <is>
          <t>Perfecto multi 7000/4</t>
        </is>
      </c>
      <c r="H635" s="264" t="n">
        <v>25</v>
      </c>
      <c r="I635" s="265" t="n">
        <v>5.018</v>
      </c>
      <c r="J635" s="214" t="n"/>
      <c r="K635" s="208" t="n"/>
      <c r="L635" s="424" t="n"/>
      <c r="M635" s="961" t="n"/>
      <c r="N635" s="214" t="n"/>
    </row>
    <row r="636">
      <c r="A636" s="207" t="n">
        <v>171326</v>
      </c>
      <c r="B636" s="209" t="inlineStr">
        <is>
          <t>Bollini Cartack 390° Permanente Polietilene Espanso Bianco - 15M</t>
        </is>
      </c>
      <c r="C636" s="207" t="n">
        <v>1</v>
      </c>
      <c r="D636" s="960" t="n">
        <v>21.115</v>
      </c>
      <c r="E636" s="214" t="n"/>
      <c r="F636" s="262" t="n">
        <v>112930</v>
      </c>
      <c r="G636" s="263" t="inlineStr">
        <is>
          <t>Rendiresto in plastica trasparente con fondo</t>
        </is>
      </c>
      <c r="H636" s="264" t="n">
        <v>100</v>
      </c>
      <c r="I636" s="265" t="n">
        <v>2.1</v>
      </c>
      <c r="J636" s="214" t="n"/>
      <c r="K636" s="208" t="n"/>
      <c r="L636" s="424" t="n"/>
      <c r="M636" s="961" t="n"/>
      <c r="N636" s="214" t="n"/>
    </row>
    <row r="637">
      <c r="A637" s="207" t="n">
        <v>171327</v>
      </c>
      <c r="B637" s="209" t="inlineStr">
        <is>
          <t>Bollini Cartack 390° Permanente Polietilene Espanso Bianco - 15M</t>
        </is>
      </c>
      <c r="C637" s="207" t="n">
        <v>1</v>
      </c>
      <c r="D637" s="960" t="n">
        <v>77.044</v>
      </c>
      <c r="E637" s="214" t="n"/>
      <c r="F637" s="262" t="n">
        <v>112931</v>
      </c>
      <c r="G637" s="263" t="inlineStr">
        <is>
          <t>Rendiresto in plastica trasparente senza fondo</t>
        </is>
      </c>
      <c r="H637" s="264" t="n">
        <v>100</v>
      </c>
      <c r="I637" s="265" t="n">
        <v>1.766</v>
      </c>
      <c r="J637" s="214" t="n"/>
      <c r="K637" s="208" t="n"/>
      <c r="L637" s="424" t="n"/>
      <c r="M637" s="961" t="n"/>
      <c r="N637" s="214" t="n"/>
    </row>
    <row r="638">
      <c r="A638" s="207" t="n">
        <v>171314</v>
      </c>
      <c r="B638" s="209" t="inlineStr">
        <is>
          <t>Bollini Cartack 390° Permanente Polietilene Espanso Bianco - 15M</t>
        </is>
      </c>
      <c r="C638" s="207" t="n">
        <v>1</v>
      </c>
      <c r="D638" s="960" t="n">
        <v>91.5155</v>
      </c>
      <c r="E638" s="214" t="n"/>
      <c r="F638" s="262" t="n">
        <v>112932</v>
      </c>
      <c r="G638" s="263" t="inlineStr">
        <is>
          <t>Fondo rendiresto</t>
        </is>
      </c>
      <c r="H638" s="264" t="n">
        <v>100</v>
      </c>
      <c r="I638" s="265" t="n">
        <v>0.501</v>
      </c>
      <c r="J638" s="214" t="n"/>
      <c r="K638" s="208" t="n"/>
      <c r="L638" s="424" t="n"/>
      <c r="M638" s="961" t="n"/>
      <c r="N638" s="214" t="n"/>
    </row>
    <row r="639">
      <c r="A639" s="207" t="n">
        <v>171313</v>
      </c>
      <c r="B639" s="209" t="inlineStr">
        <is>
          <t>Bollini Cartack 390° Permanente Polietilene Espanso Bianco - 15M</t>
        </is>
      </c>
      <c r="C639" s="207" t="n">
        <v>1</v>
      </c>
      <c r="D639" s="960" t="n">
        <v>15.347</v>
      </c>
      <c r="E639" s="214" t="n"/>
      <c r="F639" s="262" t="n">
        <v>112933</v>
      </c>
      <c r="G639" s="263" t="inlineStr">
        <is>
          <t>Tappino antoscivolo</t>
        </is>
      </c>
      <c r="H639" s="264" t="n">
        <v>100</v>
      </c>
      <c r="I639" s="265" t="n">
        <v>0.049</v>
      </c>
      <c r="J639" s="214" t="n"/>
      <c r="K639" s="208" t="n"/>
      <c r="L639" s="424" t="n"/>
      <c r="M639" s="961" t="n"/>
      <c r="N639" s="214" t="n"/>
    </row>
    <row r="640">
      <c r="A640" s="207" t="n">
        <v>171315</v>
      </c>
      <c r="B640" s="209" t="inlineStr">
        <is>
          <t>Bollini Cartack 390° Permanente Polietilene Espanso Bianco - 15M</t>
        </is>
      </c>
      <c r="C640" s="207" t="n">
        <v>1</v>
      </c>
      <c r="D640" s="960" t="n">
        <v>31.621</v>
      </c>
      <c r="E640" s="214" t="n"/>
      <c r="F640" s="262" t="n">
        <v>112940</v>
      </c>
      <c r="G640" s="263" t="inlineStr">
        <is>
          <t>Maxi promotable in polipropilene,ripiano rinforzato, con ripiano intermedio e borsa</t>
        </is>
      </c>
      <c r="H640" s="264" t="n">
        <v>1</v>
      </c>
      <c r="I640" s="265" t="n">
        <v>138.139</v>
      </c>
      <c r="J640" s="214" t="n"/>
      <c r="K640" s="208" t="n"/>
      <c r="L640" s="424" t="n"/>
      <c r="M640" s="961" t="n"/>
      <c r="N640" s="214" t="n"/>
    </row>
    <row r="641">
      <c r="A641" s="207" t="n">
        <v>171316</v>
      </c>
      <c r="B641" s="209" t="inlineStr">
        <is>
          <t>Bollini Cartack 390° Permanente Polietilene Espanso Bianco - 15M</t>
        </is>
      </c>
      <c r="C641" s="207" t="n">
        <v>1</v>
      </c>
      <c r="D641" s="960" t="n">
        <v>8.446</v>
      </c>
      <c r="E641" s="214" t="n"/>
      <c r="F641" s="262" t="n">
        <v>112942</v>
      </c>
      <c r="G641" s="263" t="inlineStr">
        <is>
          <t>Maxi promotable in polipropilene, ripiano rinforzato, senza ripiano intermedio con b</t>
        </is>
      </c>
      <c r="H641" s="264" t="n">
        <v>1</v>
      </c>
      <c r="I641" s="265" t="n">
        <v>114.727</v>
      </c>
      <c r="J641" s="214" t="n"/>
      <c r="K641" s="208" t="n"/>
      <c r="L641" s="424" t="n"/>
      <c r="M641" s="961" t="n"/>
      <c r="N641" s="214" t="n"/>
    </row>
    <row r="642">
      <c r="A642" s="207" t="n">
        <v>171317</v>
      </c>
      <c r="B642" s="209" t="inlineStr">
        <is>
          <t>Bollini Cartack 390° Permanente Polietilene Espanso Bianco - 15M</t>
        </is>
      </c>
      <c r="C642" s="207" t="n">
        <v>1</v>
      </c>
      <c r="D642" s="960" t="n">
        <v>36.359</v>
      </c>
      <c r="E642" s="214" t="n"/>
      <c r="F642" s="262" t="n">
        <v>112960</v>
      </c>
      <c r="G642" s="263" t="inlineStr">
        <is>
          <t>Mini promotable in polipropilene con ripiano intermedio e borsa</t>
        </is>
      </c>
      <c r="H642" s="264" t="n">
        <v>1</v>
      </c>
      <c r="I642" s="265" t="n">
        <v>77.631</v>
      </c>
      <c r="J642" s="214" t="n"/>
      <c r="K642" s="208" t="n"/>
      <c r="L642" s="424" t="n"/>
      <c r="M642" s="961" t="n"/>
      <c r="N642" s="214" t="n"/>
    </row>
    <row r="643">
      <c r="A643" s="207" t="n">
        <v>171227</v>
      </c>
      <c r="B643" s="209" t="inlineStr">
        <is>
          <t>Bollini Cartack 390° Permanente Polietilene Espanso Bianco - 15M</t>
        </is>
      </c>
      <c r="C643" s="207" t="n">
        <v>1</v>
      </c>
      <c r="D643" s="960" t="n">
        <v>59.637</v>
      </c>
      <c r="E643" s="214" t="n"/>
      <c r="F643" s="262" t="n">
        <v>112962</v>
      </c>
      <c r="G643" s="263" t="inlineStr">
        <is>
          <t>Mini promotable in polipropilene senza ripiano intermedio con borsa</t>
        </is>
      </c>
      <c r="H643" s="264" t="n">
        <v>1</v>
      </c>
      <c r="I643" s="265" t="n">
        <v>72.172</v>
      </c>
      <c r="J643" s="214" t="n"/>
      <c r="K643" s="208" t="n"/>
      <c r="L643" s="424" t="n"/>
      <c r="M643" s="961" t="n"/>
      <c r="N643" s="214" t="n"/>
    </row>
    <row r="644">
      <c r="A644" s="207" t="n">
        <v>171319</v>
      </c>
      <c r="B644" s="209" t="inlineStr">
        <is>
          <t>Bollini Cartack 390° Permanente Polietilene Espanso Bianco - 15M</t>
        </is>
      </c>
      <c r="C644" s="207" t="n">
        <v>1</v>
      </c>
      <c r="D644" s="960" t="n">
        <v>60.667</v>
      </c>
      <c r="E644" s="214" t="n"/>
      <c r="F644" s="262" t="n">
        <v>112990</v>
      </c>
      <c r="G644" s="263" t="inlineStr">
        <is>
          <t>Ripiano intermedio per maxi promotable</t>
        </is>
      </c>
      <c r="H644" s="264" t="n">
        <v>1</v>
      </c>
      <c r="I644" s="265" t="n">
        <v>16.992</v>
      </c>
      <c r="J644" s="214" t="n"/>
      <c r="K644" s="208" t="n"/>
      <c r="L644" s="424" t="n"/>
      <c r="M644" s="961" t="n"/>
      <c r="N644" s="214" t="n"/>
    </row>
    <row r="645">
      <c r="A645" s="207" t="n">
        <v>171320</v>
      </c>
      <c r="B645" s="209" t="inlineStr">
        <is>
          <t>Bollini Cartack 390° Permanente Polietilene Espanso Bianco - 15M</t>
        </is>
      </c>
      <c r="C645" s="207" t="n">
        <v>1</v>
      </c>
      <c r="D645" s="960" t="n">
        <v>60.667</v>
      </c>
      <c r="E645" s="214" t="n"/>
      <c r="F645" s="262" t="n">
        <v>112991</v>
      </c>
      <c r="G645" s="263" t="inlineStr">
        <is>
          <t>Ripiano intermedio per promotable</t>
        </is>
      </c>
      <c r="H645" s="264" t="n">
        <v>1</v>
      </c>
      <c r="I645" s="265" t="n">
        <v>8.821</v>
      </c>
      <c r="J645" s="214" t="n"/>
      <c r="K645" s="208" t="n"/>
      <c r="L645" s="424" t="n"/>
      <c r="M645" s="961" t="n"/>
      <c r="N645" s="214" t="n"/>
    </row>
    <row r="646">
      <c r="A646" s="207" t="n">
        <v>171321</v>
      </c>
      <c r="B646" s="209" t="inlineStr">
        <is>
          <t>Bollini Cartack 390° Permanente Polietilene Espanso Bianco - 15M</t>
        </is>
      </c>
      <c r="C646" s="207" t="n">
        <v>1</v>
      </c>
      <c r="D646" s="960" t="n">
        <v>28.84</v>
      </c>
      <c r="E646" s="214" t="n"/>
      <c r="F646" s="262" t="n">
        <v>112995</v>
      </c>
      <c r="G646" s="263" t="inlineStr">
        <is>
          <t>Crowner mezza luna</t>
        </is>
      </c>
      <c r="H646" s="264" t="n">
        <v>1</v>
      </c>
      <c r="I646" s="265" t="n">
        <v>6.989</v>
      </c>
      <c r="J646" s="214" t="n"/>
      <c r="K646" s="208" t="n"/>
      <c r="L646" s="424" t="n"/>
      <c r="M646" s="961" t="n"/>
      <c r="N646" s="214" t="n"/>
    </row>
    <row r="647">
      <c r="A647" s="207" t="n">
        <v>171322</v>
      </c>
      <c r="B647" s="209" t="inlineStr">
        <is>
          <t>Bollini Cartack 390° Permanente Polietilene Espanso Bianco - 15M</t>
        </is>
      </c>
      <c r="C647" s="207" t="n">
        <v>1</v>
      </c>
      <c r="D647" s="960" t="n">
        <v>18.643</v>
      </c>
      <c r="E647" s="214" t="n"/>
      <c r="F647" s="262" t="n">
        <v>113100</v>
      </c>
      <c r="G647" s="263" t="inlineStr">
        <is>
          <t>Broche universale singola in plastica trasparente mm. 50</t>
        </is>
      </c>
      <c r="H647" s="264" t="n">
        <v>100</v>
      </c>
      <c r="I647" s="268" t="n">
        <v>0.126</v>
      </c>
      <c r="J647" s="214" t="n"/>
      <c r="K647" s="208" t="n"/>
      <c r="L647" s="424" t="n"/>
      <c r="M647" s="961" t="n"/>
      <c r="N647" s="214" t="n"/>
    </row>
    <row r="648">
      <c r="A648" s="207" t="n">
        <v>171323</v>
      </c>
      <c r="B648" s="209" t="inlineStr">
        <is>
          <t>Bollini Cartack 390° Permanente Polietilene Espanso Bianco - 15M</t>
        </is>
      </c>
      <c r="C648" s="207" t="n">
        <v>1</v>
      </c>
      <c r="D648" s="960" t="n">
        <v>10.4545</v>
      </c>
      <c r="E648" s="214" t="n"/>
      <c r="F648" s="262" t="n">
        <v>113101</v>
      </c>
      <c r="G648" s="263" t="inlineStr">
        <is>
          <t>Broche universale singola in plastica trasparente mm. 100</t>
        </is>
      </c>
      <c r="H648" s="264" t="n">
        <v>100</v>
      </c>
      <c r="I648" s="268" t="n">
        <v>0.135</v>
      </c>
      <c r="J648" s="214" t="n"/>
      <c r="K648" s="208" t="n"/>
      <c r="L648" s="424" t="n"/>
      <c r="M648" s="961" t="n"/>
      <c r="N648" s="214" t="n"/>
    </row>
    <row r="649">
      <c r="A649" s="207" t="n">
        <v>171324</v>
      </c>
      <c r="B649" s="209" t="inlineStr">
        <is>
          <t>Bollini Cartack 390° Permanente Polietilene Espanso Bianco - 15M</t>
        </is>
      </c>
      <c r="C649" s="207" t="n">
        <v>1</v>
      </c>
      <c r="D649" s="960" t="n">
        <v>6.283</v>
      </c>
      <c r="E649" s="214" t="n"/>
      <c r="F649" s="262" t="n">
        <v>113102</v>
      </c>
      <c r="G649" s="263" t="inlineStr">
        <is>
          <t>Broche universale singola in plastica trasparente mm. 150</t>
        </is>
      </c>
      <c r="H649" s="264" t="n">
        <v>100</v>
      </c>
      <c r="I649" s="268" t="n">
        <v>0.143</v>
      </c>
      <c r="J649" s="214" t="n"/>
      <c r="K649" s="208" t="n"/>
      <c r="L649" s="424" t="n"/>
      <c r="M649" s="961" t="n"/>
      <c r="N649" s="214" t="n"/>
    </row>
    <row r="650">
      <c r="A650" s="207" t="n">
        <v>171325</v>
      </c>
      <c r="B650" s="209" t="inlineStr">
        <is>
          <t>Bollini Cartack 390° Permanente Polietilene Espanso Bianco - 15M</t>
        </is>
      </c>
      <c r="C650" s="207" t="n">
        <v>1</v>
      </c>
      <c r="D650" s="960" t="n">
        <v>13.2767</v>
      </c>
      <c r="E650" s="214" t="n"/>
      <c r="F650" s="262" t="n">
        <v>113109</v>
      </c>
      <c r="G650" s="263" t="inlineStr">
        <is>
          <t>Broche universale larga in plastica trasparente mm. 10</t>
        </is>
      </c>
      <c r="H650" s="264" t="n">
        <v>100</v>
      </c>
      <c r="I650" s="268" t="n">
        <v>0.17</v>
      </c>
      <c r="J650" s="214" t="n"/>
      <c r="K650" s="208" t="n"/>
      <c r="L650" s="424" t="n"/>
      <c r="M650" s="961" t="n"/>
      <c r="N650" s="214" t="n"/>
    </row>
    <row r="651">
      <c r="A651" s="207" t="n">
        <v>142010</v>
      </c>
      <c r="B651" s="209" t="inlineStr">
        <is>
          <t>Braccio Universale - 7 cm</t>
        </is>
      </c>
      <c r="C651" s="207" t="n">
        <v>100</v>
      </c>
      <c r="D651" s="960" t="n">
        <v>0.1201</v>
      </c>
      <c r="E651" s="214" t="n"/>
      <c r="F651" s="262" t="n">
        <v>113109</v>
      </c>
      <c r="G651" s="263" t="inlineStr">
        <is>
          <t>Broche universale larga in plastica trasparente mm. 10</t>
        </is>
      </c>
      <c r="H651" s="264" t="n">
        <v>100</v>
      </c>
      <c r="I651" s="268" t="n">
        <v>0.164</v>
      </c>
      <c r="J651" s="214" t="n"/>
      <c r="K651" s="208" t="n"/>
      <c r="L651" s="424" t="n"/>
      <c r="M651" s="961" t="n"/>
      <c r="N651" s="214" t="n"/>
    </row>
    <row r="652">
      <c r="A652" s="207" t="n">
        <v>142011</v>
      </c>
      <c r="B652" s="209" t="inlineStr">
        <is>
          <t>Braccio Universale - 10 cm</t>
        </is>
      </c>
      <c r="C652" s="207" t="n">
        <v>100</v>
      </c>
      <c r="D652" s="960" t="n">
        <v>0.1175</v>
      </c>
      <c r="E652" s="214" t="n"/>
      <c r="F652" s="262" t="n">
        <v>113110</v>
      </c>
      <c r="G652" s="263" t="inlineStr">
        <is>
          <t>Broche universale larga in plastica trasparente mm. 20</t>
        </is>
      </c>
      <c r="H652" s="264" t="n">
        <v>100</v>
      </c>
      <c r="I652" s="268" t="n">
        <v>0.158</v>
      </c>
      <c r="J652" s="214" t="n"/>
      <c r="K652" s="208" t="n"/>
      <c r="L652" s="424" t="n"/>
      <c r="M652" s="961" t="n"/>
      <c r="N652" s="214" t="n"/>
    </row>
    <row r="653">
      <c r="A653" s="207" t="n">
        <v>142012</v>
      </c>
      <c r="B653" s="209" t="inlineStr">
        <is>
          <t>Braccio Universale - 15 cm</t>
        </is>
      </c>
      <c r="C653" s="207" t="n">
        <v>100</v>
      </c>
      <c r="D653" s="960" t="n">
        <v>0.1349</v>
      </c>
      <c r="E653" s="214" t="n"/>
      <c r="F653" s="262" t="n">
        <v>113111</v>
      </c>
      <c r="G653" s="263" t="inlineStr">
        <is>
          <t>Broche universale larga in plastica trasparente mm. 50</t>
        </is>
      </c>
      <c r="H653" s="264" t="n">
        <v>100</v>
      </c>
      <c r="I653" s="268" t="n">
        <v>0.167</v>
      </c>
      <c r="J653" s="214" t="n"/>
      <c r="K653" s="208" t="n"/>
      <c r="L653" s="424" t="n"/>
      <c r="M653" s="961" t="n"/>
      <c r="N653" s="214" t="n"/>
    </row>
    <row r="654">
      <c r="A654" s="207" t="n">
        <v>142013</v>
      </c>
      <c r="B654" s="209" t="inlineStr">
        <is>
          <t>Braccio Universale - 20 cm</t>
        </is>
      </c>
      <c r="C654" s="207" t="n">
        <v>100</v>
      </c>
      <c r="D654" s="960" t="n">
        <v>0.1462</v>
      </c>
      <c r="E654" s="214" t="n"/>
      <c r="F654" s="262" t="n">
        <v>113112</v>
      </c>
      <c r="G654" s="263" t="inlineStr">
        <is>
          <t>Broche universale larga in plastica trasparente mm. 70</t>
        </is>
      </c>
      <c r="H654" s="264" t="n">
        <v>100</v>
      </c>
      <c r="I654" s="268" t="n">
        <v>0.151</v>
      </c>
      <c r="J654" s="214" t="n"/>
      <c r="K654" s="208" t="n"/>
      <c r="L654" s="424" t="n"/>
      <c r="M654" s="961" t="n"/>
      <c r="N654" s="214" t="n"/>
    </row>
    <row r="655">
      <c r="A655" s="207" t="n">
        <v>142001</v>
      </c>
      <c r="B655" s="209" t="inlineStr">
        <is>
          <t>Braccio Universale - 5 cm</t>
        </is>
      </c>
      <c r="C655" s="207" t="n">
        <v>100</v>
      </c>
      <c r="D655" s="960" t="n">
        <v>0.0948</v>
      </c>
      <c r="E655" s="214" t="n"/>
      <c r="F655" s="262" t="n">
        <v>113113</v>
      </c>
      <c r="G655" s="263" t="inlineStr">
        <is>
          <t>Broche universale larga in plastica trasparente mm. 100</t>
        </is>
      </c>
      <c r="H655" s="264" t="n">
        <v>100</v>
      </c>
      <c r="I655" s="268" t="n">
        <v>0.167</v>
      </c>
      <c r="J655" s="214" t="n"/>
      <c r="K655" s="208" t="n"/>
      <c r="L655" s="424" t="n"/>
      <c r="M655" s="961" t="n"/>
      <c r="N655" s="214" t="n"/>
    </row>
    <row r="656">
      <c r="A656" s="207" t="n">
        <v>142002</v>
      </c>
      <c r="B656" s="209" t="inlineStr">
        <is>
          <t>Braccio Universale - 10 cm</t>
        </is>
      </c>
      <c r="C656" s="207" t="n">
        <v>100</v>
      </c>
      <c r="D656" s="960" t="n">
        <v>0.1051</v>
      </c>
      <c r="E656" s="214" t="n"/>
      <c r="F656" s="262" t="n">
        <v>113114</v>
      </c>
      <c r="G656" s="263" t="inlineStr">
        <is>
          <t>Broche universale larga in plastica trasparente mm. 120</t>
        </is>
      </c>
      <c r="H656" s="264" t="n">
        <v>100</v>
      </c>
      <c r="I656" s="268" t="n">
        <v>0.176</v>
      </c>
      <c r="J656" s="214" t="n"/>
      <c r="K656" s="208" t="n"/>
      <c r="L656" s="424" t="n"/>
      <c r="M656" s="961" t="n"/>
      <c r="N656" s="214" t="n"/>
    </row>
    <row r="657">
      <c r="A657" s="207" t="n">
        <v>142003</v>
      </c>
      <c r="B657" s="209" t="inlineStr">
        <is>
          <t>Braccio Universale - 15 cm</t>
        </is>
      </c>
      <c r="C657" s="207" t="n">
        <v>100</v>
      </c>
      <c r="D657" s="960" t="n">
        <v>0.1257</v>
      </c>
      <c r="E657" s="214" t="n"/>
      <c r="F657" s="262" t="n">
        <v>113115</v>
      </c>
      <c r="G657" s="263" t="inlineStr">
        <is>
          <t>Broche universale larga in plastica trasparente mm. 150</t>
        </is>
      </c>
      <c r="H657" s="264" t="n">
        <v>100</v>
      </c>
      <c r="I657" s="268" t="n">
        <v>0.19</v>
      </c>
      <c r="J657" s="214" t="n"/>
      <c r="K657" s="208" t="n"/>
      <c r="L657" s="424" t="n"/>
      <c r="M657" s="961" t="n"/>
      <c r="N657" s="214" t="n"/>
    </row>
    <row r="658">
      <c r="A658" s="207" t="n">
        <v>142412</v>
      </c>
      <c r="B658" s="209" t="inlineStr">
        <is>
          <t>Braccio Ad Inserimento DoPPio - 10 cm</t>
        </is>
      </c>
      <c r="C658" s="207" t="n">
        <v>100</v>
      </c>
      <c r="D658" s="960" t="n">
        <v>0.1473</v>
      </c>
      <c r="E658" s="214" t="n"/>
      <c r="F658" s="262" t="n">
        <v>113116</v>
      </c>
      <c r="G658" s="263" t="inlineStr">
        <is>
          <t>Broche universale larga in plastica trasparente mm. 170</t>
        </is>
      </c>
      <c r="H658" s="264" t="n">
        <v>100</v>
      </c>
      <c r="I658" s="268" t="n">
        <v>0.2</v>
      </c>
      <c r="J658" s="214" t="n"/>
      <c r="K658" s="208" t="n"/>
      <c r="L658" s="424" t="n"/>
      <c r="M658" s="961" t="n"/>
      <c r="N658" s="214" t="n"/>
    </row>
    <row r="659">
      <c r="A659" s="207" t="n">
        <v>142413</v>
      </c>
      <c r="B659" s="209" t="inlineStr">
        <is>
          <t>Braccio Ad Inserimento DoPPio - 15 cm</t>
        </is>
      </c>
      <c r="C659" s="207" t="n">
        <v>100</v>
      </c>
      <c r="D659" s="960" t="n">
        <v>0.17</v>
      </c>
      <c r="E659" s="214" t="n"/>
      <c r="F659" s="262" t="n">
        <v>113117</v>
      </c>
      <c r="G659" s="263" t="inlineStr">
        <is>
          <t>Broche universale larga in plastica trasparente mm. 190</t>
        </is>
      </c>
      <c r="H659" s="264" t="n">
        <v>100</v>
      </c>
      <c r="I659" s="268" t="n">
        <v>0.216</v>
      </c>
      <c r="J659" s="214" t="n"/>
      <c r="K659" s="208" t="n"/>
      <c r="L659" s="424" t="n"/>
      <c r="M659" s="961" t="n"/>
      <c r="N659" s="214" t="n"/>
    </row>
    <row r="660">
      <c r="A660" s="207" t="n">
        <v>142414</v>
      </c>
      <c r="B660" s="209" t="inlineStr">
        <is>
          <t>Braccio Ad Inserimento DoPPio - 20 cm</t>
        </is>
      </c>
      <c r="C660" s="207" t="n">
        <v>100</v>
      </c>
      <c r="D660" s="960" t="n">
        <v>0.2153</v>
      </c>
      <c r="E660" s="214" t="n"/>
      <c r="F660" s="262" t="n">
        <v>113118</v>
      </c>
      <c r="G660" s="263" t="inlineStr">
        <is>
          <t>Broche universale larga in plastica trasparente mm. 210</t>
        </is>
      </c>
      <c r="H660" s="264" t="n">
        <v>100</v>
      </c>
      <c r="I660" s="268" t="n">
        <v>0.362</v>
      </c>
      <c r="J660" s="214" t="n"/>
      <c r="K660" s="208" t="n"/>
      <c r="L660" s="424" t="n"/>
      <c r="M660" s="961" t="n"/>
      <c r="N660" s="214" t="n"/>
    </row>
    <row r="661">
      <c r="A661" s="207" t="n">
        <v>142415</v>
      </c>
      <c r="B661" s="209" t="inlineStr">
        <is>
          <t>Braccio Ad Inserimento DoPPio - 25 cm</t>
        </is>
      </c>
      <c r="C661" s="207" t="n">
        <v>100</v>
      </c>
      <c r="D661" s="960" t="n">
        <v>0.2448</v>
      </c>
      <c r="E661" s="214" t="n"/>
      <c r="F661" s="262" t="n">
        <v>113119</v>
      </c>
      <c r="G661" s="263" t="inlineStr">
        <is>
          <t>Broche universale larga in plastica trasparente mm. 250</t>
        </is>
      </c>
      <c r="H661" s="264" t="n">
        <v>100</v>
      </c>
      <c r="I661" s="268" t="n">
        <v>0.396</v>
      </c>
      <c r="J661" s="214" t="n"/>
      <c r="K661" s="208" t="n"/>
      <c r="L661" s="424" t="n"/>
      <c r="M661" s="961" t="n"/>
      <c r="N661" s="214" t="n"/>
    </row>
    <row r="662">
      <c r="A662" s="207" t="n">
        <v>142422</v>
      </c>
      <c r="B662" s="209" t="inlineStr">
        <is>
          <t>Braccio Ad Inserimento DoPPio  -Nero - 10 cm</t>
        </is>
      </c>
      <c r="C662" s="207" t="n">
        <v>100</v>
      </c>
      <c r="D662" s="960" t="n">
        <v>0.1473</v>
      </c>
      <c r="E662" s="214" t="n"/>
      <c r="F662" s="262" t="n">
        <v>113126</v>
      </c>
      <c r="G662" s="263" t="inlineStr">
        <is>
          <t>Broche singola ad inserimento automatico trasparente mm. 50</t>
        </is>
      </c>
      <c r="H662" s="264" t="n">
        <v>100</v>
      </c>
      <c r="I662" s="268" t="n">
        <v>0.207</v>
      </c>
      <c r="J662" s="214" t="n"/>
      <c r="K662" s="208" t="n"/>
      <c r="L662" s="424" t="n"/>
      <c r="M662" s="961" t="n"/>
      <c r="N662" s="214" t="n"/>
    </row>
    <row r="663">
      <c r="A663" s="207" t="n">
        <v>142423</v>
      </c>
      <c r="B663" s="209" t="inlineStr">
        <is>
          <t>Braccio Ad Inserimento DoPPio - Nero -15 cm</t>
        </is>
      </c>
      <c r="C663" s="207" t="n">
        <v>100</v>
      </c>
      <c r="D663" s="960" t="n">
        <v>0.17</v>
      </c>
      <c r="E663" s="214" t="n"/>
      <c r="F663" s="262" t="n">
        <v>113127</v>
      </c>
      <c r="G663" s="263" t="inlineStr">
        <is>
          <t>Broche singola ad inserimento automatico trasparente mm. 100</t>
        </is>
      </c>
      <c r="H663" s="264" t="n">
        <v>100</v>
      </c>
      <c r="I663" s="268" t="n">
        <v>0.217</v>
      </c>
      <c r="J663" s="214" t="n"/>
      <c r="K663" s="208" t="n"/>
      <c r="L663" s="424" t="n"/>
      <c r="M663" s="961" t="n"/>
      <c r="N663" s="214" t="n"/>
    </row>
    <row r="664">
      <c r="A664" s="207" t="n">
        <v>142424</v>
      </c>
      <c r="B664" s="209" t="inlineStr">
        <is>
          <t>Braccio Ad Inserimento DoPPio - Nero- 20 cm</t>
        </is>
      </c>
      <c r="C664" s="207" t="n">
        <v>100</v>
      </c>
      <c r="D664" s="960" t="n">
        <v>0.2153</v>
      </c>
      <c r="E664" s="214" t="n"/>
      <c r="F664" s="262" t="n">
        <v>113128</v>
      </c>
      <c r="G664" s="263" t="inlineStr">
        <is>
          <t>Broche singola ad inserimento automatico trasparente mm. 150</t>
        </is>
      </c>
      <c r="H664" s="264" t="n">
        <v>100</v>
      </c>
      <c r="I664" s="268" t="n">
        <v>0.24</v>
      </c>
      <c r="J664" s="214" t="n"/>
      <c r="K664" s="208" t="n"/>
      <c r="L664" s="424" t="n"/>
      <c r="M664" s="961" t="n"/>
      <c r="N664" s="214" t="n"/>
    </row>
    <row r="665">
      <c r="A665" s="207" t="n">
        <v>142206</v>
      </c>
      <c r="B665" s="209" t="inlineStr">
        <is>
          <t>Braccio Ad Inserimento Semplice - 5 cm</t>
        </is>
      </c>
      <c r="C665" s="207" t="n">
        <v>100</v>
      </c>
      <c r="D665" s="960" t="n">
        <v>0.15</v>
      </c>
      <c r="E665" s="214" t="n"/>
      <c r="F665" s="262" t="n">
        <v>113129</v>
      </c>
      <c r="G665" s="263" t="inlineStr">
        <is>
          <t>Broche singola ad inserimento automatico trasparente mm. 200</t>
        </is>
      </c>
      <c r="H665" s="264" t="n">
        <v>100</v>
      </c>
      <c r="I665" s="268" t="n">
        <v>0.273</v>
      </c>
      <c r="J665" s="214" t="n"/>
      <c r="K665" s="208" t="n"/>
      <c r="L665" s="424" t="n"/>
      <c r="M665" s="961" t="n"/>
      <c r="N665" s="214" t="n"/>
    </row>
    <row r="666">
      <c r="A666" s="207" t="n">
        <v>142205</v>
      </c>
      <c r="B666" s="209" t="inlineStr">
        <is>
          <t>Braccio Ad Inserimento Semplice - 10 cm</t>
        </is>
      </c>
      <c r="C666" s="207" t="n">
        <v>100</v>
      </c>
      <c r="D666" s="960" t="n">
        <v>0.1236</v>
      </c>
      <c r="E666" s="214" t="n"/>
      <c r="F666" s="262" t="n">
        <v>113130</v>
      </c>
      <c r="G666" s="263" t="inlineStr">
        <is>
          <t>Broche singola ad inserimento automatico trasparente mm. 250</t>
        </is>
      </c>
      <c r="H666" s="264" t="n">
        <v>100</v>
      </c>
      <c r="I666" s="268" t="n">
        <v>0.371</v>
      </c>
      <c r="J666" s="214" t="n"/>
      <c r="K666" s="208" t="n"/>
      <c r="L666" s="424" t="n"/>
      <c r="M666" s="961" t="n"/>
      <c r="N666" s="214" t="n"/>
    </row>
    <row r="667">
      <c r="A667" s="207" t="n">
        <v>142203</v>
      </c>
      <c r="B667" s="209" t="inlineStr">
        <is>
          <t>Braccio Ad Inserimento Semplice - 15 cm</t>
        </is>
      </c>
      <c r="C667" s="207" t="n">
        <v>100</v>
      </c>
      <c r="D667" s="960" t="n">
        <v>0.1442</v>
      </c>
      <c r="E667" s="214" t="n"/>
      <c r="F667" s="262" t="n">
        <v>113137</v>
      </c>
      <c r="G667" s="263" t="inlineStr">
        <is>
          <t>Broche doppia ad inserimento automatico trasparente mm. 50</t>
        </is>
      </c>
      <c r="H667" s="264" t="n">
        <v>100</v>
      </c>
      <c r="I667" s="268" t="n">
        <v>0.183</v>
      </c>
      <c r="J667" s="214" t="n"/>
      <c r="K667" s="208" t="n"/>
      <c r="L667" s="424" t="n"/>
      <c r="M667" s="961" t="n"/>
      <c r="N667" s="214" t="n"/>
    </row>
    <row r="668">
      <c r="A668" s="207" t="n">
        <v>142201</v>
      </c>
      <c r="B668" s="209" t="inlineStr">
        <is>
          <t>Braccio Ad Inserimento Semplice - 20 cm</t>
        </is>
      </c>
      <c r="C668" s="207" t="n">
        <v>100</v>
      </c>
      <c r="D668" s="960" t="n">
        <v>0.1648</v>
      </c>
      <c r="E668" s="214" t="n"/>
      <c r="F668" s="262" t="n">
        <v>113138</v>
      </c>
      <c r="G668" s="263" t="inlineStr">
        <is>
          <t>Broche doppia ad inserimento automatico trasparente mm. 100</t>
        </is>
      </c>
      <c r="H668" s="264" t="n">
        <v>100</v>
      </c>
      <c r="I668" s="268" t="n">
        <v>0.21</v>
      </c>
      <c r="J668" s="214" t="n"/>
      <c r="K668" s="208" t="n"/>
      <c r="L668" s="424" t="n"/>
      <c r="M668" s="961" t="n"/>
      <c r="N668" s="214" t="n"/>
    </row>
    <row r="669">
      <c r="A669" s="207" t="n">
        <v>950111</v>
      </c>
      <c r="B669" s="209" t="inlineStr">
        <is>
          <t>Braccio Fondo Forato - 5 cm - DoPPio</t>
        </is>
      </c>
      <c r="C669" s="207" t="n">
        <v>100</v>
      </c>
      <c r="D669" s="960" t="n">
        <v>0.1957</v>
      </c>
      <c r="E669" s="214" t="n"/>
      <c r="F669" s="262" t="n">
        <v>113139</v>
      </c>
      <c r="G669" s="263" t="inlineStr">
        <is>
          <t>Broche doppia ad inserimento automatico trasparente mm. 150</t>
        </is>
      </c>
      <c r="H669" s="264" t="n">
        <v>100</v>
      </c>
      <c r="I669" s="268" t="n">
        <v>0.267</v>
      </c>
      <c r="J669" s="214" t="n"/>
      <c r="K669" s="208" t="n"/>
      <c r="L669" s="424" t="n"/>
      <c r="M669" s="961" t="n"/>
      <c r="N669" s="214" t="n"/>
    </row>
    <row r="670">
      <c r="A670" s="207" t="n">
        <v>950112</v>
      </c>
      <c r="B670" s="209" t="inlineStr">
        <is>
          <t>Braccio Fondo Forato - 10 cm - DoPPio</t>
        </is>
      </c>
      <c r="C670" s="207" t="n">
        <v>100</v>
      </c>
      <c r="D670" s="960" t="n">
        <v>0.309</v>
      </c>
      <c r="E670" s="214" t="n"/>
      <c r="F670" s="262" t="n">
        <v>113140</v>
      </c>
      <c r="G670" s="263" t="inlineStr">
        <is>
          <t>Broche doppia ad inserimento automatico trasparente mm. 200</t>
        </is>
      </c>
      <c r="H670" s="264" t="n">
        <v>100</v>
      </c>
      <c r="I670" s="268" t="n">
        <v>0.279</v>
      </c>
      <c r="J670" s="214" t="n"/>
      <c r="K670" s="208" t="n"/>
      <c r="L670" s="424" t="n"/>
      <c r="M670" s="961" t="n"/>
      <c r="N670" s="214" t="n"/>
    </row>
    <row r="671">
      <c r="A671" s="207" t="n">
        <v>950113</v>
      </c>
      <c r="B671" s="209" t="inlineStr">
        <is>
          <t>Braccio Fondo Forato - 15 cm - DoPPio</t>
        </is>
      </c>
      <c r="C671" s="207" t="n">
        <v>100</v>
      </c>
      <c r="D671" s="960" t="n">
        <v>0.3605</v>
      </c>
      <c r="E671" s="214" t="n"/>
      <c r="F671" s="262" t="n">
        <v>113141</v>
      </c>
      <c r="G671" s="263" t="inlineStr">
        <is>
          <t>Broche doppia ad inserimento automatico trasparente mm. 250</t>
        </is>
      </c>
      <c r="H671" s="264" t="n">
        <v>100</v>
      </c>
      <c r="I671" s="268" t="n">
        <v>0.327</v>
      </c>
      <c r="J671" s="214" t="n"/>
      <c r="K671" s="208" t="n"/>
      <c r="L671" s="424" t="n"/>
      <c r="M671" s="961" t="n"/>
      <c r="N671" s="214" t="n"/>
    </row>
    <row r="672">
      <c r="A672" s="207" t="n">
        <v>950114</v>
      </c>
      <c r="B672" s="209" t="inlineStr">
        <is>
          <t>Braccio Fondo Forato - 20 cm - DoPPio</t>
        </is>
      </c>
      <c r="C672" s="207" t="n">
        <v>100</v>
      </c>
      <c r="D672" s="960" t="n">
        <v>0.3605</v>
      </c>
      <c r="E672" s="214" t="n"/>
      <c r="F672" s="262" t="n">
        <v>113142</v>
      </c>
      <c r="G672" s="263" t="inlineStr">
        <is>
          <t>Broche doppia ad inserimento automatico trasparente mm. 300</t>
        </is>
      </c>
      <c r="H672" s="264" t="n">
        <v>100</v>
      </c>
      <c r="I672" s="268" t="n">
        <v>0.417</v>
      </c>
      <c r="J672" s="214" t="n"/>
      <c r="K672" s="208" t="n"/>
      <c r="L672" s="424" t="n"/>
      <c r="M672" s="961" t="n"/>
      <c r="N672" s="214" t="n"/>
    </row>
    <row r="673">
      <c r="A673" s="207" t="n">
        <v>950115</v>
      </c>
      <c r="B673" s="209" t="inlineStr">
        <is>
          <t>Braccio Fondo Forato - 25 cm -  DoPPio</t>
        </is>
      </c>
      <c r="C673" s="207" t="n">
        <v>100</v>
      </c>
      <c r="D673" s="960" t="n">
        <v>0.3966</v>
      </c>
      <c r="E673" s="214" t="n"/>
      <c r="F673" s="262" t="n">
        <v>113145</v>
      </c>
      <c r="G673" s="263" t="inlineStr">
        <is>
          <t>Broche singola in plastica per pannelli forati trasparente mm. 50</t>
        </is>
      </c>
      <c r="H673" s="264" t="n">
        <v>100</v>
      </c>
      <c r="I673" s="268" t="n">
        <v>0.159</v>
      </c>
      <c r="J673" s="214" t="n"/>
      <c r="K673" s="208" t="n"/>
      <c r="L673" s="424" t="n"/>
      <c r="M673" s="961" t="n"/>
      <c r="N673" s="214" t="n"/>
    </row>
    <row r="674">
      <c r="A674" s="207" t="n">
        <v>950101</v>
      </c>
      <c r="B674" s="209" t="inlineStr">
        <is>
          <t>Braccio Fondo Forato - 5 cm</t>
        </is>
      </c>
      <c r="C674" s="207" t="n">
        <v>100</v>
      </c>
      <c r="D674" s="960" t="n">
        <v>0.1957</v>
      </c>
      <c r="E674" s="214" t="n"/>
      <c r="F674" s="262" t="n">
        <v>113146</v>
      </c>
      <c r="G674" s="263" t="inlineStr">
        <is>
          <t>Broche singola in plastica per pannelli forati trasparente mm. 100</t>
        </is>
      </c>
      <c r="H674" s="264" t="n">
        <v>100</v>
      </c>
      <c r="I674" s="268" t="n">
        <v>0.183</v>
      </c>
      <c r="J674" s="214" t="n"/>
      <c r="K674" s="208" t="n"/>
      <c r="L674" s="424" t="n"/>
      <c r="M674" s="961" t="n"/>
      <c r="N674" s="214" t="n"/>
    </row>
    <row r="675">
      <c r="A675" s="207" t="n">
        <v>950102</v>
      </c>
      <c r="B675" s="209" t="inlineStr">
        <is>
          <t>Braccio Fondo Forato - 10 cm</t>
        </is>
      </c>
      <c r="C675" s="207" t="n">
        <v>100</v>
      </c>
      <c r="D675" s="960" t="n">
        <v>0.1638</v>
      </c>
      <c r="E675" s="214" t="n"/>
      <c r="F675" s="262" t="n">
        <v>113147</v>
      </c>
      <c r="G675" s="263" t="inlineStr">
        <is>
          <t>Broche singola in plastica per pannelli forati trasparente mm. 150</t>
        </is>
      </c>
      <c r="H675" s="264" t="n">
        <v>100</v>
      </c>
      <c r="I675" s="268" t="n">
        <v>0.2</v>
      </c>
      <c r="J675" s="214" t="n"/>
      <c r="K675" s="208" t="n"/>
      <c r="L675" s="424" t="n"/>
      <c r="M675" s="961" t="n"/>
      <c r="N675" s="214" t="n"/>
    </row>
    <row r="676">
      <c r="A676" s="207" t="n">
        <v>950103</v>
      </c>
      <c r="B676" s="209" t="inlineStr">
        <is>
          <t>Braccio Fondo Forato - 15 cm</t>
        </is>
      </c>
      <c r="C676" s="207" t="n">
        <v>100</v>
      </c>
      <c r="D676" s="960" t="n">
        <v>0.2575</v>
      </c>
      <c r="E676" s="214" t="n"/>
      <c r="F676" s="262" t="n">
        <v>113148</v>
      </c>
      <c r="G676" s="263" t="inlineStr">
        <is>
          <t>Broche singola in plastica per pannelli forati trasparente mm. 200</t>
        </is>
      </c>
      <c r="H676" s="264" t="n">
        <v>100</v>
      </c>
      <c r="I676" s="268" t="n">
        <v>0.221</v>
      </c>
      <c r="J676" s="214" t="n"/>
      <c r="K676" s="208" t="n"/>
      <c r="L676" s="424" t="n"/>
      <c r="M676" s="961" t="n"/>
      <c r="N676" s="214" t="n"/>
    </row>
    <row r="677">
      <c r="A677" s="207" t="n">
        <v>950104</v>
      </c>
      <c r="B677" s="209" t="inlineStr">
        <is>
          <t>Braccio Fondo Forato - 20 cm</t>
        </is>
      </c>
      <c r="C677" s="207" t="n">
        <v>100</v>
      </c>
      <c r="D677" s="960" t="n">
        <v>0.2781</v>
      </c>
      <c r="E677" s="214" t="n"/>
      <c r="F677" s="262" t="n">
        <v>113149</v>
      </c>
      <c r="G677" s="263" t="inlineStr">
        <is>
          <t>Broche singola in plastica per pannelli forati trasparente mm. 250</t>
        </is>
      </c>
      <c r="H677" s="264" t="n">
        <v>100</v>
      </c>
      <c r="I677" s="268" t="n">
        <v>0.245</v>
      </c>
      <c r="J677" s="214" t="n"/>
      <c r="K677" s="208" t="n"/>
      <c r="L677" s="424" t="n"/>
      <c r="M677" s="961" t="n"/>
      <c r="N677" s="214" t="n"/>
    </row>
    <row r="678">
      <c r="A678" s="207" t="n">
        <v>950105</v>
      </c>
      <c r="B678" s="209" t="inlineStr">
        <is>
          <t>Braccio Fondo Forato - 25 cm</t>
        </is>
      </c>
      <c r="C678" s="207" t="n">
        <v>100</v>
      </c>
      <c r="D678" s="960" t="n">
        <v>0.2957</v>
      </c>
      <c r="E678" s="214" t="n"/>
      <c r="F678" s="262" t="n">
        <v>113150</v>
      </c>
      <c r="G678" s="263" t="inlineStr">
        <is>
          <t>Broche universale larga in plastica bianca mm. 100 con retro alto</t>
        </is>
      </c>
      <c r="H678" s="264" t="n">
        <v>100</v>
      </c>
      <c r="I678" s="268" t="n">
        <v>0.202</v>
      </c>
      <c r="J678" s="214" t="n"/>
      <c r="K678" s="209" t="n"/>
      <c r="L678" s="425" t="n"/>
      <c r="M678" s="961" t="n"/>
      <c r="N678" s="214" t="n"/>
    </row>
    <row r="679">
      <c r="A679" s="207" t="n">
        <v>950121</v>
      </c>
      <c r="B679" s="209" t="inlineStr">
        <is>
          <t>Limitatore Semplice</t>
        </is>
      </c>
      <c r="C679" s="207" t="n">
        <v>250</v>
      </c>
      <c r="D679" s="960" t="n">
        <v>0.0824</v>
      </c>
      <c r="E679" s="214" t="n"/>
      <c r="F679" s="262" t="n">
        <v>113151</v>
      </c>
      <c r="G679" s="263" t="inlineStr">
        <is>
          <t>Broche universale larga in plastica bianca mm. 120 con retro alto</t>
        </is>
      </c>
      <c r="H679" s="264" t="n">
        <v>100</v>
      </c>
      <c r="I679" s="268" t="n">
        <v>0.234</v>
      </c>
      <c r="J679" s="214" t="n"/>
      <c r="K679" s="209" t="n"/>
      <c r="L679" s="425" t="n"/>
      <c r="M679" s="961" t="n"/>
      <c r="N679" s="214" t="n"/>
    </row>
    <row r="680">
      <c r="A680" s="207" t="n">
        <v>950123</v>
      </c>
      <c r="B680" s="209" t="inlineStr">
        <is>
          <t>Limitatore Braccio Semplice 4mm</t>
        </is>
      </c>
      <c r="C680" s="207" t="n">
        <v>2000</v>
      </c>
      <c r="D680" s="960" t="n">
        <v>0.0309</v>
      </c>
      <c r="E680" s="214" t="n"/>
      <c r="F680" s="262" t="n">
        <v>113154</v>
      </c>
      <c r="G680" s="263" t="inlineStr">
        <is>
          <t>Broche doppia in plastica per pannelli forati trasparente mm. 50</t>
        </is>
      </c>
      <c r="H680" s="264" t="n">
        <v>100</v>
      </c>
      <c r="I680" s="268" t="n">
        <v>0.188</v>
      </c>
      <c r="J680" s="214" t="n"/>
      <c r="K680" s="209" t="n"/>
      <c r="L680" s="425" t="n"/>
      <c r="M680" s="961" t="n"/>
      <c r="N680" s="214" t="n"/>
    </row>
    <row r="681">
      <c r="A681" s="207" t="n">
        <v>950120</v>
      </c>
      <c r="B681" s="209" t="inlineStr">
        <is>
          <t>Limitatore DoPPio - Ø 18 mm</t>
        </is>
      </c>
      <c r="C681" s="207" t="n">
        <v>100</v>
      </c>
      <c r="D681" s="960" t="n">
        <v>0.0711</v>
      </c>
      <c r="E681" s="214" t="n"/>
      <c r="F681" s="262" t="n">
        <v>113155</v>
      </c>
      <c r="G681" s="263" t="inlineStr">
        <is>
          <t>Broche doppia in plastica per pannelli forati trasparente mm. 100</t>
        </is>
      </c>
      <c r="H681" s="264" t="n">
        <v>100</v>
      </c>
      <c r="I681" s="268" t="n">
        <v>0.221</v>
      </c>
      <c r="J681" s="214" t="n"/>
      <c r="K681" s="209" t="n"/>
      <c r="L681" s="425" t="n"/>
      <c r="M681" s="961" t="n"/>
      <c r="N681" s="214" t="n"/>
    </row>
    <row r="682">
      <c r="A682" s="207" t="n">
        <v>950124</v>
      </c>
      <c r="B682" s="209" t="inlineStr">
        <is>
          <t>Limitatore Per Fili Di 6mm Bianco</t>
        </is>
      </c>
      <c r="C682" s="207" t="n">
        <v>100</v>
      </c>
      <c r="D682" s="960" t="n">
        <v>0.1339</v>
      </c>
      <c r="E682" s="214" t="n"/>
      <c r="F682" s="262" t="n">
        <v>113156</v>
      </c>
      <c r="G682" s="263" t="inlineStr">
        <is>
          <t>Broche doppia in plastica per pannelli forati trasparente mm. 150</t>
        </is>
      </c>
      <c r="H682" s="264" t="n">
        <v>100</v>
      </c>
      <c r="I682" s="268" t="n">
        <v>0.257</v>
      </c>
      <c r="J682" s="214" t="n"/>
      <c r="K682" s="209" t="n"/>
      <c r="L682" s="425" t="n"/>
      <c r="M682" s="961" t="n"/>
      <c r="N682" s="214" t="n"/>
    </row>
    <row r="683">
      <c r="A683" s="207" t="n">
        <v>950140</v>
      </c>
      <c r="B683" s="209" t="inlineStr">
        <is>
          <t>Antifurto Per Braccio 6mm</t>
        </is>
      </c>
      <c r="C683" s="207" t="n">
        <v>10</v>
      </c>
      <c r="D683" s="960" t="n">
        <v>0.7416</v>
      </c>
      <c r="E683" s="214" t="n"/>
      <c r="F683" s="262" t="n">
        <v>113157</v>
      </c>
      <c r="G683" s="263" t="inlineStr">
        <is>
          <t>Broche doppia in plastica per pannelli forati trasparente mm. 200</t>
        </is>
      </c>
      <c r="H683" s="264" t="n">
        <v>100</v>
      </c>
      <c r="I683" s="268" t="n">
        <v>0.289</v>
      </c>
      <c r="J683" s="214" t="n"/>
      <c r="K683" s="208" t="n"/>
      <c r="L683" s="424" t="n"/>
      <c r="M683" s="961" t="n"/>
      <c r="N683" s="214" t="n"/>
    </row>
    <row r="684">
      <c r="A684" s="207" t="n">
        <v>950141</v>
      </c>
      <c r="B684" s="209" t="inlineStr">
        <is>
          <t>Antifurto Per Braccio 8mm</t>
        </is>
      </c>
      <c r="C684" s="207" t="n">
        <v>10</v>
      </c>
      <c r="D684" s="960" t="n">
        <v>0.7416</v>
      </c>
      <c r="E684" s="214" t="n"/>
      <c r="F684" s="262" t="n">
        <v>113158</v>
      </c>
      <c r="G684" s="263" t="inlineStr">
        <is>
          <t>Broche doppia in plastica per pannelli forati trasparente mm. 250</t>
        </is>
      </c>
      <c r="H684" s="264" t="n">
        <v>100</v>
      </c>
      <c r="I684" s="268" t="n">
        <v>0.32</v>
      </c>
      <c r="J684" s="214" t="n"/>
      <c r="K684" s="208" t="n"/>
      <c r="L684" s="424" t="n"/>
      <c r="M684" s="961" t="n"/>
      <c r="N684" s="214" t="n"/>
    </row>
    <row r="685">
      <c r="A685" s="207" t="n">
        <v>950142</v>
      </c>
      <c r="B685" s="209" t="inlineStr">
        <is>
          <t>Antifurto Per Bracci DoPPi 5-8mm</t>
        </is>
      </c>
      <c r="C685" s="207" t="n">
        <v>10</v>
      </c>
      <c r="D685" s="960" t="n">
        <v>0.8034</v>
      </c>
      <c r="E685" s="214" t="n"/>
      <c r="F685" s="262" t="n">
        <v>113159</v>
      </c>
      <c r="G685" s="263" t="inlineStr">
        <is>
          <t>Broche doppia in plastica per pannelli forati trasparente mm. 300</t>
        </is>
      </c>
      <c r="H685" s="264" t="n">
        <v>100</v>
      </c>
      <c r="I685" s="268" t="n">
        <v>0.351</v>
      </c>
      <c r="J685" s="214" t="n"/>
      <c r="K685" s="208" t="n"/>
      <c r="L685" s="424" t="n"/>
      <c r="M685" s="961" t="n"/>
      <c r="N685" s="214" t="n"/>
    </row>
    <row r="686">
      <c r="A686" s="207" t="n">
        <v>950143</v>
      </c>
      <c r="B686" s="209" t="inlineStr">
        <is>
          <t>Chiave Magnetca Per Antifurto</t>
        </is>
      </c>
      <c r="C686" s="207" t="n">
        <v>1</v>
      </c>
      <c r="D686" s="960" t="n">
        <v>20.6</v>
      </c>
      <c r="E686" s="214" t="n"/>
      <c r="F686" s="262" t="n">
        <v>113160</v>
      </c>
      <c r="G686" s="263" t="inlineStr">
        <is>
          <t>Broche universale larga in plastica nera mm. 100 con retro alto</t>
        </is>
      </c>
      <c r="H686" s="264" t="n">
        <v>100</v>
      </c>
      <c r="I686" s="268" t="n">
        <v>0.222</v>
      </c>
      <c r="J686" s="214" t="n"/>
      <c r="K686" s="208" t="n"/>
      <c r="L686" s="424" t="n"/>
      <c r="M686" s="961" t="n"/>
      <c r="N686" s="214" t="n"/>
    </row>
    <row r="687">
      <c r="A687" s="207" t="n">
        <v>950144</v>
      </c>
      <c r="B687" s="209" t="inlineStr">
        <is>
          <t>Antifurto Per Braccio 5-8mm - Con Chiave</t>
        </is>
      </c>
      <c r="C687" s="207" t="n">
        <v>10</v>
      </c>
      <c r="D687" s="960" t="n">
        <v>0.9579</v>
      </c>
      <c r="E687" s="214" t="n"/>
      <c r="F687" s="262" t="n">
        <v>113161</v>
      </c>
      <c r="G687" s="263" t="inlineStr">
        <is>
          <t>Broche universale larga in plastica nera mm. 120 con retro alto</t>
        </is>
      </c>
      <c r="H687" s="264" t="n">
        <v>100</v>
      </c>
      <c r="I687" s="268" t="n">
        <v>0.258</v>
      </c>
      <c r="J687" s="214" t="n"/>
      <c r="K687" s="208" t="n"/>
      <c r="L687" s="424" t="n"/>
      <c r="M687" s="961" t="n"/>
      <c r="N687" s="214" t="n"/>
    </row>
    <row r="688">
      <c r="A688" s="207" t="n">
        <v>792216</v>
      </c>
      <c r="B688" s="209" t="inlineStr">
        <is>
          <t>Piede Per Espositore - Angolo Fisso - Bianco</t>
        </is>
      </c>
      <c r="C688" s="207" t="n">
        <v>100</v>
      </c>
      <c r="D688" s="960" t="n">
        <v>0.2936</v>
      </c>
      <c r="E688" s="214" t="n"/>
      <c r="F688" s="262" t="n">
        <v>113165</v>
      </c>
      <c r="G688" s="263" t="inlineStr">
        <is>
          <t>Broche singola in plastica per pannelli dogati trasparente mm. 50</t>
        </is>
      </c>
      <c r="H688" s="264" t="n">
        <v>100</v>
      </c>
      <c r="I688" s="268" t="n">
        <v>0.205</v>
      </c>
      <c r="J688" s="214" t="n"/>
      <c r="K688" s="208" t="n"/>
      <c r="L688" s="424" t="n"/>
      <c r="M688" s="961" t="n"/>
      <c r="N688" s="214" t="n"/>
    </row>
    <row r="689">
      <c r="A689" s="207" t="n">
        <v>792300</v>
      </c>
      <c r="B689" s="209" t="inlineStr">
        <is>
          <t>Piede Per Espositore - Angolo Regolabile - Bianco</t>
        </is>
      </c>
      <c r="C689" s="207" t="n">
        <v>100</v>
      </c>
      <c r="D689" s="960" t="n">
        <v>0.2266</v>
      </c>
      <c r="E689" s="214" t="n"/>
      <c r="F689" s="262" t="n">
        <v>113166</v>
      </c>
      <c r="G689" s="263" t="inlineStr">
        <is>
          <t>Broche singola in plastica per pannelli dogati trasparente mm. 100</t>
        </is>
      </c>
      <c r="H689" s="264" t="n">
        <v>100</v>
      </c>
      <c r="I689" s="268" t="n">
        <v>0.228</v>
      </c>
      <c r="J689" s="214" t="n"/>
      <c r="K689" s="208" t="n"/>
      <c r="L689" s="424" t="n"/>
      <c r="M689" s="961" t="n"/>
      <c r="N689" s="214" t="n"/>
    </row>
    <row r="690">
      <c r="A690" s="207" t="n">
        <v>792301</v>
      </c>
      <c r="B690" s="209" t="inlineStr">
        <is>
          <t>Piede Per Espositore - Angolo Regolabile - Trasparente</t>
        </is>
      </c>
      <c r="C690" s="207" t="n">
        <v>100</v>
      </c>
      <c r="D690" s="960" t="n">
        <v>0.2266</v>
      </c>
      <c r="E690" s="214" t="n"/>
      <c r="F690" s="262" t="n">
        <v>113167</v>
      </c>
      <c r="G690" s="263" t="inlineStr">
        <is>
          <t>Broche singola in plastica per pannelli dogati trasparente mm. 150</t>
        </is>
      </c>
      <c r="H690" s="264" t="n">
        <v>100</v>
      </c>
      <c r="I690" s="268" t="n">
        <v>0.248</v>
      </c>
      <c r="J690" s="214" t="n"/>
      <c r="K690" s="208" t="n"/>
      <c r="L690" s="424" t="n"/>
      <c r="M690" s="961" t="n"/>
      <c r="N690" s="214" t="n"/>
    </row>
    <row r="691">
      <c r="A691" s="207" t="n">
        <v>792298</v>
      </c>
      <c r="B691" s="209" t="inlineStr">
        <is>
          <t>Piede Adesivo In Plastica Trasparente</t>
        </is>
      </c>
      <c r="C691" s="207" t="n">
        <v>100</v>
      </c>
      <c r="D691" s="960" t="n">
        <v>0.3436</v>
      </c>
      <c r="E691" s="214" t="n"/>
      <c r="F691" s="262" t="n">
        <v>113168</v>
      </c>
      <c r="G691" s="263" t="inlineStr">
        <is>
          <t>Broche singola in plastica per pannelli dogati trasparente mm. 200</t>
        </is>
      </c>
      <c r="H691" s="264" t="n">
        <v>100</v>
      </c>
      <c r="I691" s="268" t="n">
        <v>0.261</v>
      </c>
      <c r="J691" s="214" t="n"/>
      <c r="K691" s="208" t="n"/>
      <c r="L691" s="424" t="n"/>
      <c r="M691" s="961" t="n"/>
      <c r="N691" s="214" t="n"/>
    </row>
    <row r="692">
      <c r="A692" s="207" t="n">
        <v>950220</v>
      </c>
      <c r="B692" s="209" t="inlineStr">
        <is>
          <t>Piano Rotante 100mm - Trasparente</t>
        </is>
      </c>
      <c r="C692" s="207" t="n">
        <v>1</v>
      </c>
      <c r="D692" s="960" t="n">
        <v>1.7926</v>
      </c>
      <c r="E692" s="214" t="n"/>
      <c r="F692" s="262" t="n">
        <v>113169</v>
      </c>
      <c r="G692" s="263" t="inlineStr">
        <is>
          <t>Broche singola in plastica per pannelli dogati trasparente mm. 250</t>
        </is>
      </c>
      <c r="H692" s="264" t="n">
        <v>100</v>
      </c>
      <c r="I692" s="268" t="n">
        <v>0.312</v>
      </c>
      <c r="J692" s="214" t="n"/>
      <c r="K692" s="208" t="n"/>
      <c r="L692" s="424" t="n"/>
      <c r="M692" s="961" t="n"/>
      <c r="N692" s="214" t="n"/>
    </row>
    <row r="693">
      <c r="A693" s="207" t="n">
        <v>950221</v>
      </c>
      <c r="B693" s="209" t="inlineStr">
        <is>
          <t>Piano Rotante 150mm - Bianco</t>
        </is>
      </c>
      <c r="C693" s="207" t="n">
        <v>1</v>
      </c>
      <c r="D693" s="960" t="n">
        <v>2.4192</v>
      </c>
      <c r="E693" s="214" t="n"/>
      <c r="F693" s="262" t="n">
        <v>113170</v>
      </c>
      <c r="G693" s="263" t="inlineStr">
        <is>
          <t>Broche universale larga in plastica trasparente mm. 100 con retro alto</t>
        </is>
      </c>
      <c r="H693" s="264" t="n">
        <v>100</v>
      </c>
      <c r="I693" s="268" t="n">
        <v>0.262</v>
      </c>
      <c r="J693" s="214" t="n"/>
      <c r="K693" s="208" t="n"/>
      <c r="L693" s="424" t="n"/>
      <c r="M693" s="961" t="n"/>
      <c r="N693" s="214" t="n"/>
    </row>
    <row r="694">
      <c r="A694" s="207" t="n">
        <v>950222</v>
      </c>
      <c r="B694" s="209" t="inlineStr">
        <is>
          <t>Piano Rotante 225mm - Bianco</t>
        </is>
      </c>
      <c r="C694" s="207" t="n">
        <v>1</v>
      </c>
      <c r="D694" s="960" t="n">
        <v>3.5738</v>
      </c>
      <c r="E694" s="214" t="n"/>
      <c r="F694" s="262" t="n">
        <v>113171</v>
      </c>
      <c r="G694" s="263" t="inlineStr">
        <is>
          <t>Broche universale larga in plastica trasparente mm. 120 con retro alto</t>
        </is>
      </c>
      <c r="H694" s="264" t="n">
        <v>100</v>
      </c>
      <c r="I694" s="268" t="n">
        <v>0.304</v>
      </c>
      <c r="J694" s="214" t="n"/>
      <c r="K694" s="208" t="n"/>
      <c r="L694" s="424" t="n"/>
      <c r="M694" s="961" t="n"/>
      <c r="N694" s="214" t="n"/>
    </row>
    <row r="695">
      <c r="A695" s="207" t="n">
        <v>796900</v>
      </c>
      <c r="B695" s="209" t="inlineStr">
        <is>
          <t>Staffa Di Montaggio Bianco - Pos Cartone</t>
        </is>
      </c>
      <c r="C695" s="207" t="n">
        <v>100</v>
      </c>
      <c r="D695" s="960" t="n">
        <v>0.1986</v>
      </c>
      <c r="E695" s="214" t="n"/>
      <c r="F695" s="262" t="n">
        <v>113175</v>
      </c>
      <c r="G695" s="263" t="inlineStr">
        <is>
          <t>Broche doppia in plastica per pannelli dogati trasparente mm. 50</t>
        </is>
      </c>
      <c r="H695" s="264" t="n">
        <v>100</v>
      </c>
      <c r="I695" s="268" t="n">
        <v>0.237</v>
      </c>
      <c r="J695" s="214" t="n"/>
      <c r="K695" s="208" t="n"/>
      <c r="L695" s="424" t="n"/>
      <c r="M695" s="961" t="n"/>
      <c r="N695" s="214" t="n"/>
    </row>
    <row r="696">
      <c r="A696" s="207" t="n">
        <v>796910</v>
      </c>
      <c r="B696" s="209" t="inlineStr">
        <is>
          <t>SuPPorto Di Montaggio Trasparente - Pos Cartone</t>
        </is>
      </c>
      <c r="C696" s="207" t="n">
        <v>50</v>
      </c>
      <c r="D696" s="960" t="n">
        <v>0.2424</v>
      </c>
      <c r="E696" s="214" t="n"/>
      <c r="F696" s="262" t="n">
        <v>113176</v>
      </c>
      <c r="G696" s="263" t="inlineStr">
        <is>
          <t>Broche doppia in plastica per pannelli dogati trasparente mm. 100</t>
        </is>
      </c>
      <c r="H696" s="264" t="n">
        <v>100</v>
      </c>
      <c r="I696" s="268" t="n">
        <v>0.262</v>
      </c>
      <c r="J696" s="214" t="n"/>
      <c r="K696" s="208" t="n"/>
      <c r="L696" s="424" t="n"/>
      <c r="M696" s="961" t="n"/>
      <c r="N696" s="214" t="n"/>
    </row>
    <row r="697">
      <c r="A697" s="207" t="n">
        <v>795040</v>
      </c>
      <c r="B697" s="209" t="inlineStr">
        <is>
          <t>Arresto Adesivo Emisferico Ø6.4mm X A1.9</t>
        </is>
      </c>
      <c r="C697" s="207" t="n">
        <v>1</v>
      </c>
      <c r="D697" s="960" t="n">
        <v>10.197</v>
      </c>
      <c r="E697" s="214" t="n"/>
      <c r="F697" s="262" t="n">
        <v>113177</v>
      </c>
      <c r="G697" s="263" t="inlineStr">
        <is>
          <t>Broche doppia in plastica per pannelli dogati trasparente mm. 150</t>
        </is>
      </c>
      <c r="H697" s="264" t="n">
        <v>100</v>
      </c>
      <c r="I697" s="268" t="n">
        <v>0.287</v>
      </c>
      <c r="J697" s="214" t="n"/>
      <c r="K697" s="208" t="n"/>
      <c r="L697" s="424" t="n"/>
      <c r="M697" s="961" t="n"/>
      <c r="N697" s="214" t="n"/>
    </row>
    <row r="698">
      <c r="A698" s="207" t="n">
        <v>795041</v>
      </c>
      <c r="B698" s="209" t="inlineStr">
        <is>
          <t>Arresto Adesivo Emisferico Ø8mm X A2.2mm</t>
        </is>
      </c>
      <c r="C698" s="207" t="n">
        <v>1</v>
      </c>
      <c r="D698" s="960" t="n">
        <v>7.725</v>
      </c>
      <c r="E698" s="214" t="n"/>
      <c r="F698" s="262" t="n">
        <v>113178</v>
      </c>
      <c r="G698" s="263" t="inlineStr">
        <is>
          <t>Broche doppia in plastica per pannelli dogati trasparente mm. 200</t>
        </is>
      </c>
      <c r="H698" s="264" t="n">
        <v>100</v>
      </c>
      <c r="I698" s="268" t="n">
        <v>0.298</v>
      </c>
      <c r="J698" s="214" t="n"/>
      <c r="K698" s="208" t="n"/>
      <c r="L698" s="424" t="n"/>
      <c r="M698" s="961" t="n"/>
      <c r="N698" s="214" t="n"/>
    </row>
    <row r="699">
      <c r="A699" s="207" t="n">
        <v>795042</v>
      </c>
      <c r="B699" s="209" t="inlineStr">
        <is>
          <t>Arresto Adesivo Emisferico Ø12.7mm Xa3.5</t>
        </is>
      </c>
      <c r="C699" s="207" t="n">
        <v>1</v>
      </c>
      <c r="D699" s="960" t="n">
        <v>6.695</v>
      </c>
      <c r="E699" s="214" t="n"/>
      <c r="F699" s="262" t="n">
        <v>113179</v>
      </c>
      <c r="G699" s="263" t="inlineStr">
        <is>
          <t>Broche doppia in plastica per pannelli dogati trasparente mm. 250</t>
        </is>
      </c>
      <c r="H699" s="264" t="n">
        <v>100</v>
      </c>
      <c r="I699" s="268" t="n">
        <v>0.372</v>
      </c>
      <c r="J699" s="214" t="n"/>
      <c r="K699" s="208" t="n"/>
      <c r="L699" s="424" t="n"/>
      <c r="M699" s="961" t="n"/>
      <c r="N699" s="214" t="n"/>
    </row>
    <row r="700">
      <c r="A700" s="207" t="n">
        <v>795044</v>
      </c>
      <c r="B700" s="209" t="inlineStr">
        <is>
          <t>Arresto Adesivo Emisferico Ø19mm Xa1,9</t>
        </is>
      </c>
      <c r="C700" s="207" t="n">
        <v>1</v>
      </c>
      <c r="D700" s="960" t="n">
        <v>5.665</v>
      </c>
      <c r="E700" s="214" t="n"/>
      <c r="F700" s="262" t="n">
        <v>113180</v>
      </c>
      <c r="G700" s="263" t="inlineStr">
        <is>
          <t>Broche doppia in plastica per pannelli dogati trasparente mm. 300</t>
        </is>
      </c>
      <c r="H700" s="264" t="n">
        <v>100</v>
      </c>
      <c r="I700" s="268" t="n">
        <v>0.45</v>
      </c>
      <c r="J700" s="214" t="n"/>
      <c r="K700" s="208" t="n"/>
      <c r="L700" s="424" t="n"/>
      <c r="M700" s="961" t="n"/>
      <c r="N700" s="214" t="n"/>
    </row>
    <row r="701">
      <c r="A701" s="207" t="n">
        <v>795043</v>
      </c>
      <c r="B701" s="209" t="inlineStr">
        <is>
          <t>Arresto Adesivo Quadrato 12,7mmx12,7mm</t>
        </is>
      </c>
      <c r="C701" s="207" t="n">
        <v>1</v>
      </c>
      <c r="D701" s="960" t="n">
        <v>6.077</v>
      </c>
      <c r="E701" s="214" t="n"/>
      <c r="F701" s="262" t="n">
        <v>113184</v>
      </c>
      <c r="G701" s="263" t="inlineStr">
        <is>
          <t>Broche singola adesiva trasparente mm. 25</t>
        </is>
      </c>
      <c r="H701" s="264" t="n">
        <v>100</v>
      </c>
      <c r="I701" s="268" t="n">
        <v>0.303</v>
      </c>
      <c r="J701" s="214" t="n"/>
      <c r="K701" s="208" t="n"/>
      <c r="L701" s="424" t="n"/>
      <c r="M701" s="961" t="n"/>
      <c r="N701" s="214" t="n"/>
    </row>
    <row r="702">
      <c r="A702" s="207" t="n">
        <v>950230</v>
      </c>
      <c r="B702" s="209" t="inlineStr">
        <is>
          <t>Cavo In Plastica - Sistema Antifurto - Grigio - 2 Anelli</t>
        </is>
      </c>
      <c r="C702" s="207" t="n">
        <v>10</v>
      </c>
      <c r="D702" s="960" t="n">
        <v>0.55</v>
      </c>
      <c r="E702" s="214" t="n"/>
      <c r="F702" s="262" t="n">
        <v>113185</v>
      </c>
      <c r="G702" s="263" t="inlineStr">
        <is>
          <t>Broche singola adesiva trasparente mm. 50</t>
        </is>
      </c>
      <c r="H702" s="264" t="n">
        <v>100</v>
      </c>
      <c r="I702" s="268" t="n">
        <v>0.308</v>
      </c>
      <c r="J702" s="214" t="n"/>
      <c r="K702" s="208" t="n"/>
      <c r="L702" s="424" t="n"/>
      <c r="M702" s="961" t="n"/>
      <c r="N702" s="214" t="n"/>
    </row>
    <row r="703">
      <c r="A703" s="207" t="n">
        <v>950231</v>
      </c>
      <c r="B703" s="209" t="inlineStr">
        <is>
          <t>Cavo In Plastica - Sistema Antifurto - Grigio - 2 Anelli - 2 Adesivi</t>
        </is>
      </c>
      <c r="C703" s="207" t="n">
        <v>10</v>
      </c>
      <c r="D703" s="960" t="n">
        <v>0.618</v>
      </c>
      <c r="E703" s="214" t="n"/>
      <c r="F703" s="262" t="n">
        <v>113186</v>
      </c>
      <c r="G703" s="263" t="inlineStr">
        <is>
          <t>Broche singola adesiva trasparente mm. 75</t>
        </is>
      </c>
      <c r="H703" s="264" t="n">
        <v>100</v>
      </c>
      <c r="I703" s="268" t="n">
        <v>0.314</v>
      </c>
      <c r="J703" s="214" t="n"/>
      <c r="K703" s="208" t="n"/>
      <c r="L703" s="424" t="n"/>
      <c r="M703" s="961" t="n"/>
      <c r="N703" s="214" t="n"/>
    </row>
    <row r="704">
      <c r="A704" s="207" t="n">
        <v>950232</v>
      </c>
      <c r="B704" s="209" t="inlineStr">
        <is>
          <t>Cavo In Plastica - Sistema Antifurto - Grigio - 2 Anelli - 1 Adesivo</t>
        </is>
      </c>
      <c r="C704" s="207" t="n">
        <v>10</v>
      </c>
      <c r="D704" s="960" t="n">
        <v>0.515</v>
      </c>
      <c r="E704" s="214" t="n"/>
      <c r="F704" s="262" t="n">
        <v>113190</v>
      </c>
      <c r="G704" s="263" t="inlineStr">
        <is>
          <t>Broche in plastica per occhiali nera mm. 25</t>
        </is>
      </c>
      <c r="H704" s="264" t="n">
        <v>100</v>
      </c>
      <c r="I704" s="268" t="n">
        <v>0.137</v>
      </c>
      <c r="J704" s="214" t="n"/>
      <c r="K704" s="208" t="n"/>
      <c r="L704" s="424" t="n"/>
      <c r="M704" s="961" t="n"/>
      <c r="N704" s="214" t="n"/>
    </row>
    <row r="705">
      <c r="A705" s="207" t="n">
        <v>950233</v>
      </c>
      <c r="B705" s="209" t="inlineStr">
        <is>
          <t>Cavo In Plastica - Sistema Antifurto - Bianco - 2 Anelli - 1 Adesivo</t>
        </is>
      </c>
      <c r="C705" s="207" t="n">
        <v>10</v>
      </c>
      <c r="D705" s="960" t="n">
        <v>0.7</v>
      </c>
      <c r="E705" s="214" t="n"/>
      <c r="F705" s="262" t="n">
        <v>113191</v>
      </c>
      <c r="G705" s="263" t="inlineStr">
        <is>
          <t>Broche in plastica per occhiali nera mm. 75</t>
        </is>
      </c>
      <c r="H705" s="264" t="n">
        <v>100</v>
      </c>
      <c r="I705" s="268" t="n">
        <v>0.21</v>
      </c>
      <c r="J705" s="214" t="n"/>
      <c r="K705" s="208" t="n"/>
      <c r="L705" s="424" t="n"/>
      <c r="M705" s="961" t="n"/>
      <c r="N705" s="214" t="n"/>
    </row>
    <row r="706">
      <c r="A706" s="207" t="n">
        <v>950234</v>
      </c>
      <c r="B706" s="209" t="inlineStr">
        <is>
          <t>Cavo D'Acciaio Sistema Antifurto - Estensibile Fino A 1000mm</t>
        </is>
      </c>
      <c r="C706" s="207" t="n">
        <v>10</v>
      </c>
      <c r="D706" s="960" t="n">
        <v>2.7295</v>
      </c>
      <c r="E706" s="214" t="n"/>
      <c r="F706" s="262" t="n">
        <v>113230</v>
      </c>
      <c r="G706" s="263" t="inlineStr">
        <is>
          <t>Mezza sfera diam 150 mm senza bordo</t>
        </is>
      </c>
      <c r="H706" s="264" t="n">
        <v>1</v>
      </c>
      <c r="I706" s="268" t="n">
        <v>7.175</v>
      </c>
      <c r="J706" s="214" t="n"/>
      <c r="K706" s="208" t="n"/>
      <c r="L706" s="424" t="n"/>
      <c r="M706" s="961" t="n"/>
      <c r="N706" s="214" t="n"/>
    </row>
    <row r="707">
      <c r="A707" s="207" t="n">
        <v>950235</v>
      </c>
      <c r="B707" s="209" t="inlineStr">
        <is>
          <t>Cavo D'Acciaio Sistema Antifurto - Estensibile Fino A 950mm</t>
        </is>
      </c>
      <c r="C707" s="207" t="n">
        <v>10</v>
      </c>
      <c r="D707" s="960" t="n">
        <v>2.85</v>
      </c>
      <c r="E707" s="214" t="n"/>
      <c r="F707" s="262" t="n">
        <v>113231</v>
      </c>
      <c r="G707" s="263" t="inlineStr">
        <is>
          <t>Mezza sfera diam 200 mm con o senza bordo</t>
        </is>
      </c>
      <c r="H707" s="264" t="n">
        <v>1</v>
      </c>
      <c r="I707" s="268" t="n">
        <v>18.718</v>
      </c>
      <c r="J707" s="214" t="n"/>
      <c r="K707" s="208" t="n"/>
      <c r="L707" s="424" t="n"/>
      <c r="M707" s="961" t="n"/>
      <c r="N707" s="214" t="n"/>
    </row>
    <row r="708">
      <c r="A708" s="207" t="n">
        <v>950240</v>
      </c>
      <c r="B708" s="209" t="inlineStr">
        <is>
          <t>Rilegatore - Metallo Bianco  - 150X9mm</t>
        </is>
      </c>
      <c r="C708" s="207" t="n">
        <v>50</v>
      </c>
      <c r="D708" s="960" t="n">
        <v>0.0384</v>
      </c>
      <c r="E708" s="214" t="n"/>
      <c r="F708" s="262" t="n">
        <v>113232</v>
      </c>
      <c r="G708" s="263" t="inlineStr">
        <is>
          <t>Mezza sfera diam 300 mm con bordo</t>
        </is>
      </c>
      <c r="H708" s="264" t="n">
        <v>1</v>
      </c>
      <c r="I708" s="268" t="n">
        <v>37.196</v>
      </c>
      <c r="J708" s="214" t="n"/>
      <c r="K708" s="208" t="n"/>
      <c r="L708" s="424" t="n"/>
      <c r="M708" s="961" t="n"/>
      <c r="N708" s="214" t="n"/>
    </row>
    <row r="709">
      <c r="A709" s="207" t="n">
        <v>950241</v>
      </c>
      <c r="B709" s="209" t="inlineStr">
        <is>
          <t>Rilegatore - Pvc Bianco  - 165X4,5mm</t>
        </is>
      </c>
      <c r="C709" s="207" t="n">
        <v>50</v>
      </c>
      <c r="D709" s="960" t="n">
        <v>0.025</v>
      </c>
      <c r="E709" s="214" t="n"/>
      <c r="F709" s="262" t="n">
        <v>113233</v>
      </c>
      <c r="G709" s="263" t="inlineStr">
        <is>
          <t>Mezza sfera diam 400 mm con bordo</t>
        </is>
      </c>
      <c r="H709" s="264" t="n">
        <v>1</v>
      </c>
      <c r="I709" s="268" t="n">
        <v>38.396</v>
      </c>
      <c r="J709" s="214" t="n"/>
      <c r="K709" s="209" t="n"/>
      <c r="L709" s="425" t="n"/>
      <c r="M709" s="961" t="n"/>
      <c r="N709" s="214" t="n"/>
    </row>
    <row r="710">
      <c r="A710" s="207" t="n">
        <v>950242</v>
      </c>
      <c r="B710" s="209" t="inlineStr">
        <is>
          <t>Rilegatore - Metallo Dorato  - 165X4,5mm</t>
        </is>
      </c>
      <c r="C710" s="207" t="n">
        <v>50</v>
      </c>
      <c r="D710" s="960" t="n">
        <v>0.0222</v>
      </c>
      <c r="E710" s="214" t="n"/>
      <c r="F710" s="262" t="n">
        <v>113234</v>
      </c>
      <c r="G710" s="263" t="inlineStr">
        <is>
          <t>Mezza sfera diam 500 mm con bordo</t>
        </is>
      </c>
      <c r="H710" s="264" t="n">
        <v>1</v>
      </c>
      <c r="I710" s="268" t="n">
        <v>56.874</v>
      </c>
      <c r="J710" s="214" t="n"/>
      <c r="K710" s="208" t="n"/>
      <c r="L710" s="424" t="n"/>
      <c r="M710" s="961" t="n"/>
      <c r="N710" s="214" t="n"/>
    </row>
    <row r="711">
      <c r="A711" s="207" t="n">
        <v>950243</v>
      </c>
      <c r="B711" s="209" t="inlineStr">
        <is>
          <t>Rilegatore - Pvc Bianco  - 95X12mm</t>
        </is>
      </c>
      <c r="C711" s="207" t="n">
        <v>50</v>
      </c>
      <c r="D711" s="960" t="n">
        <v>0.0076</v>
      </c>
      <c r="E711" s="214" t="n"/>
      <c r="F711" s="262" t="n">
        <v>113235</v>
      </c>
      <c r="G711" s="263" t="inlineStr">
        <is>
          <t>Mezza sfera diam 600 mm con bordo</t>
        </is>
      </c>
      <c r="H711" s="264" t="n">
        <v>1</v>
      </c>
      <c r="I711" s="265" t="n">
        <v>69.593</v>
      </c>
      <c r="J711" s="214" t="n"/>
      <c r="K711" s="208" t="n"/>
      <c r="L711" s="424" t="n"/>
      <c r="M711" s="961" t="n"/>
      <c r="N711" s="214" t="n"/>
    </row>
    <row r="712">
      <c r="A712" s="207" t="n">
        <v>950244</v>
      </c>
      <c r="B712" s="209" t="inlineStr">
        <is>
          <t>Elastica 200mm</t>
        </is>
      </c>
      <c r="C712" s="207" t="n">
        <v>100</v>
      </c>
      <c r="D712" s="960" t="n">
        <v>0.1222</v>
      </c>
      <c r="E712" s="214" t="n"/>
      <c r="F712" s="262" t="n">
        <v>113240</v>
      </c>
      <c r="G712" s="263" t="inlineStr">
        <is>
          <t>Mezza sfera diam 200 mm inclinata da banco</t>
        </is>
      </c>
      <c r="H712" s="264" t="n">
        <v>1</v>
      </c>
      <c r="I712" s="265" t="n">
        <v>22.252</v>
      </c>
      <c r="J712" s="214" t="n"/>
      <c r="K712" s="208" t="n"/>
      <c r="L712" s="424" t="n"/>
      <c r="M712" s="961" t="n"/>
      <c r="N712" s="214" t="n"/>
    </row>
    <row r="713">
      <c r="A713" s="207" t="n">
        <v>950245</v>
      </c>
      <c r="B713" s="209" t="inlineStr">
        <is>
          <t>Elastica 300mm</t>
        </is>
      </c>
      <c r="C713" s="207" t="n">
        <v>100</v>
      </c>
      <c r="D713" s="960" t="n">
        <v>0.1274</v>
      </c>
      <c r="E713" s="214" t="n"/>
      <c r="F713" s="262" t="n">
        <v>113241</v>
      </c>
      <c r="G713" s="263" t="inlineStr">
        <is>
          <t>Contenitore sfera diam. 200 mm con clip porta messaggio</t>
        </is>
      </c>
      <c r="H713" s="264" t="n">
        <v>1</v>
      </c>
      <c r="I713" s="265" t="n">
        <v>17.322</v>
      </c>
      <c r="J713" s="214" t="n"/>
      <c r="K713" s="208" t="n"/>
      <c r="L713" s="424" t="n"/>
      <c r="M713" s="961" t="n"/>
      <c r="N713" s="214" t="n"/>
    </row>
    <row r="714">
      <c r="A714" s="207" t="n">
        <v>950246</v>
      </c>
      <c r="B714" s="209" t="inlineStr">
        <is>
          <t>Elastica 400mm</t>
        </is>
      </c>
      <c r="C714" s="207" t="n">
        <v>100</v>
      </c>
      <c r="D714" s="960" t="n">
        <v>0.138</v>
      </c>
      <c r="E714" s="214" t="n"/>
      <c r="F714" s="262" t="n">
        <v>113330</v>
      </c>
      <c r="G714" s="263" t="inlineStr">
        <is>
          <t>Stampa digitale monofacciale per easy roll 100</t>
        </is>
      </c>
      <c r="H714" s="264" t="n">
        <v>1</v>
      </c>
      <c r="I714" s="265" t="n">
        <v>33.6</v>
      </c>
      <c r="J714" s="214" t="n"/>
      <c r="K714" s="208" t="n"/>
      <c r="L714" s="424" t="n"/>
      <c r="M714" s="961" t="n"/>
      <c r="N714" s="214" t="n"/>
    </row>
    <row r="715">
      <c r="A715" s="207" t="n">
        <v>950247</v>
      </c>
      <c r="B715" s="209" t="inlineStr">
        <is>
          <t>Elastica 500mm</t>
        </is>
      </c>
      <c r="C715" s="207" t="n">
        <v>100</v>
      </c>
      <c r="D715" s="960" t="n">
        <v>0.2413</v>
      </c>
      <c r="E715" s="214" t="n"/>
      <c r="F715" s="262" t="n">
        <v>113335</v>
      </c>
      <c r="G715" s="263" t="inlineStr">
        <is>
          <t>Stampa digitale monofacciale per big roll 150</t>
        </is>
      </c>
      <c r="H715" s="264" t="n">
        <v>1</v>
      </c>
      <c r="I715" s="265" t="n">
        <v>50.4</v>
      </c>
      <c r="J715" s="214" t="n"/>
      <c r="K715" s="208" t="n"/>
      <c r="L715" s="424" t="n"/>
      <c r="M715" s="961" t="n"/>
      <c r="N715" s="214" t="n"/>
    </row>
    <row r="716">
      <c r="A716" s="207" t="n">
        <v>950248</v>
      </c>
      <c r="B716" s="209" t="inlineStr">
        <is>
          <t>Cerchio Elastico 150mm</t>
        </is>
      </c>
      <c r="C716" s="207" t="n">
        <v>100</v>
      </c>
      <c r="D716" s="960" t="n">
        <v>0.2889</v>
      </c>
      <c r="E716" s="214" t="n"/>
      <c r="F716" s="262" t="n">
        <v>113400</v>
      </c>
      <c r="G716" s="263" t="inlineStr">
        <is>
          <t>Vaschetta porta prodotto mm. 87,5</t>
        </is>
      </c>
      <c r="H716" s="264" t="n">
        <v>25</v>
      </c>
      <c r="I716" s="265" t="n">
        <v>1.785</v>
      </c>
      <c r="J716" s="214" t="n"/>
      <c r="K716" s="208" t="n"/>
      <c r="L716" s="424" t="n"/>
      <c r="M716" s="961" t="n"/>
      <c r="N716" s="214" t="n"/>
    </row>
    <row r="717">
      <c r="A717" s="207" t="n">
        <v>950249</v>
      </c>
      <c r="B717" s="209" t="inlineStr">
        <is>
          <t>Cerchio Elastico 200mm</t>
        </is>
      </c>
      <c r="C717" s="207" t="n">
        <v>100</v>
      </c>
      <c r="D717" s="960" t="n">
        <v>0.29</v>
      </c>
      <c r="E717" s="214" t="n"/>
      <c r="F717" s="262" t="n">
        <v>113401</v>
      </c>
      <c r="G717" s="263" t="inlineStr">
        <is>
          <t>Vaschetta porta prodotto mm. 92</t>
        </is>
      </c>
      <c r="H717" s="264" t="n">
        <v>25</v>
      </c>
      <c r="I717" s="265" t="n">
        <v>1.815</v>
      </c>
      <c r="J717" s="214" t="n"/>
      <c r="K717" s="208" t="n"/>
      <c r="L717" s="424" t="n"/>
      <c r="M717" s="961" t="n"/>
      <c r="N717" s="214" t="n"/>
    </row>
    <row r="718">
      <c r="A718" s="207" t="n">
        <v>950250</v>
      </c>
      <c r="B718" s="209" t="inlineStr">
        <is>
          <t>Maniglia Bianca</t>
        </is>
      </c>
      <c r="C718" s="207" t="n">
        <v>100</v>
      </c>
      <c r="D718" s="960" t="n">
        <v>0.0927</v>
      </c>
      <c r="E718" s="214" t="n"/>
      <c r="F718" s="262" t="n">
        <v>113402</v>
      </c>
      <c r="G718" s="263" t="inlineStr">
        <is>
          <t>Vaschetta porta prodotto mm. 120</t>
        </is>
      </c>
      <c r="H718" s="264" t="n">
        <v>25</v>
      </c>
      <c r="I718" s="265" t="n">
        <v>1.95</v>
      </c>
      <c r="J718" s="214" t="n"/>
      <c r="K718" s="208" t="n"/>
      <c r="L718" s="424" t="n"/>
      <c r="M718" s="961" t="n"/>
      <c r="N718" s="214" t="n"/>
    </row>
    <row r="719">
      <c r="A719" s="207" t="n">
        <v>950251</v>
      </c>
      <c r="B719" s="209" t="inlineStr">
        <is>
          <t>Maniglia Trasparente</t>
        </is>
      </c>
      <c r="C719" s="207" t="n">
        <v>100</v>
      </c>
      <c r="D719" s="960" t="n">
        <v>0.0927</v>
      </c>
      <c r="E719" s="214" t="n"/>
      <c r="F719" s="262" t="n">
        <v>113403</v>
      </c>
      <c r="G719" s="263" t="inlineStr">
        <is>
          <t>Vaschetta porta prodotto mm. 140</t>
        </is>
      </c>
      <c r="H719" s="264" t="n">
        <v>20</v>
      </c>
      <c r="I719" s="265" t="n">
        <v>2.065</v>
      </c>
      <c r="J719" s="214" t="n"/>
      <c r="K719" s="208" t="n"/>
      <c r="L719" s="424" t="n"/>
      <c r="M719" s="961" t="n"/>
      <c r="N719" s="214" t="n"/>
    </row>
    <row r="720">
      <c r="A720" s="207" t="n">
        <v>950252</v>
      </c>
      <c r="B720" s="209" t="inlineStr">
        <is>
          <t>Maniglia Nera</t>
        </is>
      </c>
      <c r="C720" s="207" t="n">
        <v>100</v>
      </c>
      <c r="D720" s="960" t="n">
        <v>0.0927</v>
      </c>
      <c r="E720" s="214" t="n"/>
      <c r="F720" s="262" t="n">
        <v>113404</v>
      </c>
      <c r="G720" s="263" t="inlineStr">
        <is>
          <t>Vaschetta porta prodotto mm. 192,5</t>
        </is>
      </c>
      <c r="H720" s="264" t="n">
        <v>20</v>
      </c>
      <c r="I720" s="265" t="n">
        <v>2.369</v>
      </c>
      <c r="J720" s="214" t="n"/>
      <c r="K720" s="208" t="n"/>
      <c r="L720" s="424" t="n"/>
      <c r="M720" s="961" t="n"/>
      <c r="N720" s="214" t="n"/>
    </row>
    <row r="721">
      <c r="A721" s="207" t="n">
        <v>950253</v>
      </c>
      <c r="B721" s="209" t="inlineStr">
        <is>
          <t>Maniglia Rigida Bianca</t>
        </is>
      </c>
      <c r="C721" s="207" t="n">
        <v>100</v>
      </c>
      <c r="D721" s="960" t="n">
        <v>0.206</v>
      </c>
      <c r="E721" s="214" t="n"/>
      <c r="F721" s="262" t="n">
        <v>113405</v>
      </c>
      <c r="G721" s="263" t="inlineStr">
        <is>
          <t>Vaschetta porta prodotto mm. 130</t>
        </is>
      </c>
      <c r="H721" s="264" t="n">
        <v>20</v>
      </c>
      <c r="I721" s="265" t="n">
        <v>2.012</v>
      </c>
      <c r="J721" s="214" t="n"/>
      <c r="K721" s="208" t="n"/>
      <c r="L721" s="424" t="n"/>
      <c r="M721" s="961" t="n"/>
      <c r="N721" s="214" t="n"/>
    </row>
    <row r="722">
      <c r="A722" s="207" t="n">
        <v>795022</v>
      </c>
      <c r="B722" s="209" t="inlineStr">
        <is>
          <t>Banda Flessibile Trasparente  200X15mm</t>
        </is>
      </c>
      <c r="C722" s="207" t="n">
        <v>1000</v>
      </c>
      <c r="D722" s="960" t="n">
        <v>0.0309</v>
      </c>
      <c r="E722" s="214" t="n"/>
      <c r="F722" s="262" t="n">
        <v>113406</v>
      </c>
      <c r="G722" s="263" t="inlineStr">
        <is>
          <t>Vaschetta porta prodotto mm. 190 con rialzi</t>
        </is>
      </c>
      <c r="H722" s="264" t="n">
        <v>20</v>
      </c>
      <c r="I722" s="265" t="n">
        <v>2.453</v>
      </c>
      <c r="J722" s="214" t="n"/>
      <c r="K722" s="208" t="n"/>
      <c r="L722" s="424" t="n"/>
      <c r="M722" s="961" t="n"/>
      <c r="N722" s="214" t="n"/>
    </row>
    <row r="723">
      <c r="A723" s="207" t="n">
        <v>850110</v>
      </c>
      <c r="B723" s="209" t="inlineStr">
        <is>
          <t>Kit 1 Filo Led Lunghezza 950mm</t>
        </is>
      </c>
      <c r="C723" s="207" t="n"/>
      <c r="D723" s="960" t="n"/>
      <c r="E723" s="214" t="n"/>
      <c r="F723" s="262" t="n">
        <v>113407</v>
      </c>
      <c r="G723" s="263" t="inlineStr">
        <is>
          <t>Vaschetta porta prodotto mm. 160</t>
        </is>
      </c>
      <c r="H723" s="264" t="n">
        <v>20</v>
      </c>
      <c r="I723" s="265" t="n">
        <v>2.172</v>
      </c>
      <c r="J723" s="214" t="n"/>
      <c r="K723" s="208" t="n"/>
      <c r="L723" s="424" t="n"/>
      <c r="M723" s="961" t="n"/>
      <c r="N723" s="214" t="n"/>
    </row>
    <row r="724">
      <c r="A724" s="207" t="n">
        <v>850112</v>
      </c>
      <c r="B724" s="209" t="inlineStr">
        <is>
          <t>Kit 1 Filo Led Lunghezza 1250mm</t>
        </is>
      </c>
      <c r="C724" s="207" t="n"/>
      <c r="D724" s="960" t="n"/>
      <c r="E724" s="214" t="n"/>
      <c r="F724" s="262" t="n">
        <v>113408</v>
      </c>
      <c r="G724" s="263" t="inlineStr">
        <is>
          <t>Vaschetta porta prodotto mm. 201</t>
        </is>
      </c>
      <c r="H724" s="264" t="n">
        <v>20</v>
      </c>
      <c r="I724" s="265" t="n">
        <v>2.423</v>
      </c>
      <c r="J724" s="214" t="n"/>
      <c r="K724" s="208" t="n"/>
      <c r="L724" s="424" t="n"/>
      <c r="M724" s="961" t="n"/>
      <c r="N724" s="214" t="n"/>
    </row>
    <row r="725">
      <c r="A725" s="207" t="n">
        <v>850100</v>
      </c>
      <c r="B725" s="209" t="inlineStr">
        <is>
          <t>Filo Led 950mm 2 Connessioni</t>
        </is>
      </c>
      <c r="C725" s="207" t="n">
        <v>1</v>
      </c>
      <c r="D725" s="960" t="n">
        <v>16.6757</v>
      </c>
      <c r="E725" s="214" t="n"/>
      <c r="F725" s="262" t="n">
        <v>113500</v>
      </c>
      <c r="G725" s="263" t="inlineStr">
        <is>
          <t>Automatico testa diametro mm. 28 femmina lunga per spessori da 12 mm a 17 mm</t>
        </is>
      </c>
      <c r="H725" s="264" t="n">
        <v>100</v>
      </c>
      <c r="I725" s="265" t="n">
        <v>0.22</v>
      </c>
      <c r="J725" s="214" t="n"/>
      <c r="K725" s="208" t="n"/>
      <c r="L725" s="424" t="n"/>
      <c r="M725" s="961" t="n"/>
      <c r="N725" s="214" t="n"/>
    </row>
    <row r="726">
      <c r="A726" s="207" t="n">
        <v>850102</v>
      </c>
      <c r="B726" s="209" t="inlineStr">
        <is>
          <t>Filo Led 1250mm 2 Connessioni</t>
        </is>
      </c>
      <c r="C726" s="207" t="n">
        <v>1</v>
      </c>
      <c r="D726" s="960" t="n">
        <v>18.6842</v>
      </c>
      <c r="E726" s="214" t="n"/>
      <c r="F726" s="262" t="n">
        <v>113501</v>
      </c>
      <c r="G726" s="263" t="inlineStr">
        <is>
          <t>Automatico testa diametro mm. 28 femmina lunga per spessori da 12 mm a 27 mm</t>
        </is>
      </c>
      <c r="H726" s="264" t="n">
        <v>100</v>
      </c>
      <c r="I726" s="265" t="n">
        <v>0.215</v>
      </c>
      <c r="J726" s="214" t="n"/>
      <c r="K726" s="208" t="n"/>
      <c r="L726" s="424" t="n"/>
      <c r="M726" s="961" t="n"/>
      <c r="N726" s="214" t="n"/>
    </row>
    <row r="727">
      <c r="A727" s="207" t="n">
        <v>850020</v>
      </c>
      <c r="B727" s="209" t="inlineStr">
        <is>
          <t>Cavo Di Alimentazione Lunghezza 600mm</t>
        </is>
      </c>
      <c r="C727" s="207" t="n">
        <v>1</v>
      </c>
      <c r="D727" s="960" t="n">
        <v>4.12</v>
      </c>
      <c r="E727" s="214" t="n"/>
      <c r="F727" s="262" t="n">
        <v>113502</v>
      </c>
      <c r="G727" s="263" t="inlineStr">
        <is>
          <t>Automatico testa diametro mm. 28 femmina lunga per spessori da 12 mm a 21 mm</t>
        </is>
      </c>
      <c r="H727" s="264" t="n">
        <v>100</v>
      </c>
      <c r="I727" s="265" t="n">
        <v>0.218</v>
      </c>
      <c r="J727" s="214" t="n"/>
      <c r="K727" s="208" t="n"/>
      <c r="L727" s="424" t="n"/>
      <c r="M727" s="961" t="n"/>
      <c r="N727" s="214" t="n"/>
    </row>
    <row r="728">
      <c r="A728" s="207" t="n">
        <v>850200</v>
      </c>
      <c r="B728" s="209" t="inlineStr">
        <is>
          <t>Filo Led 950mm + Alimentatore</t>
        </is>
      </c>
      <c r="C728" s="207" t="n">
        <v>1</v>
      </c>
      <c r="D728" s="960" t="n">
        <v>15.9341</v>
      </c>
      <c r="E728" s="214" t="n"/>
      <c r="F728" s="262" t="n">
        <v>113505</v>
      </c>
      <c r="G728" s="263" t="inlineStr">
        <is>
          <t>Automatico testa diametro mm. 28 femmina lunga per spessori da 12 mm a 17 mm</t>
        </is>
      </c>
      <c r="H728" s="264" t="n">
        <v>100</v>
      </c>
      <c r="I728" s="265" t="n">
        <v>0.192</v>
      </c>
      <c r="J728" s="214" t="n"/>
      <c r="K728" s="208" t="n"/>
      <c r="L728" s="424" t="n"/>
      <c r="M728" s="961" t="n"/>
      <c r="N728" s="214" t="n"/>
    </row>
    <row r="729">
      <c r="A729" s="207" t="n">
        <v>850202</v>
      </c>
      <c r="B729" s="209" t="inlineStr">
        <is>
          <t>Filo Led 1250mm + Alimentatore</t>
        </is>
      </c>
      <c r="C729" s="207" t="n">
        <v>1</v>
      </c>
      <c r="D729" s="960" t="n">
        <v>17.8499</v>
      </c>
      <c r="E729" s="214" t="n"/>
      <c r="F729" s="262" t="n">
        <v>113506</v>
      </c>
      <c r="G729" s="263" t="inlineStr">
        <is>
          <t>Automatico testa diametro mm. 28 femmina lunga per spessori da 12 mm a 27 mm</t>
        </is>
      </c>
      <c r="H729" s="264" t="n">
        <v>100</v>
      </c>
      <c r="I729" s="265" t="n">
        <v>0.2</v>
      </c>
      <c r="J729" s="214" t="n"/>
      <c r="K729" s="208" t="n"/>
      <c r="L729" s="424" t="n"/>
      <c r="M729" s="961" t="n"/>
      <c r="N729" s="214" t="n"/>
    </row>
    <row r="730">
      <c r="A730" s="207" t="n">
        <v>850010</v>
      </c>
      <c r="B730" s="209" t="inlineStr">
        <is>
          <t>Binario Di Alimentazione 1800mm</t>
        </is>
      </c>
      <c r="C730" s="207" t="n">
        <v>1</v>
      </c>
      <c r="D730" s="960" t="n">
        <v>16.48</v>
      </c>
      <c r="E730" s="214" t="n"/>
      <c r="F730" s="262" t="n">
        <v>113507</v>
      </c>
      <c r="G730" s="263" t="inlineStr">
        <is>
          <t>Automatico testa diametro mm. 28 femmina lunga per spessori da 12 mm a 21 mm</t>
        </is>
      </c>
      <c r="H730" s="264" t="n">
        <v>100</v>
      </c>
      <c r="I730" s="265" t="n">
        <v>0.191</v>
      </c>
      <c r="J730" s="214" t="n"/>
      <c r="K730" s="209" t="n"/>
      <c r="L730" s="425" t="n"/>
      <c r="M730" s="961" t="n"/>
      <c r="N730" s="214" t="n"/>
    </row>
    <row r="731">
      <c r="A731" s="207" t="n">
        <v>850001</v>
      </c>
      <c r="B731" s="209" t="inlineStr">
        <is>
          <t>Trasformatore Per 2 - 10 Fili Led</t>
        </is>
      </c>
      <c r="C731" s="207" t="n">
        <v>1</v>
      </c>
      <c r="D731" s="960" t="n">
        <v>139.05</v>
      </c>
      <c r="E731" s="214" t="n"/>
      <c r="F731" s="262" t="n">
        <v>113510</v>
      </c>
      <c r="G731" s="263" t="inlineStr">
        <is>
          <t>Automatico testa diametro mm. 28 femmina lunga per spessori da 12 mm a 17 mm</t>
        </is>
      </c>
      <c r="H731" s="264" t="n">
        <v>100</v>
      </c>
      <c r="I731" s="265" t="n">
        <v>0.199</v>
      </c>
      <c r="J731" s="214" t="n"/>
      <c r="K731" s="209" t="n"/>
      <c r="L731" s="425" t="n"/>
      <c r="M731" s="961" t="n"/>
      <c r="N731" s="214" t="n"/>
    </row>
    <row r="732">
      <c r="A732" s="207" t="n">
        <v>980000</v>
      </c>
      <c r="B732" s="209" t="inlineStr">
        <is>
          <t>Accessori Da Calendario 15X15</t>
        </is>
      </c>
      <c r="C732" s="207" t="n">
        <v>100</v>
      </c>
      <c r="D732" s="960" t="n">
        <v>0.1339</v>
      </c>
      <c r="E732" s="214" t="n"/>
      <c r="F732" s="262" t="n">
        <v>113511</v>
      </c>
      <c r="G732" s="263" t="inlineStr">
        <is>
          <t>Automatico testa diametro mm. 28 femmina lunga per spessori da 12 mm a 27 mm</t>
        </is>
      </c>
      <c r="H732" s="264" t="n">
        <v>100</v>
      </c>
      <c r="I732" s="265" t="n">
        <v>0.204</v>
      </c>
      <c r="J732" s="214" t="n"/>
      <c r="K732" s="208" t="n"/>
      <c r="L732" s="424" t="n"/>
      <c r="M732" s="961" t="n"/>
      <c r="N732" s="214" t="n"/>
    </row>
    <row r="733">
      <c r="A733" s="207" t="n">
        <v>980001</v>
      </c>
      <c r="B733" s="209" t="inlineStr">
        <is>
          <t>Accessori Da Calendario 15X25</t>
        </is>
      </c>
      <c r="C733" s="207" t="n">
        <v>100</v>
      </c>
      <c r="D733" s="960" t="n">
        <v>0.1339</v>
      </c>
      <c r="E733" s="214" t="n"/>
      <c r="F733" s="262" t="n">
        <v>113512</v>
      </c>
      <c r="G733" s="263" t="inlineStr">
        <is>
          <t>Automatico testa diametro mm. 28 femmina lunga per spessori da 12 mm a 21 mm</t>
        </is>
      </c>
      <c r="H733" s="264" t="n">
        <v>100</v>
      </c>
      <c r="I733" s="265" t="n">
        <v>0.191</v>
      </c>
      <c r="J733" s="214" t="n"/>
      <c r="K733" s="208" t="n"/>
      <c r="L733" s="424" t="n"/>
      <c r="M733" s="961" t="n"/>
      <c r="N733" s="214" t="n"/>
    </row>
    <row r="734">
      <c r="A734" s="207" t="n">
        <v>980002</v>
      </c>
      <c r="B734" s="209" t="inlineStr">
        <is>
          <t>Accessori Da Calendario 17X29</t>
        </is>
      </c>
      <c r="C734" s="207" t="n">
        <v>100</v>
      </c>
      <c r="D734" s="960" t="n">
        <v>0.1339</v>
      </c>
      <c r="E734" s="214" t="n"/>
      <c r="F734" s="262" t="n">
        <v>113520</v>
      </c>
      <c r="G734" s="263" t="inlineStr">
        <is>
          <t>Automatico a pressione testa diametro mm 22 per spessori da 6 mm a 11 mm tras</t>
        </is>
      </c>
      <c r="H734" s="264" t="n">
        <v>100</v>
      </c>
      <c r="I734" s="265" t="n">
        <v>0.117</v>
      </c>
      <c r="J734" s="214" t="n"/>
      <c r="K734" s="208" t="n"/>
      <c r="L734" s="424" t="n"/>
      <c r="M734" s="961" t="n"/>
      <c r="N734" s="214" t="n"/>
    </row>
    <row r="735">
      <c r="A735" s="207" t="n">
        <v>980003</v>
      </c>
      <c r="B735" s="209" t="inlineStr">
        <is>
          <t>Accessori Da Calendario 17X38</t>
        </is>
      </c>
      <c r="C735" s="207" t="n">
        <v>100</v>
      </c>
      <c r="D735" s="960" t="n">
        <v>0.1339</v>
      </c>
      <c r="E735" s="214" t="n"/>
      <c r="F735" s="262" t="n">
        <v>113521</v>
      </c>
      <c r="G735" s="263" t="inlineStr">
        <is>
          <t>Automatico a pressione testa diametro mm 22 per spessori da 6 mm a 15 mm tras</t>
        </is>
      </c>
      <c r="H735" s="264" t="n">
        <v>100</v>
      </c>
      <c r="I735" s="265" t="n">
        <v>0.118</v>
      </c>
      <c r="J735" s="214" t="n"/>
      <c r="K735" s="208" t="n"/>
      <c r="L735" s="424" t="n"/>
      <c r="M735" s="961" t="n"/>
      <c r="N735" s="214" t="n"/>
    </row>
    <row r="736">
      <c r="A736" s="207" t="n">
        <v>980004</v>
      </c>
      <c r="B736" s="209" t="inlineStr">
        <is>
          <t>Accessori Da Calendario 19X29</t>
        </is>
      </c>
      <c r="C736" s="207" t="n">
        <v>100</v>
      </c>
      <c r="D736" s="960" t="n">
        <v>0.1339</v>
      </c>
      <c r="E736" s="214" t="n"/>
      <c r="F736" s="262" t="n">
        <v>113522</v>
      </c>
      <c r="G736" s="263" t="inlineStr">
        <is>
          <t>Automatico a pressione testa diametro mm 22 per spessori da 6 mm a 22 mm tras</t>
        </is>
      </c>
      <c r="H736" s="264" t="n">
        <v>100</v>
      </c>
      <c r="I736" s="265" t="n">
        <v>0.121</v>
      </c>
      <c r="J736" s="214" t="n"/>
      <c r="K736" s="208" t="n"/>
      <c r="L736" s="424" t="n"/>
      <c r="M736" s="961" t="n"/>
      <c r="N736" s="214" t="n"/>
    </row>
    <row r="737" ht="12.75" customHeight="1">
      <c r="A737" s="207" t="n">
        <v>980005</v>
      </c>
      <c r="B737" s="209" t="inlineStr">
        <is>
          <t>Accessori Da Calendario 23X34</t>
        </is>
      </c>
      <c r="C737" s="209" t="n">
        <v>100</v>
      </c>
      <c r="D737" s="960" t="n">
        <v>0.1339</v>
      </c>
      <c r="E737" s="215" t="n"/>
      <c r="F737" s="262" t="n">
        <v>113523</v>
      </c>
      <c r="G737" s="263" t="inlineStr">
        <is>
          <t>Automatico a pressione testa diametro mm 22 per spessori da 6 mm a 32 mm tras</t>
        </is>
      </c>
      <c r="H737" s="264" t="n">
        <v>100</v>
      </c>
      <c r="I737" s="265" t="n">
        <v>0.115</v>
      </c>
      <c r="J737" s="215" t="n"/>
      <c r="K737" s="209" t="n"/>
      <c r="L737" s="425" t="n"/>
      <c r="M737" s="962" t="n"/>
      <c r="N737" s="215" t="n"/>
    </row>
    <row r="738" ht="12.75" customHeight="1">
      <c r="A738" s="207" t="n">
        <v>980006</v>
      </c>
      <c r="B738" s="209" t="inlineStr">
        <is>
          <t>Accessori Da Calendario 28X40</t>
        </is>
      </c>
      <c r="C738" s="209" t="n">
        <v>100</v>
      </c>
      <c r="D738" s="960" t="n">
        <v>0.1339</v>
      </c>
      <c r="E738" s="215" t="n"/>
      <c r="F738" s="262" t="n">
        <v>113525</v>
      </c>
      <c r="G738" s="263" t="inlineStr">
        <is>
          <t>Automatico a pressione testa diametro mm 22 per spessori da 6 mm a 11 mm bia</t>
        </is>
      </c>
      <c r="H738" s="264" t="n">
        <v>100</v>
      </c>
      <c r="I738" s="265" t="n">
        <v>0.112</v>
      </c>
      <c r="J738" s="215" t="n"/>
      <c r="K738" s="209" t="n"/>
      <c r="L738" s="425" t="n"/>
      <c r="M738" s="962" t="n"/>
      <c r="N738" s="215" t="n"/>
    </row>
    <row r="739" ht="12.75" customHeight="1">
      <c r="A739" s="207" t="n">
        <v>980007</v>
      </c>
      <c r="B739" s="209" t="inlineStr">
        <is>
          <t>Accessori Da Calendario 170X500mm - 32X49mm</t>
        </is>
      </c>
      <c r="C739" s="209" t="n">
        <v>100</v>
      </c>
      <c r="D739" s="960" t="n">
        <v>0.4069</v>
      </c>
      <c r="E739" s="215" t="n"/>
      <c r="F739" s="262" t="n">
        <v>113526</v>
      </c>
      <c r="G739" s="263" t="inlineStr">
        <is>
          <t>Automatico a pressione testa diametro mm 22 per spessori da 6 mm a 15 mm bia</t>
        </is>
      </c>
      <c r="H739" s="264" t="n">
        <v>100</v>
      </c>
      <c r="I739" s="265" t="n">
        <v>0.112</v>
      </c>
      <c r="J739" s="215" t="n"/>
      <c r="K739" s="209" t="n"/>
      <c r="L739" s="425" t="n"/>
      <c r="M739" s="962" t="n"/>
      <c r="N739" s="215" t="n"/>
    </row>
    <row r="740" ht="12.75" customHeight="1">
      <c r="A740" s="207" t="n">
        <v>980008</v>
      </c>
      <c r="B740" s="209" t="inlineStr">
        <is>
          <t>Accessori Da Calendario 95mm - 38X56mm</t>
        </is>
      </c>
      <c r="C740" s="209" t="n">
        <v>100</v>
      </c>
      <c r="D740" s="960" t="n">
        <v>0.4069</v>
      </c>
      <c r="E740" s="215" t="n"/>
      <c r="F740" s="262" t="n">
        <v>113527</v>
      </c>
      <c r="G740" s="263" t="inlineStr">
        <is>
          <t>Automatico a pressione testa diametro mm 22 per spessori da 6 mm a 22 mm bia</t>
        </is>
      </c>
      <c r="H740" s="264" t="n">
        <v>100</v>
      </c>
      <c r="I740" s="265" t="n">
        <v>0.114</v>
      </c>
      <c r="J740" s="215" t="n"/>
      <c r="K740" s="209" t="n"/>
      <c r="L740" s="425" t="n"/>
      <c r="M740" s="962" t="n"/>
      <c r="N740" s="215" t="n"/>
    </row>
    <row r="741" ht="12.75" customHeight="1">
      <c r="A741" s="207" t="n">
        <v>980009</v>
      </c>
      <c r="B741" s="209" t="inlineStr">
        <is>
          <t>Accessori Da Calendario 95mm - 38X56mm</t>
        </is>
      </c>
      <c r="C741" s="209" t="n">
        <v>100</v>
      </c>
      <c r="D741" s="960" t="n">
        <v>0.4069</v>
      </c>
      <c r="E741" s="215" t="n"/>
      <c r="F741" s="262" t="n">
        <v>113528</v>
      </c>
      <c r="G741" s="263" t="inlineStr">
        <is>
          <t>Automatico a pressione testa diametro mm 22 per spessori da 6 mm a 32 mm bia</t>
        </is>
      </c>
      <c r="H741" s="264" t="n">
        <v>100</v>
      </c>
      <c r="I741" s="265" t="n">
        <v>0.112</v>
      </c>
      <c r="J741" s="215" t="n"/>
      <c r="K741" s="209" t="n"/>
      <c r="L741" s="425" t="n"/>
      <c r="M741" s="962" t="n"/>
      <c r="N741" s="215" t="n"/>
    </row>
    <row r="742" ht="12.75" customHeight="1">
      <c r="A742" s="207" t="n">
        <v>125972</v>
      </c>
      <c r="B742" s="209" t="inlineStr">
        <is>
          <t>Separatore Spezzabile - 35X155 Fino A 355 mm</t>
        </is>
      </c>
      <c r="C742" s="209" t="n">
        <v>50</v>
      </c>
      <c r="D742" s="960" t="n">
        <v>1.03</v>
      </c>
      <c r="E742" s="215" t="n"/>
      <c r="F742" s="262" t="n">
        <v>113530</v>
      </c>
      <c r="G742" s="263" t="inlineStr">
        <is>
          <t>Automatico a pressione testa diametro mm 22 per spessori da 6 mm a 11 mm ner</t>
        </is>
      </c>
      <c r="H742" s="264" t="n">
        <v>100</v>
      </c>
      <c r="I742" s="265" t="n">
        <v>0.114</v>
      </c>
      <c r="J742" s="215" t="n"/>
      <c r="K742" s="209" t="n"/>
      <c r="L742" s="425" t="n"/>
      <c r="M742" s="962" t="n"/>
      <c r="N742" s="215" t="n"/>
    </row>
    <row r="743" ht="12.75" customHeight="1">
      <c r="A743" s="207" t="n">
        <v>125981</v>
      </c>
      <c r="B743" s="209" t="inlineStr">
        <is>
          <t>Separatore Spezzabile -55X180 Fino A 380 mm</t>
        </is>
      </c>
      <c r="C743" s="209" t="n">
        <v>50</v>
      </c>
      <c r="D743" s="960" t="n">
        <v>1.133</v>
      </c>
      <c r="E743" s="215" t="n"/>
      <c r="F743" s="262" t="n">
        <v>113531</v>
      </c>
      <c r="G743" s="263" t="inlineStr">
        <is>
          <t>Automatico a pressione testa diametro mm 22 per spessori da 6 mm a 15 mm ner</t>
        </is>
      </c>
      <c r="H743" s="264" t="n">
        <v>100</v>
      </c>
      <c r="I743" s="265" t="n">
        <v>0.113</v>
      </c>
      <c r="J743" s="215" t="n"/>
      <c r="K743" s="209" t="n"/>
      <c r="L743" s="425" t="n"/>
      <c r="M743" s="962" t="n"/>
      <c r="N743" s="215" t="n"/>
    </row>
    <row r="744" ht="12.75" customHeight="1">
      <c r="A744" s="207" t="n">
        <v>125985</v>
      </c>
      <c r="B744" s="209" t="inlineStr">
        <is>
          <t>Separatore Spezzabile - 55X280 Fino A 480 mm</t>
        </is>
      </c>
      <c r="C744" s="209" t="n">
        <v>50</v>
      </c>
      <c r="D744" s="960" t="n">
        <v>1.236</v>
      </c>
      <c r="E744" s="215" t="n"/>
      <c r="F744" s="262" t="n">
        <v>113532</v>
      </c>
      <c r="G744" s="263" t="inlineStr">
        <is>
          <t>Automatico a pressione testa diametro mm 22 per spessori da 6 mm a 22 mm ner</t>
        </is>
      </c>
      <c r="H744" s="264" t="n">
        <v>100</v>
      </c>
      <c r="I744" s="265" t="n">
        <v>0.114</v>
      </c>
      <c r="J744" s="215" t="n"/>
      <c r="K744" s="209" t="n"/>
      <c r="L744" s="425" t="n"/>
      <c r="M744" s="962" t="n"/>
      <c r="N744" s="215" t="n"/>
    </row>
    <row r="745" ht="12.75" customHeight="1">
      <c r="A745" s="207" t="n">
        <v>125983</v>
      </c>
      <c r="B745" s="209" t="inlineStr">
        <is>
          <t>Separatore Spezzabile - 55X380 Fino A 580 mm</t>
        </is>
      </c>
      <c r="C745" s="209" t="n">
        <v>50</v>
      </c>
      <c r="D745" s="960" t="n">
        <v>1.2875</v>
      </c>
      <c r="E745" s="215" t="n"/>
      <c r="F745" s="262" t="n">
        <v>113533</v>
      </c>
      <c r="G745" s="263" t="inlineStr">
        <is>
          <t>Automatico a pressione testa diametro mm 22 per spessori da 6 mm a 32 mm ner</t>
        </is>
      </c>
      <c r="H745" s="264" t="n">
        <v>100</v>
      </c>
      <c r="I745" s="265" t="n">
        <v>0.112</v>
      </c>
      <c r="J745" s="215" t="n"/>
      <c r="K745" s="209" t="n"/>
      <c r="L745" s="425" t="n"/>
      <c r="M745" s="962" t="n"/>
      <c r="N745" s="215" t="n"/>
    </row>
    <row r="746" ht="12.75" customHeight="1">
      <c r="A746" s="207" t="n">
        <v>125984</v>
      </c>
      <c r="B746" s="209" t="inlineStr">
        <is>
          <t>Separatore Spezzabile - 100X280 Fino A 480 mm</t>
        </is>
      </c>
      <c r="C746" s="209" t="n">
        <v>50</v>
      </c>
      <c r="D746" s="960" t="n">
        <v>1.4729</v>
      </c>
      <c r="E746" s="215" t="n"/>
      <c r="F746" s="262" t="n">
        <v>113550</v>
      </c>
      <c r="G746" s="263" t="inlineStr">
        <is>
          <t>Rivetto ad espansione testa diametro mm. 28 per spessori fino a 8 mm. trasparent</t>
        </is>
      </c>
      <c r="H746" s="264" t="n">
        <v>100</v>
      </c>
      <c r="I746" s="265" t="n">
        <v>0.113</v>
      </c>
      <c r="J746" s="215" t="n"/>
      <c r="K746" s="209" t="n"/>
      <c r="L746" s="425" t="n"/>
      <c r="M746" s="962" t="n"/>
      <c r="N746" s="215" t="n"/>
    </row>
    <row r="747" ht="25.5" customHeight="1">
      <c r="A747" s="207" t="n">
        <v>125989</v>
      </c>
      <c r="B747" s="209" t="inlineStr">
        <is>
          <t>Separatore Spezzabile - 100X380 Fino A 580 mm</t>
        </is>
      </c>
      <c r="C747" s="209" t="n">
        <v>25</v>
      </c>
      <c r="D747" s="960" t="n">
        <v>1.667</v>
      </c>
      <c r="E747" s="215" t="n"/>
      <c r="F747" s="262" t="n">
        <v>113551</v>
      </c>
      <c r="G747" s="263" t="inlineStr">
        <is>
          <t>Rivetto ad espansione testa diametro mm. 28 per spessori fino a 8 mm. bianco</t>
        </is>
      </c>
      <c r="H747" s="264" t="n">
        <v>100</v>
      </c>
      <c r="I747" s="265" t="n">
        <v>0.098</v>
      </c>
      <c r="J747" s="215" t="n"/>
      <c r="K747" s="209" t="n"/>
      <c r="L747" s="425" t="n"/>
      <c r="M747" s="962" t="n"/>
      <c r="N747" s="215" t="n"/>
    </row>
    <row r="748" ht="12.75" customHeight="1">
      <c r="A748" s="207" t="n">
        <v>125911</v>
      </c>
      <c r="B748" s="209" t="inlineStr">
        <is>
          <t>Reverso Small 280 mm</t>
        </is>
      </c>
      <c r="C748" s="209" t="n">
        <v>50</v>
      </c>
      <c r="D748" s="960" t="n">
        <v>0.894</v>
      </c>
      <c r="E748" s="215" t="n"/>
      <c r="F748" s="262" t="n">
        <v>113552</v>
      </c>
      <c r="G748" s="263" t="inlineStr">
        <is>
          <t>Rivetto ad espansione testa diametro mm. 28 per spessori fino a 8 mm. nero</t>
        </is>
      </c>
      <c r="H748" s="264" t="n">
        <v>100</v>
      </c>
      <c r="I748" s="265" t="n">
        <v>0.099</v>
      </c>
      <c r="J748" s="215" t="n"/>
      <c r="K748" s="209" t="n"/>
      <c r="L748" s="425" t="n"/>
      <c r="M748" s="962" t="n"/>
      <c r="N748" s="215" t="n"/>
    </row>
    <row r="749" ht="25.5" customHeight="1">
      <c r="A749" s="207" t="n">
        <v>125913</v>
      </c>
      <c r="B749" s="209" t="inlineStr">
        <is>
          <t>Reverso Small 330 mm</t>
        </is>
      </c>
      <c r="C749" s="209" t="n">
        <v>50</v>
      </c>
      <c r="D749" s="960" t="n">
        <v>0.8446</v>
      </c>
      <c r="E749" s="215" t="n"/>
      <c r="F749" s="262" t="n">
        <v>113553</v>
      </c>
      <c r="G749" s="263" t="inlineStr">
        <is>
          <t>Rivetto ad espansione testa diametro mm. 28 per spessori fino a 14 mm. traspare</t>
        </is>
      </c>
      <c r="H749" s="264" t="n">
        <v>100</v>
      </c>
      <c r="I749" s="265" t="n">
        <v>0.118</v>
      </c>
      <c r="J749" s="215" t="n"/>
      <c r="K749" s="209" t="n"/>
      <c r="L749" s="425" t="n"/>
      <c r="M749" s="962" t="n"/>
      <c r="N749" s="215" t="n"/>
    </row>
    <row r="750" ht="12.75" customHeight="1">
      <c r="A750" s="207" t="n">
        <v>125915</v>
      </c>
      <c r="B750" s="209" t="inlineStr">
        <is>
          <t>Reverso Small 380 mm</t>
        </is>
      </c>
      <c r="C750" s="209" t="n">
        <v>50</v>
      </c>
      <c r="D750" s="960" t="n">
        <v>0.9375</v>
      </c>
      <c r="E750" s="215" t="n"/>
      <c r="F750" s="262" t="n">
        <v>113554</v>
      </c>
      <c r="G750" s="263" t="inlineStr">
        <is>
          <t>Rivetto ad espansione testa diametro mm. 28 per spessori fino a 14 mm. bianco</t>
        </is>
      </c>
      <c r="H750" s="264" t="n">
        <v>100</v>
      </c>
      <c r="I750" s="265" t="n">
        <v>0.102</v>
      </c>
      <c r="J750" s="215" t="n"/>
      <c r="K750" s="209" t="n"/>
      <c r="L750" s="425" t="n"/>
      <c r="M750" s="962" t="n"/>
      <c r="N750" s="215" t="n"/>
    </row>
    <row r="751" ht="12.75" customHeight="1">
      <c r="A751" s="207" t="n">
        <v>125917</v>
      </c>
      <c r="B751" s="209" t="inlineStr">
        <is>
          <t>Reverso Small 430 mm</t>
        </is>
      </c>
      <c r="C751" s="209" t="n">
        <v>50</v>
      </c>
      <c r="D751" s="960" t="n">
        <v>0.9782</v>
      </c>
      <c r="E751" s="215" t="n"/>
      <c r="F751" s="262" t="n">
        <v>113555</v>
      </c>
      <c r="G751" s="263" t="inlineStr">
        <is>
          <t>Rivetto ad espansione testa diametro mm. 28 per spessori fino a 14 mm. nero</t>
        </is>
      </c>
      <c r="H751" s="264" t="n">
        <v>100</v>
      </c>
      <c r="I751" s="265" t="n">
        <v>0.103</v>
      </c>
      <c r="J751" s="215" t="n"/>
      <c r="K751" s="209" t="n"/>
      <c r="L751" s="425" t="n"/>
      <c r="M751" s="962" t="n"/>
      <c r="N751" s="215" t="n"/>
    </row>
    <row r="752" ht="12.75" customHeight="1">
      <c r="A752" s="207" t="n">
        <v>125919</v>
      </c>
      <c r="B752" s="209" t="inlineStr">
        <is>
          <t>Reverso Small 480 mm</t>
        </is>
      </c>
      <c r="C752" s="209" t="n">
        <v>50</v>
      </c>
      <c r="D752" s="960" t="n">
        <v>1.0055</v>
      </c>
      <c r="E752" s="215" t="n"/>
      <c r="F752" s="262" t="n">
        <v>113590</v>
      </c>
      <c r="G752" s="263" t="inlineStr">
        <is>
          <t>Ripiano intermedio per promotable</t>
        </is>
      </c>
      <c r="H752" s="264" t="n">
        <v>1</v>
      </c>
      <c r="I752" s="265" t="n">
        <v>14.786</v>
      </c>
      <c r="J752" s="215" t="n"/>
      <c r="K752" s="209" t="n"/>
      <c r="L752" s="425" t="n"/>
      <c r="M752" s="962" t="n"/>
      <c r="N752" s="215" t="n"/>
    </row>
    <row r="753" ht="12.75" customHeight="1">
      <c r="A753" s="207" t="n">
        <v>125931</v>
      </c>
      <c r="B753" s="209" t="inlineStr">
        <is>
          <t>Reverso Medium 280 mm</t>
        </is>
      </c>
      <c r="C753" s="209" t="n">
        <v>25</v>
      </c>
      <c r="D753" s="960" t="n">
        <v>0.8754999999999999</v>
      </c>
      <c r="E753" s="215" t="n"/>
      <c r="F753" s="262" t="n">
        <v>113700</v>
      </c>
      <c r="G753" s="263" t="inlineStr">
        <is>
          <t>Morsetto con frontale piatto</t>
        </is>
      </c>
      <c r="H753" s="264" t="n">
        <v>25</v>
      </c>
      <c r="I753" s="265" t="n">
        <v>1.399</v>
      </c>
      <c r="J753" s="215" t="n"/>
      <c r="K753" s="209" t="n"/>
      <c r="L753" s="425" t="n"/>
      <c r="M753" s="962" t="n"/>
      <c r="N753" s="215" t="n"/>
    </row>
    <row r="754" ht="12.75" customHeight="1">
      <c r="A754" s="207" t="n">
        <v>125933</v>
      </c>
      <c r="B754" s="209" t="inlineStr">
        <is>
          <t>Reverso Medium 330 mm</t>
        </is>
      </c>
      <c r="C754" s="209" t="n">
        <v>25</v>
      </c>
      <c r="D754" s="960" t="n">
        <v>0.8961</v>
      </c>
      <c r="E754" s="215" t="n"/>
      <c r="F754" s="262" t="n">
        <v>113701</v>
      </c>
      <c r="G754" s="263" t="inlineStr">
        <is>
          <t>Morsetto con 4 fori</t>
        </is>
      </c>
      <c r="H754" s="264" t="n">
        <v>25</v>
      </c>
      <c r="I754" s="265" t="n">
        <v>1.399</v>
      </c>
      <c r="J754" s="215" t="n"/>
      <c r="K754" s="209" t="n"/>
      <c r="L754" s="425" t="n"/>
      <c r="M754" s="962" t="n"/>
      <c r="N754" s="215" t="n"/>
    </row>
    <row r="755" ht="12.75" customHeight="1">
      <c r="A755" s="207" t="n">
        <v>125935</v>
      </c>
      <c r="B755" s="209" t="inlineStr">
        <is>
          <t>Reverso Medium 380 mm</t>
        </is>
      </c>
      <c r="C755" s="209" t="n">
        <v>25</v>
      </c>
      <c r="D755" s="960" t="n">
        <v>0.927</v>
      </c>
      <c r="E755" s="215" t="n"/>
      <c r="F755" s="262" t="n">
        <v>113702</v>
      </c>
      <c r="G755" s="263" t="inlineStr">
        <is>
          <t>Morsetto con 2 fori trasversali</t>
        </is>
      </c>
      <c r="H755" s="264" t="n">
        <v>25</v>
      </c>
      <c r="I755" s="265" t="n">
        <v>1.399</v>
      </c>
      <c r="J755" s="215" t="n"/>
      <c r="K755" s="209" t="n"/>
      <c r="L755" s="425" t="n"/>
      <c r="M755" s="962" t="n"/>
      <c r="N755" s="215" t="n"/>
    </row>
    <row r="756" ht="12.75" customHeight="1">
      <c r="A756" s="207" t="n">
        <v>125937</v>
      </c>
      <c r="B756" s="209" t="inlineStr">
        <is>
          <t>Reverso Medium 430 mm</t>
        </is>
      </c>
      <c r="C756" s="209" t="n">
        <v>25</v>
      </c>
      <c r="D756" s="960" t="n">
        <v>1.0335</v>
      </c>
      <c r="E756" s="215" t="n"/>
      <c r="F756" s="262" t="n">
        <v>113703</v>
      </c>
      <c r="G756" s="263" t="inlineStr">
        <is>
          <t>Morsetto con tre linguette</t>
        </is>
      </c>
      <c r="H756" s="264" t="n">
        <v>25</v>
      </c>
      <c r="I756" s="265" t="n">
        <v>1.399</v>
      </c>
      <c r="J756" s="215" t="n"/>
      <c r="K756" s="209" t="n"/>
      <c r="L756" s="425" t="n"/>
      <c r="M756" s="962" t="n"/>
      <c r="N756" s="215" t="n"/>
    </row>
    <row r="757" ht="12.75" customHeight="1">
      <c r="A757" s="207" t="n">
        <v>125939</v>
      </c>
      <c r="B757" s="209" t="inlineStr">
        <is>
          <t>Reverso Medium 480 mm</t>
        </is>
      </c>
      <c r="C757" s="209" t="n">
        <v>25</v>
      </c>
      <c r="D757" s="960" t="n">
        <v>1.0399</v>
      </c>
      <c r="E757" s="215" t="n"/>
      <c r="F757" s="262" t="n">
        <v>113704</v>
      </c>
      <c r="G757" s="263" t="inlineStr">
        <is>
          <t>Morsetto con frontale adesivo</t>
        </is>
      </c>
      <c r="H757" s="264" t="n">
        <v>25</v>
      </c>
      <c r="I757" s="265" t="n">
        <v>1.543</v>
      </c>
      <c r="J757" s="215" t="n"/>
      <c r="K757" s="209" t="n"/>
      <c r="L757" s="425" t="n"/>
      <c r="M757" s="962" t="n"/>
      <c r="N757" s="215" t="n"/>
    </row>
    <row r="758" ht="12.75" customHeight="1">
      <c r="A758" s="207" t="n">
        <v>125942</v>
      </c>
      <c r="B758" s="209" t="inlineStr">
        <is>
          <t>Reverso Xl 280 mm</t>
        </is>
      </c>
      <c r="C758" s="209" t="n">
        <v>10</v>
      </c>
      <c r="D758" s="960" t="n">
        <v>2.163</v>
      </c>
      <c r="E758" s="215" t="n"/>
      <c r="F758" s="262" t="n">
        <v>113705</v>
      </c>
      <c r="G758" s="263" t="inlineStr">
        <is>
          <t>Morsetto con gripper</t>
        </is>
      </c>
      <c r="H758" s="264" t="n">
        <v>25</v>
      </c>
      <c r="I758" s="265" t="n">
        <v>1.627</v>
      </c>
      <c r="J758" s="215" t="n"/>
      <c r="K758" s="209" t="n"/>
      <c r="L758" s="425" t="n"/>
      <c r="M758" s="962" t="n"/>
      <c r="N758" s="215" t="n"/>
    </row>
    <row r="759" ht="12.75" customHeight="1">
      <c r="A759" s="207" t="n">
        <v>125944</v>
      </c>
      <c r="B759" s="209" t="inlineStr">
        <is>
          <t>Reverso Xl 380 mm</t>
        </is>
      </c>
      <c r="C759" s="209" t="n">
        <v>10</v>
      </c>
      <c r="D759" s="960" t="n">
        <v>2.6626</v>
      </c>
      <c r="E759" s="215" t="n"/>
      <c r="F759" s="262" t="n">
        <v>113706</v>
      </c>
      <c r="G759" s="263" t="inlineStr">
        <is>
          <t>Morsetto high resistance argento con frontale piatto</t>
        </is>
      </c>
      <c r="H759" s="264" t="n">
        <v>25</v>
      </c>
      <c r="I759" s="265" t="n">
        <v>1.425</v>
      </c>
      <c r="J759" s="215" t="n"/>
      <c r="K759" s="209" t="n"/>
      <c r="L759" s="425" t="n"/>
      <c r="M759" s="962" t="n"/>
      <c r="N759" s="215" t="n"/>
    </row>
    <row r="760" ht="12.75" customHeight="1">
      <c r="A760" s="207" t="n">
        <v>125946</v>
      </c>
      <c r="B760" s="209" t="inlineStr">
        <is>
          <t>Reverso Xl 480 mm</t>
        </is>
      </c>
      <c r="C760" s="209" t="n">
        <v>10</v>
      </c>
      <c r="D760" s="960" t="n">
        <v>2.8892</v>
      </c>
      <c r="E760" s="215" t="n"/>
      <c r="F760" s="262" t="n">
        <v>113707</v>
      </c>
      <c r="G760" s="263" t="inlineStr">
        <is>
          <t>Morsetto high resistance argento con frontale piatto 4 fori</t>
        </is>
      </c>
      <c r="H760" s="264" t="n">
        <v>25</v>
      </c>
      <c r="I760" s="265" t="n">
        <v>1.425</v>
      </c>
      <c r="J760" s="215" t="n"/>
      <c r="K760" s="209" t="n"/>
      <c r="L760" s="425" t="n"/>
      <c r="M760" s="962" t="n"/>
      <c r="N760" s="215" t="n"/>
    </row>
    <row r="761" ht="12.75" customHeight="1">
      <c r="A761" s="207" t="n">
        <v>125948</v>
      </c>
      <c r="B761" s="209" t="inlineStr">
        <is>
          <t>Reverso Xl 580 mm</t>
        </is>
      </c>
      <c r="C761" s="209" t="n">
        <v>10</v>
      </c>
      <c r="D761" s="960" t="n">
        <v>5.1552</v>
      </c>
      <c r="E761" s="215" t="n"/>
      <c r="F761" s="262" t="n">
        <v>113708</v>
      </c>
      <c r="G761" s="263" t="inlineStr">
        <is>
          <t>Morsetto high resistance argento con frontale adesivo</t>
        </is>
      </c>
      <c r="H761" s="264" t="n">
        <v>25</v>
      </c>
      <c r="I761" s="265" t="n">
        <v>1.566</v>
      </c>
      <c r="J761" s="215" t="n"/>
      <c r="K761" s="209" t="n"/>
      <c r="L761" s="425" t="n"/>
      <c r="M761" s="962" t="n"/>
      <c r="N761" s="215" t="n"/>
    </row>
    <row r="762" ht="12.75" customHeight="1">
      <c r="A762" s="207" t="n">
        <v>123154</v>
      </c>
      <c r="B762" s="209" t="inlineStr">
        <is>
          <t>Binario Con Fermo - Adesivo - 30 X 1000 mm</t>
        </is>
      </c>
      <c r="C762" s="209" t="n">
        <v>10</v>
      </c>
      <c r="D762" s="960" t="n">
        <v>1.95</v>
      </c>
      <c r="E762" s="215" t="n"/>
      <c r="F762" s="262" t="n">
        <v>113709</v>
      </c>
      <c r="G762" s="263" t="inlineStr">
        <is>
          <t>Morsetto high resistance argento con 2 fori trasversali</t>
        </is>
      </c>
      <c r="H762" s="264" t="n">
        <v>25</v>
      </c>
      <c r="I762" s="265" t="n">
        <v>1.425</v>
      </c>
      <c r="J762" s="215" t="n"/>
      <c r="K762" s="209" t="n"/>
      <c r="L762" s="425" t="n"/>
      <c r="M762" s="962" t="n"/>
      <c r="N762" s="215" t="n"/>
    </row>
    <row r="763" ht="12.75" customHeight="1">
      <c r="A763" s="207" t="n">
        <v>123155</v>
      </c>
      <c r="B763" s="209" t="inlineStr">
        <is>
          <t>Binario Con Fermo - Adesivo - 30 X 1245 mm</t>
        </is>
      </c>
      <c r="C763" s="209" t="n">
        <v>10</v>
      </c>
      <c r="D763" s="960" t="n">
        <v>2.42</v>
      </c>
      <c r="E763" s="215" t="n"/>
      <c r="F763" s="262" t="n">
        <v>113710</v>
      </c>
      <c r="G763" s="263" t="inlineStr">
        <is>
          <t>Morsetto high resistance argento con tre linguette</t>
        </is>
      </c>
      <c r="H763" s="264" t="n">
        <v>25</v>
      </c>
      <c r="I763" s="265" t="n">
        <v>1.425</v>
      </c>
      <c r="J763" s="215" t="n"/>
      <c r="K763" s="209" t="n"/>
      <c r="L763" s="425" t="n"/>
      <c r="M763" s="962" t="n"/>
      <c r="N763" s="215" t="n"/>
    </row>
    <row r="764" ht="12.75" customHeight="1">
      <c r="A764" s="207" t="n">
        <v>123156</v>
      </c>
      <c r="B764" s="209" t="inlineStr">
        <is>
          <t>Binario Con Fermo - Adesivo - 30 X 1325 mm</t>
        </is>
      </c>
      <c r="C764" s="209" t="n">
        <v>10</v>
      </c>
      <c r="D764" s="960" t="n">
        <v>2.575</v>
      </c>
      <c r="E764" s="215" t="n"/>
      <c r="F764" s="262" t="n">
        <v>113711</v>
      </c>
      <c r="G764" s="263" t="inlineStr">
        <is>
          <t>Morsetto high resistance argento con gripper</t>
        </is>
      </c>
      <c r="H764" s="264" t="n">
        <v>25</v>
      </c>
      <c r="I764" s="265" t="n">
        <v>1.648</v>
      </c>
      <c r="J764" s="215" t="n"/>
      <c r="K764" s="209" t="n"/>
      <c r="L764" s="425" t="n"/>
      <c r="M764" s="962" t="n"/>
      <c r="N764" s="215" t="n"/>
    </row>
    <row r="765" ht="12.75" customHeight="1">
      <c r="A765" s="207" t="n">
        <v>123165</v>
      </c>
      <c r="B765" s="209" t="inlineStr">
        <is>
          <t>Binario Con Fermo - Adesivo - 60 X 1245 mm</t>
        </is>
      </c>
      <c r="C765" s="209" t="n">
        <v>10</v>
      </c>
      <c r="D765" s="960" t="n">
        <v>3.57</v>
      </c>
      <c r="E765" s="215" t="n"/>
      <c r="F765" s="262" t="n">
        <v>113712</v>
      </c>
      <c r="G765" s="263" t="inlineStr">
        <is>
          <t>Morsetto high resistance bianco con frontale piatto</t>
        </is>
      </c>
      <c r="H765" s="264" t="n">
        <v>25</v>
      </c>
      <c r="I765" s="265" t="n">
        <v>1.425</v>
      </c>
      <c r="J765" s="215" t="n"/>
      <c r="K765" s="209" t="n"/>
      <c r="L765" s="425" t="n"/>
      <c r="M765" s="962" t="n"/>
      <c r="N765" s="215" t="n"/>
    </row>
    <row r="766" ht="12.75" customHeight="1">
      <c r="A766" s="207" t="n">
        <v>123175</v>
      </c>
      <c r="B766" s="209" t="inlineStr">
        <is>
          <t>Binario Con Fermo - Adesivo - 80 X 1245 mm</t>
        </is>
      </c>
      <c r="C766" s="209" t="n">
        <v>10</v>
      </c>
      <c r="D766" s="960" t="n">
        <v>3.62</v>
      </c>
      <c r="E766" s="215" t="n"/>
      <c r="F766" s="262" t="n">
        <v>113713</v>
      </c>
      <c r="G766" s="263" t="inlineStr">
        <is>
          <t>Morsetto high resistance bianco con frontale piatto 4 fori</t>
        </is>
      </c>
      <c r="H766" s="264" t="n">
        <v>25</v>
      </c>
      <c r="I766" s="265" t="n">
        <v>1.425</v>
      </c>
      <c r="J766" s="215" t="n"/>
      <c r="K766" s="209" t="n"/>
      <c r="L766" s="425" t="n"/>
      <c r="M766" s="962" t="n"/>
      <c r="N766" s="215" t="n"/>
    </row>
    <row r="767" ht="12.75" customHeight="1">
      <c r="A767" s="207" t="n">
        <v>123176</v>
      </c>
      <c r="B767" s="209" t="inlineStr">
        <is>
          <t>Binario Con Fermo - Adesivo - 80 X 1325 mm</t>
        </is>
      </c>
      <c r="C767" s="209" t="n">
        <v>10</v>
      </c>
      <c r="D767" s="960" t="n">
        <v>3.85</v>
      </c>
      <c r="E767" s="215" t="n"/>
      <c r="F767" s="262" t="n">
        <v>113714</v>
      </c>
      <c r="G767" s="263" t="inlineStr">
        <is>
          <t>Morsetto high resistance bianco con frontale adesivo</t>
        </is>
      </c>
      <c r="H767" s="264" t="n">
        <v>25</v>
      </c>
      <c r="I767" s="265" t="n">
        <v>1.566</v>
      </c>
      <c r="J767" s="215" t="n"/>
      <c r="K767" s="209" t="n"/>
      <c r="L767" s="425" t="n"/>
      <c r="M767" s="962" t="n"/>
      <c r="N767" s="215" t="n"/>
    </row>
    <row r="768" ht="12.75" customHeight="1">
      <c r="A768" s="207" t="n">
        <v>123166</v>
      </c>
      <c r="B768" s="209" t="inlineStr">
        <is>
          <t>Binario Con Fermo - Adesivo - 60 X 1325 mm</t>
        </is>
      </c>
      <c r="C768" s="209" t="n">
        <v>10</v>
      </c>
      <c r="D768" s="960" t="n">
        <v>3.7904</v>
      </c>
      <c r="E768" s="215" t="n"/>
      <c r="F768" s="262" t="n">
        <v>113715</v>
      </c>
      <c r="G768" s="263" t="inlineStr">
        <is>
          <t>Morsetto high resistance bianco con 2 fori trasversali</t>
        </is>
      </c>
      <c r="H768" s="264" t="n">
        <v>25</v>
      </c>
      <c r="I768" s="265" t="n">
        <v>1.425</v>
      </c>
      <c r="J768" s="215" t="n"/>
      <c r="K768" s="209" t="n"/>
      <c r="L768" s="425" t="n"/>
      <c r="M768" s="962" t="n"/>
      <c r="N768" s="215" t="n"/>
    </row>
    <row r="769" ht="12.75" customHeight="1">
      <c r="A769" s="207" t="n">
        <v>123150</v>
      </c>
      <c r="B769" s="209" t="inlineStr">
        <is>
          <t>Binario Con Fermo - Magnetico - 30 X 1000 mm</t>
        </is>
      </c>
      <c r="C769" s="209" t="n">
        <v>10</v>
      </c>
      <c r="D769" s="960" t="n">
        <v>2.11</v>
      </c>
      <c r="E769" s="215" t="n"/>
      <c r="F769" s="262" t="n">
        <v>113716</v>
      </c>
      <c r="G769" s="263" t="inlineStr">
        <is>
          <t>Morsetto high resistance bianco con tre linguette</t>
        </is>
      </c>
      <c r="H769" s="264" t="n">
        <v>25</v>
      </c>
      <c r="I769" s="265" t="n">
        <v>1.425</v>
      </c>
      <c r="J769" s="215" t="n"/>
      <c r="K769" s="209" t="n"/>
      <c r="L769" s="425" t="n"/>
      <c r="M769" s="962" t="n"/>
      <c r="N769" s="215" t="n"/>
    </row>
    <row r="770" ht="12.75" customHeight="1">
      <c r="A770" s="207" t="n">
        <v>123151</v>
      </c>
      <c r="B770" s="209" t="inlineStr">
        <is>
          <t>Binario Con Fermo - Magnetico - 30 X 1245 mm</t>
        </is>
      </c>
      <c r="C770" s="209" t="n">
        <v>10</v>
      </c>
      <c r="D770" s="960" t="n">
        <v>2.6265</v>
      </c>
      <c r="E770" s="215" t="n"/>
      <c r="F770" s="262" t="n">
        <v>113717</v>
      </c>
      <c r="G770" s="263" t="inlineStr">
        <is>
          <t>Morsetto high resistance bianco con gripper</t>
        </is>
      </c>
      <c r="H770" s="264" t="n">
        <v>25</v>
      </c>
      <c r="I770" s="265" t="n">
        <v>1.648</v>
      </c>
      <c r="J770" s="215" t="n"/>
      <c r="K770" s="209" t="n"/>
      <c r="L770" s="425" t="n"/>
      <c r="M770" s="962" t="n"/>
      <c r="N770" s="215" t="n"/>
    </row>
    <row r="771" ht="25.5" customHeight="1">
      <c r="A771" s="207" t="n">
        <v>123152</v>
      </c>
      <c r="B771" s="209" t="inlineStr">
        <is>
          <t>Binario Con Fermo - Magnetico -30 X 1325 mm</t>
        </is>
      </c>
      <c r="C771" s="209" t="n">
        <v>10</v>
      </c>
      <c r="D771" s="960" t="n">
        <v>2.7953</v>
      </c>
      <c r="E771" s="215" t="n"/>
      <c r="F771" s="262" t="n">
        <v>113725</v>
      </c>
      <c r="G771" s="263" t="inlineStr">
        <is>
          <t>Supporto trasparente per broches bilaterali</t>
        </is>
      </c>
      <c r="H771" s="264" t="n">
        <v>50</v>
      </c>
      <c r="I771" s="265" t="n">
        <v>3.657</v>
      </c>
      <c r="J771" s="215" t="n"/>
      <c r="K771" s="209" t="n"/>
      <c r="L771" s="425" t="n"/>
      <c r="M771" s="962" t="n"/>
      <c r="N771" s="215" t="n"/>
    </row>
    <row r="772" ht="25.5" customHeight="1">
      <c r="A772" s="207" t="n">
        <v>123160</v>
      </c>
      <c r="B772" s="209" t="inlineStr">
        <is>
          <t>Binario Con Fermo - Magnetico - 60 X 1000 mm</t>
        </is>
      </c>
      <c r="C772" s="209" t="n">
        <v>10</v>
      </c>
      <c r="D772" s="960" t="n">
        <v>3.52</v>
      </c>
      <c r="E772" s="215" t="n"/>
      <c r="F772" s="262" t="n">
        <v>113726</v>
      </c>
      <c r="G772" s="263" t="inlineStr">
        <is>
          <t>Striscia 12 posti in pvc trasparente con foro</t>
        </is>
      </c>
      <c r="H772" s="264" t="n">
        <v>100</v>
      </c>
      <c r="I772" s="265" t="n">
        <v>0.328</v>
      </c>
      <c r="J772" s="215" t="n"/>
      <c r="K772" s="209" t="n"/>
      <c r="L772" s="425" t="n"/>
      <c r="M772" s="962" t="n"/>
      <c r="N772" s="215" t="n"/>
    </row>
    <row r="773" ht="12.75" customHeight="1">
      <c r="A773" s="207" t="n">
        <v>123161</v>
      </c>
      <c r="B773" s="209" t="inlineStr">
        <is>
          <t>Binario Con Fermo - Magnetico - 60 X 1245 mm</t>
        </is>
      </c>
      <c r="C773" s="209" t="n">
        <v>10</v>
      </c>
      <c r="D773" s="960" t="n">
        <v>4.3724</v>
      </c>
      <c r="E773" s="215" t="n"/>
      <c r="F773" s="262" t="n">
        <v>113727</v>
      </c>
      <c r="G773" s="263" t="inlineStr">
        <is>
          <t>Supporto per striscia porta blister bifacciale</t>
        </is>
      </c>
      <c r="H773" s="264" t="n">
        <v>50</v>
      </c>
      <c r="I773" s="265" t="n">
        <v>1.365</v>
      </c>
      <c r="J773" s="215" t="n"/>
      <c r="K773" s="209" t="n"/>
      <c r="L773" s="425" t="n"/>
      <c r="M773" s="962" t="n"/>
      <c r="N773" s="215" t="n"/>
    </row>
    <row r="774" ht="12.75" customHeight="1">
      <c r="A774" s="207" t="n">
        <v>123162</v>
      </c>
      <c r="B774" s="209" t="inlineStr">
        <is>
          <t>Binario Con Fermo - Magnetico -60 X 1325 mm</t>
        </is>
      </c>
      <c r="C774" s="209" t="n">
        <v>10</v>
      </c>
      <c r="D774" s="960" t="n">
        <v>4.6533</v>
      </c>
      <c r="E774" s="215" t="n"/>
      <c r="F774" s="262" t="n">
        <v>113728</v>
      </c>
      <c r="G774" s="263" t="inlineStr">
        <is>
          <t>Porta brochures uni A5 per morsetto</t>
        </is>
      </c>
      <c r="H774" s="264" t="n">
        <v>50</v>
      </c>
      <c r="I774" s="265" t="n">
        <v>1.912</v>
      </c>
      <c r="J774" s="215" t="n"/>
      <c r="K774" s="209" t="n"/>
      <c r="L774" s="425" t="n"/>
      <c r="M774" s="962" t="n"/>
      <c r="N774" s="215" t="n"/>
    </row>
    <row r="775" ht="12.75" customHeight="1">
      <c r="A775" s="207" t="n">
        <v>123170</v>
      </c>
      <c r="B775" s="209" t="inlineStr">
        <is>
          <t>Binario Con Fermo - Magnetico - 80X1000 mm</t>
        </is>
      </c>
      <c r="C775" s="209" t="n">
        <v>10</v>
      </c>
      <c r="D775" s="960" t="n">
        <v>3.1</v>
      </c>
      <c r="E775" s="215" t="n"/>
      <c r="F775" s="262" t="n">
        <v>113729</v>
      </c>
      <c r="G775" s="263" t="inlineStr">
        <is>
          <t>Ripiano cm. 25x12,6 per morsetto</t>
        </is>
      </c>
      <c r="H775" s="264" t="n">
        <v>25</v>
      </c>
      <c r="I775" s="265" t="n">
        <v>3.336</v>
      </c>
      <c r="J775" s="215" t="n"/>
      <c r="K775" s="209" t="n"/>
      <c r="L775" s="425" t="n"/>
      <c r="M775" s="962" t="n"/>
      <c r="N775" s="215" t="n"/>
    </row>
    <row r="776" ht="12.75" customHeight="1">
      <c r="A776" s="207" t="n">
        <v>123171</v>
      </c>
      <c r="B776" s="209" t="inlineStr">
        <is>
          <t>Binario Con Fermo - Magnetico - 80X1245 mm</t>
        </is>
      </c>
      <c r="C776" s="209" t="n">
        <v>10</v>
      </c>
      <c r="D776" s="960" t="n">
        <v>3.85</v>
      </c>
      <c r="E776" s="215" t="n"/>
      <c r="F776" s="262" t="n">
        <v>113730</v>
      </c>
      <c r="G776" s="263" t="inlineStr">
        <is>
          <t>Espositore cm. 21,1x12,1 per morsetto</t>
        </is>
      </c>
      <c r="H776" s="264" t="n">
        <v>25</v>
      </c>
      <c r="I776" s="265" t="n">
        <v>4.629</v>
      </c>
      <c r="J776" s="215" t="n"/>
      <c r="K776" s="209" t="n"/>
      <c r="L776" s="425" t="n"/>
      <c r="M776" s="962" t="n"/>
      <c r="N776" s="215" t="n"/>
    </row>
    <row r="777" ht="12.75" customHeight="1">
      <c r="A777" s="207" t="n">
        <v>123172</v>
      </c>
      <c r="B777" s="209" t="inlineStr">
        <is>
          <t>Binario Con Fermo - Magnetico - 80X1325 mm</t>
        </is>
      </c>
      <c r="C777" s="209" t="n">
        <v>10</v>
      </c>
      <c r="D777" s="960" t="n">
        <v>4.1</v>
      </c>
      <c r="E777" s="215" t="n"/>
      <c r="F777" s="262" t="n">
        <v>113731</v>
      </c>
      <c r="G777" s="263" t="inlineStr">
        <is>
          <t>Supporto per dolciumi cm. 18x9,5x32 per morsetto</t>
        </is>
      </c>
      <c r="H777" s="264" t="n">
        <v>5</v>
      </c>
      <c r="I777" s="265" t="n">
        <v>20.19</v>
      </c>
      <c r="J777" s="215" t="n"/>
      <c r="K777" s="209" t="n"/>
      <c r="L777" s="425" t="n"/>
      <c r="M777" s="962" t="n"/>
      <c r="N777" s="215" t="n"/>
    </row>
    <row r="778" ht="12.75" customHeight="1">
      <c r="A778" s="207" t="n">
        <v>123261</v>
      </c>
      <c r="B778" s="209" t="inlineStr">
        <is>
          <t>Profilo Di Segmentazione 25X 1245 mm Adesivo</t>
        </is>
      </c>
      <c r="C778" s="209" t="n">
        <v>10</v>
      </c>
      <c r="D778" s="960" t="n">
        <v>3.7744</v>
      </c>
      <c r="E778" s="215" t="n"/>
      <c r="F778" s="262" t="n">
        <v>113732</v>
      </c>
      <c r="G778" s="263" t="inlineStr">
        <is>
          <t>Supporto trasparente per broches per pannelli forati</t>
        </is>
      </c>
      <c r="H778" s="264" t="n">
        <v>20</v>
      </c>
      <c r="I778" s="265" t="n">
        <v>3.537</v>
      </c>
      <c r="J778" s="215" t="n"/>
      <c r="K778" s="209" t="n"/>
      <c r="L778" s="425" t="n"/>
      <c r="M778" s="962" t="n"/>
      <c r="N778" s="215" t="n"/>
    </row>
    <row r="779">
      <c r="A779" s="207" t="n">
        <v>123263</v>
      </c>
      <c r="B779" s="209" t="inlineStr">
        <is>
          <t>Profilo Di Segmentazione 25 X 1325 mm Adesivo</t>
        </is>
      </c>
      <c r="C779" s="207" t="n">
        <v>10</v>
      </c>
      <c r="D779" s="960" t="n">
        <v>4.0169</v>
      </c>
      <c r="E779" s="214" t="n"/>
      <c r="F779" s="262" t="n">
        <v>113733</v>
      </c>
      <c r="G779" s="263" t="inlineStr">
        <is>
          <t>Supporto trasparente per broches universali</t>
        </is>
      </c>
      <c r="H779" s="264" t="n">
        <v>20</v>
      </c>
      <c r="I779" s="265" t="n">
        <v>3.324</v>
      </c>
      <c r="J779" s="214" t="n"/>
      <c r="K779" s="208" t="n"/>
      <c r="L779" s="424" t="n"/>
      <c r="M779" s="961" t="n"/>
      <c r="N779" s="214" t="n"/>
    </row>
    <row r="780">
      <c r="A780" s="207" t="n">
        <v>123271</v>
      </c>
      <c r="B780" s="209" t="inlineStr">
        <is>
          <t>Profilo Di Segmentazione 25 X 1245 mm Magnetico</t>
        </is>
      </c>
      <c r="C780" s="207" t="n">
        <v>10</v>
      </c>
      <c r="D780" s="960" t="n">
        <v>3.933</v>
      </c>
      <c r="E780" s="214" t="n"/>
      <c r="F780" s="262" t="n">
        <v>113734</v>
      </c>
      <c r="G780" s="263" t="inlineStr">
        <is>
          <t>Porta cartoline per morsetto</t>
        </is>
      </c>
      <c r="H780" s="264" t="n">
        <v>50</v>
      </c>
      <c r="I780" s="265" t="n">
        <v>0.8</v>
      </c>
      <c r="J780" s="214" t="n"/>
      <c r="K780" s="208" t="n"/>
      <c r="L780" s="424" t="n"/>
      <c r="M780" s="961" t="n"/>
      <c r="N780" s="214" t="n"/>
    </row>
    <row r="781">
      <c r="A781" s="207" t="n">
        <v>123273</v>
      </c>
      <c r="B781" s="209" t="inlineStr">
        <is>
          <t>Profilo Di Segmentazione 25 X 1325 mm Magnetico</t>
        </is>
      </c>
      <c r="C781" s="207" t="n">
        <v>10</v>
      </c>
      <c r="D781" s="960" t="n">
        <v>4.1857</v>
      </c>
      <c r="E781" s="214" t="n"/>
      <c r="F781" s="262" t="n">
        <v>113734</v>
      </c>
      <c r="G781" s="263" t="inlineStr">
        <is>
          <t>Porta cartoline economico</t>
        </is>
      </c>
      <c r="H781" s="264" t="n">
        <v>50</v>
      </c>
      <c r="I781" s="265" t="n">
        <v>0.8</v>
      </c>
      <c r="J781" s="214" t="n"/>
      <c r="K781" s="208" t="n"/>
      <c r="L781" s="424" t="n"/>
      <c r="M781" s="961" t="n"/>
      <c r="N781" s="214" t="n"/>
    </row>
    <row r="782">
      <c r="A782" s="207" t="n">
        <v>123269</v>
      </c>
      <c r="B782" s="209" t="inlineStr">
        <is>
          <t>Pe Arron Adh 25X1325mm</t>
        </is>
      </c>
      <c r="C782" s="207" t="n">
        <v>10</v>
      </c>
      <c r="D782" s="960" t="n">
        <v>3.2085</v>
      </c>
      <c r="E782" s="214" t="n"/>
      <c r="F782" s="267" t="n">
        <v>113870</v>
      </c>
      <c r="G782" s="263" t="inlineStr">
        <is>
          <t>Cornice LED monofacciale A4</t>
        </is>
      </c>
      <c r="H782" s="264" t="n">
        <v>1</v>
      </c>
      <c r="I782" s="265" t="n">
        <v>80.208</v>
      </c>
      <c r="J782" s="214" t="n"/>
      <c r="K782" s="208" t="n"/>
      <c r="L782" s="424" t="n"/>
      <c r="M782" s="961" t="n"/>
      <c r="N782" s="214" t="n"/>
    </row>
    <row r="783">
      <c r="A783" s="207" t="n">
        <v>123141</v>
      </c>
      <c r="B783" s="209" t="inlineStr">
        <is>
          <t>Binario Per Ripiano A Grata - Trasparente 1245mm</t>
        </is>
      </c>
      <c r="C783" s="207" t="n">
        <v>10</v>
      </c>
      <c r="D783" s="960" t="n">
        <v>1.2548</v>
      </c>
      <c r="E783" s="214" t="n"/>
      <c r="F783" s="267" t="n">
        <v>113871</v>
      </c>
      <c r="G783" s="263" t="inlineStr">
        <is>
          <t>Cornice LED monofacciale A3</t>
        </is>
      </c>
      <c r="H783" s="264" t="n">
        <v>1</v>
      </c>
      <c r="I783" s="265" t="n">
        <v>134.658</v>
      </c>
      <c r="J783" s="214" t="n"/>
      <c r="K783" s="208" t="n"/>
      <c r="L783" s="424" t="n"/>
      <c r="M783" s="961" t="n"/>
      <c r="N783" s="214" t="n"/>
    </row>
    <row r="784">
      <c r="A784" s="207" t="n">
        <v>123143</v>
      </c>
      <c r="B784" s="209" t="inlineStr">
        <is>
          <t>Clip Trasparente 12mm</t>
        </is>
      </c>
      <c r="C784" s="207" t="n">
        <v>10</v>
      </c>
      <c r="D784" s="960" t="n">
        <v>0.07049999999999999</v>
      </c>
      <c r="E784" s="214" t="n"/>
      <c r="F784" s="267" t="n">
        <v>113872</v>
      </c>
      <c r="G784" s="263" t="inlineStr">
        <is>
          <t>Cornice LED monofacciale A2</t>
        </is>
      </c>
      <c r="H784" s="264" t="n">
        <v>1</v>
      </c>
      <c r="I784" s="265" t="n">
        <v>194.472</v>
      </c>
      <c r="J784" s="214" t="n"/>
      <c r="K784" s="208" t="n"/>
      <c r="L784" s="424" t="n"/>
      <c r="M784" s="961" t="n"/>
      <c r="N784" s="214" t="n"/>
    </row>
    <row r="785">
      <c r="A785" s="207" t="n">
        <v>123101</v>
      </c>
      <c r="B785" s="209" t="inlineStr">
        <is>
          <t>Binario Adesivo 9 X 1000 mm</t>
        </is>
      </c>
      <c r="C785" s="207" t="n">
        <v>10</v>
      </c>
      <c r="D785" s="960" t="n">
        <v>0.8744</v>
      </c>
      <c r="E785" s="214" t="n"/>
      <c r="F785" s="267" t="n">
        <v>113873</v>
      </c>
      <c r="G785" s="263" t="inlineStr">
        <is>
          <t>Cornice LED monofacciale B2</t>
        </is>
      </c>
      <c r="H785" s="264" t="n">
        <v>1</v>
      </c>
      <c r="I785" s="265" t="n">
        <v>229.497</v>
      </c>
      <c r="J785" s="214" t="n"/>
      <c r="K785" s="208" t="n"/>
      <c r="L785" s="424" t="n"/>
      <c r="M785" s="961" t="n"/>
      <c r="N785" s="214" t="n"/>
    </row>
    <row r="786">
      <c r="A786" s="207" t="n">
        <v>123102</v>
      </c>
      <c r="B786" s="209" t="inlineStr">
        <is>
          <t>Binario Adesivo 9 X 1325 mm</t>
        </is>
      </c>
      <c r="C786" s="207" t="n">
        <v>10</v>
      </c>
      <c r="D786" s="960" t="n">
        <v>1.1644</v>
      </c>
      <c r="E786" s="214" t="n"/>
      <c r="F786" s="267" t="n">
        <v>113874</v>
      </c>
      <c r="G786" s="263" t="inlineStr">
        <is>
          <t>Cornice LED monofacciale B1</t>
        </is>
      </c>
      <c r="H786" s="264" t="n">
        <v>1</v>
      </c>
      <c r="I786" s="265" t="n">
        <v>346.294</v>
      </c>
      <c r="J786" s="214" t="n"/>
      <c r="K786" s="208" t="n"/>
      <c r="L786" s="424" t="n"/>
      <c r="M786" s="961" t="n"/>
      <c r="N786" s="214" t="n"/>
    </row>
    <row r="787">
      <c r="A787" s="207" t="n">
        <v>123283</v>
      </c>
      <c r="B787" s="209" t="inlineStr">
        <is>
          <t>Binario Adesivo 16 X 1000 mm</t>
        </is>
      </c>
      <c r="C787" s="207" t="n">
        <v>10</v>
      </c>
      <c r="D787" s="960" t="n">
        <v>1.184</v>
      </c>
      <c r="E787" s="214" t="n"/>
      <c r="F787" s="267" t="n">
        <v>113880</v>
      </c>
      <c r="G787" s="263" t="inlineStr">
        <is>
          <t>Cornice LED bifacciale A4</t>
        </is>
      </c>
      <c r="H787" s="264" t="n">
        <v>1</v>
      </c>
      <c r="I787" s="265" t="n">
        <v>112.426</v>
      </c>
      <c r="J787" s="214" t="n"/>
      <c r="K787" s="208" t="n"/>
      <c r="L787" s="424" t="n"/>
      <c r="M787" s="961" t="n"/>
      <c r="N787" s="214" t="n"/>
    </row>
    <row r="788">
      <c r="A788" s="207" t="n">
        <v>123284</v>
      </c>
      <c r="B788" s="209" t="inlineStr">
        <is>
          <t>Binario Adesivo 16 X 1245 mm</t>
        </is>
      </c>
      <c r="C788" s="207" t="n">
        <v>10</v>
      </c>
      <c r="D788" s="960" t="n">
        <v>1.3797</v>
      </c>
      <c r="E788" s="214" t="n"/>
      <c r="F788" s="267" t="n">
        <v>113881</v>
      </c>
      <c r="G788" s="263" t="inlineStr">
        <is>
          <t>Cornice LED bifacciale A3</t>
        </is>
      </c>
      <c r="H788" s="264" t="n">
        <v>1</v>
      </c>
      <c r="I788" s="265" t="n">
        <v>166.999</v>
      </c>
      <c r="J788" s="214" t="n"/>
      <c r="K788" s="208" t="n"/>
      <c r="L788" s="424" t="n"/>
      <c r="M788" s="961" t="n"/>
      <c r="N788" s="214" t="n"/>
    </row>
    <row r="789">
      <c r="A789" s="207" t="n">
        <v>123285</v>
      </c>
      <c r="B789" s="209" t="inlineStr">
        <is>
          <t>Binario Adesivo 16 X 1325 mm</t>
        </is>
      </c>
      <c r="C789" s="207" t="n">
        <v>10</v>
      </c>
      <c r="D789" s="960" t="n">
        <v>1.458</v>
      </c>
      <c r="E789" s="214" t="n"/>
      <c r="F789" s="267" t="n">
        <v>113882</v>
      </c>
      <c r="G789" s="263" t="inlineStr">
        <is>
          <t>Cornice LED bifacciale A2</t>
        </is>
      </c>
      <c r="H789" s="264" t="n">
        <v>1</v>
      </c>
      <c r="I789" s="265" t="n">
        <v>247.158</v>
      </c>
      <c r="J789" s="214" t="n"/>
      <c r="K789" s="208" t="n"/>
      <c r="L789" s="424" t="n"/>
      <c r="M789" s="961" t="n"/>
      <c r="N789" s="214" t="n"/>
    </row>
    <row r="790">
      <c r="A790" s="207" t="n">
        <v>123290</v>
      </c>
      <c r="B790" s="209" t="inlineStr">
        <is>
          <t>Binario Magnetico 16 X 1000 mm</t>
        </is>
      </c>
      <c r="C790" s="207" t="n">
        <v>10</v>
      </c>
      <c r="D790" s="960" t="n">
        <v>1.3287</v>
      </c>
      <c r="E790" s="214" t="n"/>
      <c r="F790" s="267" t="n">
        <v>113883</v>
      </c>
      <c r="G790" s="263" t="inlineStr">
        <is>
          <t>Cornice LED bifacciale B2</t>
        </is>
      </c>
      <c r="H790" s="264" t="n">
        <v>1</v>
      </c>
      <c r="I790" s="265" t="n">
        <v>298.8</v>
      </c>
      <c r="J790" s="214" t="n"/>
      <c r="K790" s="208" t="n"/>
      <c r="L790" s="424" t="n"/>
      <c r="M790" s="961" t="n"/>
      <c r="N790" s="214" t="n"/>
    </row>
    <row r="791">
      <c r="A791" s="207" t="n">
        <v>123291</v>
      </c>
      <c r="B791" s="209" t="inlineStr">
        <is>
          <t>Binario Magnetico 16 X 1245mm</t>
        </is>
      </c>
      <c r="C791" s="207" t="n">
        <v>10</v>
      </c>
      <c r="D791" s="960" t="n">
        <v>1.6377</v>
      </c>
      <c r="E791" s="214" t="n"/>
      <c r="F791" s="267" t="n">
        <v>113884</v>
      </c>
      <c r="G791" s="263" t="inlineStr">
        <is>
          <t>Cornice LED bifacciale B1</t>
        </is>
      </c>
      <c r="H791" s="264" t="n">
        <v>1</v>
      </c>
      <c r="I791" s="265" t="n">
        <v>469.401</v>
      </c>
      <c r="J791" s="214" t="n"/>
      <c r="K791" s="208" t="n"/>
      <c r="L791" s="424" t="n"/>
      <c r="M791" s="961" t="n"/>
      <c r="N791" s="214" t="n"/>
    </row>
    <row r="792">
      <c r="A792" s="207" t="n">
        <v>123287</v>
      </c>
      <c r="B792" s="209" t="inlineStr">
        <is>
          <t>Binario Magnetico 16 X 1280 mm</t>
        </is>
      </c>
      <c r="C792" s="207" t="n">
        <v>10</v>
      </c>
      <c r="D792" s="960" t="n">
        <v>1.69</v>
      </c>
      <c r="E792" s="214" t="n"/>
      <c r="F792" s="267" t="n">
        <v>113905</v>
      </c>
      <c r="G792" s="263" t="inlineStr">
        <is>
          <t>Light base cm. 50x30 bifacciale</t>
        </is>
      </c>
      <c r="H792" s="264" t="n">
        <v>1</v>
      </c>
      <c r="I792" s="265" t="n">
        <v>71.015</v>
      </c>
      <c r="J792" s="214" t="n"/>
      <c r="K792" s="208" t="n"/>
      <c r="L792" s="424" t="n"/>
      <c r="M792" s="961" t="n"/>
      <c r="N792" s="214" t="n"/>
    </row>
    <row r="793">
      <c r="A793" s="207" t="n">
        <v>123292</v>
      </c>
      <c r="B793" s="209" t="inlineStr">
        <is>
          <t>Binario Magnetico 16 X 1325 mm</t>
        </is>
      </c>
      <c r="C793" s="207" t="n">
        <v>10</v>
      </c>
      <c r="D793" s="960" t="n">
        <v>1.7407</v>
      </c>
      <c r="E793" s="214" t="n"/>
      <c r="F793" s="267" t="n">
        <v>113906</v>
      </c>
      <c r="G793" s="263" t="inlineStr">
        <is>
          <t>Easy base - struttura</t>
        </is>
      </c>
      <c r="H793" s="264" t="n">
        <v>1</v>
      </c>
      <c r="I793" s="265" t="n">
        <v>61.302</v>
      </c>
      <c r="J793" s="214" t="n"/>
      <c r="K793" s="208" t="n"/>
      <c r="L793" s="424" t="n"/>
      <c r="M793" s="961" t="n"/>
      <c r="N793" s="214" t="n"/>
    </row>
    <row r="794">
      <c r="A794" s="207" t="n">
        <v>123288</v>
      </c>
      <c r="B794" s="209" t="inlineStr">
        <is>
          <t>Binario Magnetico Trasparente 950mm</t>
        </is>
      </c>
      <c r="C794" s="207" t="n">
        <v>10</v>
      </c>
      <c r="D794" s="960" t="n">
        <v>1.2623</v>
      </c>
      <c r="E794" s="214" t="n"/>
      <c r="F794" s="267" t="n">
        <v>113907</v>
      </c>
      <c r="G794" s="263" t="inlineStr">
        <is>
          <t>Heavy base - struttura</t>
        </is>
      </c>
      <c r="H794" s="264" t="n">
        <v>1</v>
      </c>
      <c r="I794" s="265" t="n">
        <v>106.26</v>
      </c>
      <c r="J794" s="214" t="n"/>
      <c r="K794" s="208" t="n"/>
      <c r="L794" s="424" t="n"/>
      <c r="M794" s="961" t="n"/>
      <c r="N794" s="214" t="n"/>
    </row>
    <row r="795">
      <c r="A795" s="207" t="n">
        <v>123280</v>
      </c>
      <c r="B795" s="209" t="inlineStr">
        <is>
          <t>Binario Magnetico Trasparente 1000mm</t>
        </is>
      </c>
      <c r="C795" s="207" t="n">
        <v>10</v>
      </c>
      <c r="D795" s="960" t="n">
        <v>1.3287</v>
      </c>
      <c r="E795" s="214" t="n"/>
      <c r="F795" s="267" t="n">
        <v>113908</v>
      </c>
      <c r="G795" s="263" t="inlineStr">
        <is>
          <t>Polly base - struttura</t>
        </is>
      </c>
      <c r="H795" s="264" t="n">
        <v>1</v>
      </c>
      <c r="I795" s="265" t="n">
        <v>47.311</v>
      </c>
      <c r="J795" s="214" t="n"/>
      <c r="K795" s="208" t="n"/>
      <c r="L795" s="424" t="n"/>
      <c r="M795" s="961" t="n"/>
      <c r="N795" s="214" t="n"/>
    </row>
    <row r="796">
      <c r="A796" s="207" t="n">
        <v>123281</v>
      </c>
      <c r="B796" s="209" t="inlineStr">
        <is>
          <t>Binario Magnetico Trasparente 1245mm</t>
        </is>
      </c>
      <c r="C796" s="207" t="n">
        <v>10</v>
      </c>
      <c r="D796" s="960" t="n">
        <v>1.6542</v>
      </c>
      <c r="E796" s="214" t="n"/>
      <c r="F796" s="267" t="n">
        <v>113911</v>
      </c>
      <c r="G796" s="263" t="inlineStr">
        <is>
          <t>Small base 20x60 cm.</t>
        </is>
      </c>
      <c r="H796" s="264" t="n">
        <v>1</v>
      </c>
      <c r="I796" s="265" t="n">
        <v>31.352</v>
      </c>
      <c r="J796" s="214" t="n"/>
      <c r="K796" s="208" t="n"/>
      <c r="L796" s="424" t="n"/>
      <c r="M796" s="961" t="n"/>
      <c r="N796" s="214" t="n"/>
    </row>
    <row r="797">
      <c r="A797" s="207" t="n">
        <v>123287</v>
      </c>
      <c r="B797" s="209" t="inlineStr">
        <is>
          <t>Binario Magnetico Trasparente 1280mm</t>
        </is>
      </c>
      <c r="C797" s="207" t="n">
        <v>10</v>
      </c>
      <c r="D797" s="960" t="n">
        <v>1.7007</v>
      </c>
      <c r="E797" s="214" t="n"/>
      <c r="F797" s="267" t="n">
        <v>113912</v>
      </c>
      <c r="G797" s="263" t="inlineStr">
        <is>
          <t>Totem out bifacciale - base</t>
        </is>
      </c>
      <c r="H797" s="264" t="n">
        <v>1</v>
      </c>
      <c r="I797" s="265" t="n">
        <v>354.833</v>
      </c>
      <c r="J797" s="214" t="n"/>
      <c r="K797" s="208" t="n"/>
      <c r="L797" s="424" t="n"/>
      <c r="M797" s="961" t="n"/>
      <c r="N797" s="214" t="n"/>
    </row>
    <row r="798">
      <c r="A798" s="207" t="n">
        <v>123282</v>
      </c>
      <c r="B798" s="209" t="inlineStr">
        <is>
          <t>Binario Magnetico Trasparente 1325mm</t>
        </is>
      </c>
      <c r="C798" s="207" t="n">
        <v>10</v>
      </c>
      <c r="D798" s="960" t="n">
        <v>1.7605</v>
      </c>
      <c r="E798" s="214" t="n"/>
      <c r="F798" s="267" t="n">
        <v>113913</v>
      </c>
      <c r="G798" s="263" t="inlineStr">
        <is>
          <t>Totem out bifacciale - zavorra interna</t>
        </is>
      </c>
      <c r="H798" s="264" t="n">
        <v>1</v>
      </c>
      <c r="I798" s="265" t="n">
        <v>93.98999999999999</v>
      </c>
      <c r="J798" s="214" t="n"/>
      <c r="K798" s="208" t="n"/>
      <c r="L798" s="424" t="n"/>
      <c r="M798" s="961" t="n"/>
      <c r="N798" s="214" t="n"/>
    </row>
    <row r="799">
      <c r="A799" s="207" t="n">
        <v>123293</v>
      </c>
      <c r="B799" s="209" t="inlineStr">
        <is>
          <t>Binario Magnetico Nero 1000mm</t>
        </is>
      </c>
      <c r="C799" s="207" t="n">
        <v>10</v>
      </c>
      <c r="D799" s="960" t="n">
        <v>1.3287</v>
      </c>
      <c r="E799" s="214" t="n"/>
      <c r="F799" s="267" t="n">
        <v>113914</v>
      </c>
      <c r="G799" s="263" t="inlineStr">
        <is>
          <t>Totem out trifacciale - struttura</t>
        </is>
      </c>
      <c r="H799" s="264" t="n">
        <v>1</v>
      </c>
      <c r="I799" s="265" t="n">
        <v>427.95</v>
      </c>
      <c r="J799" s="214" t="n"/>
      <c r="K799" s="208" t="n"/>
      <c r="L799" s="424" t="n"/>
      <c r="M799" s="961" t="n"/>
      <c r="N799" s="214" t="n"/>
    </row>
    <row r="800">
      <c r="A800" s="207" t="n">
        <v>123294</v>
      </c>
      <c r="B800" s="209" t="inlineStr">
        <is>
          <t>Binario Magnetico Nero 1245mm</t>
        </is>
      </c>
      <c r="C800" s="207" t="n">
        <v>10</v>
      </c>
      <c r="D800" s="960" t="n">
        <v>1.6542</v>
      </c>
      <c r="E800" s="214" t="n"/>
      <c r="F800" s="267" t="n">
        <v>113915</v>
      </c>
      <c r="G800" s="263" t="inlineStr">
        <is>
          <t>Totem out argento cm. 80x200 bifacciale</t>
        </is>
      </c>
      <c r="H800" s="264" t="n">
        <v>1</v>
      </c>
      <c r="I800" s="265" t="n">
        <v>358.853</v>
      </c>
      <c r="J800" s="214" t="n"/>
      <c r="K800" s="208" t="n"/>
      <c r="L800" s="424" t="n"/>
      <c r="M800" s="961" t="n"/>
      <c r="N800" s="214" t="n"/>
    </row>
    <row r="801">
      <c r="A801" s="207" t="n">
        <v>123295</v>
      </c>
      <c r="B801" s="209" t="inlineStr">
        <is>
          <t>Binario Magnetico Nero 1325mm</t>
        </is>
      </c>
      <c r="C801" s="207" t="n">
        <v>10</v>
      </c>
      <c r="D801" s="960" t="n">
        <v>1.7605</v>
      </c>
      <c r="E801" s="214" t="n"/>
      <c r="F801" s="267" t="n">
        <v>113916</v>
      </c>
      <c r="G801" s="263" t="inlineStr">
        <is>
          <t>Totem slim bianco cm. 75x243 bifacciale</t>
        </is>
      </c>
      <c r="H801" s="264" t="n">
        <v>1</v>
      </c>
      <c r="I801" s="265" t="n">
        <v>248.965</v>
      </c>
      <c r="J801" s="214" t="n"/>
      <c r="K801" s="208" t="n"/>
      <c r="L801" s="424" t="n"/>
      <c r="M801" s="961" t="n"/>
      <c r="N801" s="214" t="n"/>
    </row>
    <row r="802">
      <c r="A802" s="207" t="n">
        <v>125901</v>
      </c>
      <c r="B802" s="209" t="inlineStr">
        <is>
          <t>Fermo 40 X 40 mm</t>
        </is>
      </c>
      <c r="C802" s="207" t="n">
        <v>50</v>
      </c>
      <c r="D802" s="960" t="n">
        <v>0.2231</v>
      </c>
      <c r="E802" s="214" t="n"/>
      <c r="F802" s="267" t="n">
        <v>113917</v>
      </c>
      <c r="G802" s="263" t="inlineStr">
        <is>
          <t>Stand Pop Up dritto 3x3</t>
        </is>
      </c>
      <c r="H802" s="264" t="n">
        <v>1</v>
      </c>
      <c r="I802" s="265" t="n">
        <v>357.78</v>
      </c>
      <c r="J802" s="214" t="n"/>
      <c r="K802" s="208" t="n"/>
      <c r="L802" s="424" t="n"/>
      <c r="M802" s="961" t="n"/>
      <c r="N802" s="214" t="n"/>
    </row>
    <row r="803">
      <c r="A803" s="207" t="n">
        <v>125903</v>
      </c>
      <c r="B803" s="209" t="inlineStr">
        <is>
          <t>Fermo 40 X 33 mm</t>
        </is>
      </c>
      <c r="C803" s="207" t="n">
        <v>10</v>
      </c>
      <c r="D803" s="960" t="n">
        <v>0.3342</v>
      </c>
      <c r="E803" s="214" t="n"/>
      <c r="F803" s="267" t="n">
        <v>113918</v>
      </c>
      <c r="G803" s="263" t="inlineStr">
        <is>
          <t>Stand Pop Up dritto 4x3</t>
        </is>
      </c>
      <c r="H803" s="264" t="n">
        <v>1</v>
      </c>
      <c r="I803" s="265" t="n">
        <v>438.538</v>
      </c>
      <c r="J803" s="214" t="n"/>
      <c r="K803" s="208" t="n"/>
      <c r="L803" s="424" t="n"/>
      <c r="M803" s="961" t="n"/>
      <c r="N803" s="214" t="n"/>
    </row>
    <row r="804">
      <c r="A804" s="207" t="n">
        <v>125905</v>
      </c>
      <c r="B804" s="209" t="inlineStr">
        <is>
          <t>Fermo 90 X 40 mm</t>
        </is>
      </c>
      <c r="C804" s="207" t="n">
        <v>50</v>
      </c>
      <c r="D804" s="960" t="n">
        <v>0.2575</v>
      </c>
      <c r="E804" s="214" t="n"/>
      <c r="F804" s="267" t="n">
        <v>113920</v>
      </c>
      <c r="G804" s="263" t="inlineStr">
        <is>
          <t>Plexi cable + cavo d'acciaio 3 mt.</t>
        </is>
      </c>
      <c r="H804" s="264" t="n">
        <v>1</v>
      </c>
      <c r="I804" s="265" t="n">
        <v>20.625</v>
      </c>
      <c r="J804" s="214" t="n"/>
      <c r="K804" s="208" t="n"/>
      <c r="L804" s="424" t="n"/>
      <c r="M804" s="961" t="n"/>
      <c r="N804" s="214" t="n"/>
    </row>
    <row r="805">
      <c r="A805" s="207" t="n">
        <v>125907</v>
      </c>
      <c r="B805" s="209" t="inlineStr">
        <is>
          <t>Fermo 90 X 33 mm</t>
        </is>
      </c>
      <c r="C805" s="207" t="n">
        <v>10</v>
      </c>
      <c r="D805" s="960" t="n">
        <v>0.3708</v>
      </c>
      <c r="E805" s="214" t="n"/>
      <c r="F805" s="267" t="n">
        <v>113921</v>
      </c>
      <c r="G805" s="263" t="inlineStr">
        <is>
          <t>Kit 4 morsetti singoli</t>
        </is>
      </c>
      <c r="H805" s="264" t="n">
        <v>1</v>
      </c>
      <c r="I805" s="265" t="n">
        <v>17.678</v>
      </c>
      <c r="J805" s="214" t="n"/>
      <c r="K805" s="208" t="n"/>
      <c r="L805" s="424" t="n"/>
      <c r="M805" s="961" t="n"/>
      <c r="N805" s="214" t="n"/>
    </row>
    <row r="806">
      <c r="A806" s="207" t="n">
        <v>125908</v>
      </c>
      <c r="B806" s="209" t="inlineStr">
        <is>
          <t>Fermo Xl - T</t>
        </is>
      </c>
      <c r="C806" s="207" t="n">
        <v>50</v>
      </c>
      <c r="D806" s="960" t="n">
        <v>0.515</v>
      </c>
      <c r="E806" s="214" t="n"/>
      <c r="F806" s="267" t="n">
        <v>113922</v>
      </c>
      <c r="G806" s="263" t="inlineStr">
        <is>
          <t>Kit 4 morsetti doppi</t>
        </is>
      </c>
      <c r="H806" s="264" t="n">
        <v>1</v>
      </c>
      <c r="I806" s="265" t="n">
        <v>20.625</v>
      </c>
      <c r="J806" s="214" t="n"/>
      <c r="K806" s="208" t="n"/>
      <c r="L806" s="424" t="n"/>
      <c r="M806" s="961" t="n"/>
      <c r="N806" s="214" t="n"/>
    </row>
    <row r="807">
      <c r="A807" s="207" t="n">
        <v>125910</v>
      </c>
      <c r="B807" s="209" t="inlineStr">
        <is>
          <t>Fermo Xl - Sinistra E Destra</t>
        </is>
      </c>
      <c r="C807" s="207" t="n">
        <v>10</v>
      </c>
      <c r="D807" s="960" t="n">
        <v>0.824</v>
      </c>
      <c r="E807" s="214" t="n"/>
      <c r="F807" s="267" t="n">
        <v>113923</v>
      </c>
      <c r="G807" s="263" t="inlineStr">
        <is>
          <t>Stand Pop Up curvo 3x3</t>
        </is>
      </c>
      <c r="H807" s="264" t="n">
        <v>1</v>
      </c>
      <c r="I807" s="265" t="n">
        <v>357.78</v>
      </c>
      <c r="J807" s="214" t="n"/>
      <c r="K807" s="208" t="n"/>
      <c r="L807" s="424" t="n"/>
      <c r="M807" s="961" t="n"/>
      <c r="N807" s="214" t="n"/>
    </row>
    <row r="808">
      <c r="A808" s="207" t="n">
        <v>124211</v>
      </c>
      <c r="B808" s="209" t="inlineStr">
        <is>
          <t>Cavaletto 85 X 140 X 152 mm</t>
        </is>
      </c>
      <c r="C808" s="207" t="n">
        <v>10</v>
      </c>
      <c r="D808" s="960" t="n">
        <v>2.6059</v>
      </c>
      <c r="E808" s="214" t="n"/>
      <c r="F808" s="267" t="n">
        <v>113924</v>
      </c>
      <c r="G808" s="263" t="inlineStr">
        <is>
          <t>Stand Pop Up curvo 4x3</t>
        </is>
      </c>
      <c r="H808" s="264" t="n">
        <v>1</v>
      </c>
      <c r="I808" s="265" t="n">
        <v>466.353</v>
      </c>
      <c r="J808" s="214" t="n"/>
      <c r="K808" s="208" t="n"/>
      <c r="L808" s="424" t="n"/>
      <c r="M808" s="961" t="n"/>
      <c r="N808" s="214" t="n"/>
    </row>
    <row r="809">
      <c r="A809" s="207" t="n">
        <v>124205</v>
      </c>
      <c r="B809" s="209" t="inlineStr">
        <is>
          <t>Cavalleto &amp; Cremagliera Spezzabile 330 To 580 mm</t>
        </is>
      </c>
      <c r="C809" s="207" t="n">
        <v>15</v>
      </c>
      <c r="D809" s="960" t="n">
        <v>1.806</v>
      </c>
      <c r="E809" s="214" t="n"/>
      <c r="F809" s="267" t="n">
        <v>113925</v>
      </c>
      <c r="G809" s="263" t="inlineStr">
        <is>
          <t>Plexi deluxe</t>
        </is>
      </c>
      <c r="H809" s="264" t="n">
        <v>1</v>
      </c>
      <c r="I809" s="265" t="n">
        <v>26.593</v>
      </c>
      <c r="J809" s="214" t="n"/>
      <c r="K809" s="208" t="n"/>
      <c r="L809" s="424" t="n"/>
      <c r="M809" s="961" t="n"/>
      <c r="N809" s="214" t="n"/>
    </row>
    <row r="810">
      <c r="A810" s="207" t="n">
        <v>124108</v>
      </c>
      <c r="B810" s="209" t="inlineStr">
        <is>
          <t>Cavalleto Per SuPPorto Posteriore 209 mm</t>
        </is>
      </c>
      <c r="C810" s="207" t="n">
        <v>15</v>
      </c>
      <c r="D810" s="960" t="n">
        <v>1.3794</v>
      </c>
      <c r="E810" s="214" t="n"/>
      <c r="F810" s="267" t="n">
        <v>113930</v>
      </c>
      <c r="G810" s="263" t="inlineStr">
        <is>
          <t>Info ceiling da soffitto</t>
        </is>
      </c>
      <c r="H810" s="264" t="n">
        <v>1</v>
      </c>
      <c r="I810" s="265" t="n">
        <v>21.984</v>
      </c>
      <c r="J810" s="214" t="n"/>
      <c r="K810" s="208" t="n"/>
      <c r="L810" s="424" t="n"/>
      <c r="M810" s="961" t="n"/>
      <c r="N810" s="214" t="n"/>
    </row>
    <row r="811">
      <c r="A811" s="207" t="n">
        <v>124207</v>
      </c>
      <c r="B811" s="209" t="inlineStr">
        <is>
          <t>Linguetta</t>
        </is>
      </c>
      <c r="C811" s="207" t="n">
        <v>50</v>
      </c>
      <c r="D811" s="960" t="n">
        <v>0.8699</v>
      </c>
      <c r="E811" s="214" t="n"/>
      <c r="F811" s="267" t="n">
        <v>113937</v>
      </c>
      <c r="G811" s="263" t="inlineStr">
        <is>
          <t>Kit 4 morsetti singoli</t>
        </is>
      </c>
      <c r="H811" s="264" t="n">
        <v>1</v>
      </c>
      <c r="I811" s="265" t="n">
        <v>7.83</v>
      </c>
      <c r="J811" s="214" t="n"/>
      <c r="K811" s="208" t="n"/>
      <c r="L811" s="424" t="n"/>
      <c r="M811" s="961" t="n"/>
      <c r="N811" s="214" t="n"/>
    </row>
    <row r="812">
      <c r="A812" s="207" t="n">
        <v>124523</v>
      </c>
      <c r="B812" s="209" t="inlineStr">
        <is>
          <t>Spingiprodotto - Forza Medium  380 mm</t>
        </is>
      </c>
      <c r="C812" s="207" t="n">
        <v>20</v>
      </c>
      <c r="D812" s="960" t="n">
        <v>2.6003</v>
      </c>
      <c r="E812" s="214" t="n"/>
      <c r="F812" s="267" t="n">
        <v>113938</v>
      </c>
      <c r="G812" s="263" t="inlineStr">
        <is>
          <t>Kit 4 morsetti doppi</t>
        </is>
      </c>
      <c r="H812" s="264" t="n">
        <v>1</v>
      </c>
      <c r="I812" s="265" t="n">
        <v>10.748</v>
      </c>
      <c r="J812" s="214" t="n"/>
      <c r="K812" s="208" t="n"/>
      <c r="L812" s="424" t="n"/>
      <c r="M812" s="961" t="n"/>
      <c r="N812" s="214" t="n"/>
    </row>
    <row r="813">
      <c r="A813" s="207" t="n">
        <v>124533</v>
      </c>
      <c r="B813" s="209" t="inlineStr">
        <is>
          <t>Spingiprodotto - Forza Forte 380 mm</t>
        </is>
      </c>
      <c r="C813" s="207" t="n">
        <v>20</v>
      </c>
      <c r="D813" s="960" t="n">
        <v>2.6173</v>
      </c>
      <c r="E813" s="214" t="n"/>
      <c r="F813" s="267" t="n">
        <v>113939</v>
      </c>
      <c r="G813" s="263" t="inlineStr">
        <is>
          <t>Plexi ground + cavo d'acciaio 3 mt.</t>
        </is>
      </c>
      <c r="H813" s="264" t="n">
        <v>1</v>
      </c>
      <c r="I813" s="265" t="n">
        <v>7.795</v>
      </c>
      <c r="J813" s="214" t="n"/>
      <c r="K813" s="208" t="n"/>
      <c r="L813" s="424" t="n"/>
      <c r="M813" s="961" t="n"/>
      <c r="N813" s="214" t="n"/>
    </row>
    <row r="814">
      <c r="A814" s="207" t="n">
        <v>124563</v>
      </c>
      <c r="B814" s="209" t="inlineStr">
        <is>
          <t>Spingiprodotti A Media Forza - 380mm - Senza Frontalino</t>
        </is>
      </c>
      <c r="C814" s="207" t="n">
        <v>20</v>
      </c>
      <c r="D814" s="960" t="n">
        <v>2.3536</v>
      </c>
      <c r="E814" s="214" t="n"/>
      <c r="F814" s="267" t="n">
        <v>113940</v>
      </c>
      <c r="G814" s="263" t="inlineStr">
        <is>
          <t>Struttura per plexi ground</t>
        </is>
      </c>
      <c r="H814" s="264" t="n">
        <v>1</v>
      </c>
      <c r="I814" s="265" t="n">
        <v>160.728</v>
      </c>
      <c r="J814" s="214" t="n"/>
      <c r="K814" s="208" t="n"/>
      <c r="L814" s="424" t="n"/>
      <c r="M814" s="961" t="n"/>
      <c r="N814" s="214" t="n"/>
    </row>
    <row r="815">
      <c r="A815" s="207" t="n">
        <v>128460</v>
      </c>
      <c r="B815" s="209" t="inlineStr">
        <is>
          <t>Easyfacing Su Ripiano - Profondita 385mm</t>
        </is>
      </c>
      <c r="C815" s="207" t="n">
        <v>12</v>
      </c>
      <c r="D815" s="960" t="n">
        <v>15.45</v>
      </c>
      <c r="E815" s="214" t="n"/>
      <c r="F815" s="267" t="n">
        <v>113945</v>
      </c>
      <c r="G815" s="263" t="inlineStr">
        <is>
          <t>Tasca metacrilato trasparente A4</t>
        </is>
      </c>
      <c r="H815" s="264" t="n">
        <v>1</v>
      </c>
      <c r="I815" s="265" t="n">
        <v>11.195</v>
      </c>
      <c r="J815" s="214" t="n"/>
      <c r="K815" s="208" t="n"/>
      <c r="L815" s="424" t="n"/>
      <c r="M815" s="961" t="n"/>
      <c r="N815" s="214" t="n"/>
    </row>
    <row r="816">
      <c r="A816" s="207" t="n">
        <v>128465</v>
      </c>
      <c r="B816" s="209" t="inlineStr">
        <is>
          <t>Easyfacing Su Ripiano - Profondita 485mm</t>
        </is>
      </c>
      <c r="C816" s="207" t="n">
        <v>12</v>
      </c>
      <c r="D816" s="960" t="n">
        <v>16.48</v>
      </c>
      <c r="E816" s="214" t="n"/>
      <c r="F816" s="267" t="n">
        <v>113946</v>
      </c>
      <c r="G816" s="263" t="inlineStr">
        <is>
          <t>Tasca metacrilato trasparente A3</t>
        </is>
      </c>
      <c r="H816" s="264" t="n">
        <v>1</v>
      </c>
      <c r="I816" s="265" t="n">
        <v>24.381</v>
      </c>
      <c r="J816" s="214" t="n"/>
      <c r="K816" s="208" t="n"/>
      <c r="L816" s="424" t="n"/>
      <c r="M816" s="961" t="n"/>
      <c r="N816" s="214" t="n"/>
    </row>
    <row r="817">
      <c r="A817" s="207" t="n">
        <v>128468</v>
      </c>
      <c r="B817" s="209" t="inlineStr">
        <is>
          <t>Separatore Easyfacing - Profondita 385mm</t>
        </is>
      </c>
      <c r="C817" s="207" t="n">
        <v>50</v>
      </c>
      <c r="D817" s="960" t="n">
        <v>1.2875</v>
      </c>
      <c r="E817" s="214" t="n"/>
      <c r="F817" s="267" t="n">
        <v>113947</v>
      </c>
      <c r="G817" s="263" t="inlineStr">
        <is>
          <t>Tasca metacrilato trasparente 2xA4</t>
        </is>
      </c>
      <c r="H817" s="264" t="n">
        <v>1</v>
      </c>
      <c r="I817" s="265" t="n">
        <v>22.647</v>
      </c>
      <c r="J817" s="214" t="n"/>
      <c r="K817" s="208" t="n"/>
      <c r="L817" s="424" t="n"/>
      <c r="M817" s="961" t="n"/>
      <c r="N817" s="214" t="n"/>
    </row>
    <row r="818">
      <c r="A818" s="207" t="n">
        <v>128469</v>
      </c>
      <c r="B818" s="209" t="inlineStr">
        <is>
          <t>Separatore Easyfacing - Profondita 485mm</t>
        </is>
      </c>
      <c r="C818" s="207" t="n">
        <v>50</v>
      </c>
      <c r="D818" s="960" t="n">
        <v>1.4935</v>
      </c>
      <c r="E818" s="214" t="n"/>
      <c r="F818" s="267" t="n">
        <v>113950</v>
      </c>
      <c r="G818" s="263" t="inlineStr">
        <is>
          <t>Distanziale base anodizzato testa diametro mm. 13 prezzo a kit di 4</t>
        </is>
      </c>
      <c r="H818" s="264" t="n">
        <v>8</v>
      </c>
      <c r="I818" s="265" t="n">
        <v>13.652</v>
      </c>
      <c r="J818" s="214" t="n"/>
      <c r="K818" s="208" t="n"/>
      <c r="L818" s="424" t="n"/>
      <c r="M818" s="961" t="n"/>
      <c r="N818" s="214" t="n"/>
    </row>
    <row r="819">
      <c r="A819" s="207" t="n">
        <v>128486</v>
      </c>
      <c r="B819" s="209" t="inlineStr">
        <is>
          <t>Binario Easyfacing 1325mm - Adesivo</t>
        </is>
      </c>
      <c r="C819" s="207" t="n">
        <v>10</v>
      </c>
      <c r="D819" s="960" t="n">
        <v>2.575</v>
      </c>
      <c r="E819" s="214" t="n"/>
      <c r="F819" s="267" t="n">
        <v>113951</v>
      </c>
      <c r="G819" s="263" t="inlineStr">
        <is>
          <t>Distanziale base cromato testa diametro mm. 13 prezzo a kit di 4</t>
        </is>
      </c>
      <c r="H819" s="264" t="n">
        <v>8</v>
      </c>
      <c r="I819" s="265" t="n">
        <v>13.368</v>
      </c>
      <c r="J819" s="214" t="n"/>
      <c r="K819" s="208" t="n"/>
      <c r="L819" s="424" t="n"/>
      <c r="M819" s="961" t="n"/>
      <c r="N819" s="214" t="n"/>
    </row>
    <row r="820">
      <c r="A820" s="207" t="n">
        <v>128482</v>
      </c>
      <c r="B820" s="209" t="inlineStr">
        <is>
          <t>Binario Easyfacing 1325mm - Magnetico</t>
        </is>
      </c>
      <c r="C820" s="207" t="n">
        <v>10</v>
      </c>
      <c r="D820" s="960" t="n">
        <v>3.605</v>
      </c>
      <c r="E820" s="214" t="n"/>
      <c r="F820" s="267" t="n">
        <v>113952</v>
      </c>
      <c r="G820" s="263" t="inlineStr">
        <is>
          <t>Distanziale base dorato testa diametro mm. 13 prezzo a kit di 4</t>
        </is>
      </c>
      <c r="H820" s="264" t="n">
        <v>8</v>
      </c>
      <c r="I820" s="265" t="n">
        <v>16.07</v>
      </c>
      <c r="J820" s="214" t="n"/>
      <c r="K820" s="208" t="n"/>
      <c r="L820" s="424" t="n"/>
      <c r="M820" s="961" t="n"/>
      <c r="N820" s="214" t="n"/>
    </row>
    <row r="821">
      <c r="A821" s="207" t="n">
        <v>145300</v>
      </c>
      <c r="B821" s="209" t="inlineStr">
        <is>
          <t>Distributore Acrilico Trasparente</t>
        </is>
      </c>
      <c r="C821" s="207" t="n">
        <v>1</v>
      </c>
      <c r="D821" s="960" t="n">
        <v>7.107</v>
      </c>
      <c r="E821" s="214" t="n"/>
      <c r="F821" s="267" t="n">
        <v>113955</v>
      </c>
      <c r="G821" s="263" t="inlineStr">
        <is>
          <t>Distanziale base anodizzato testa diametro mm. 19 prezzo a kit di 4</t>
        </is>
      </c>
      <c r="H821" s="264" t="n">
        <v>8</v>
      </c>
      <c r="I821" s="265" t="n">
        <v>23.891</v>
      </c>
      <c r="J821" s="214" t="n"/>
      <c r="K821" s="208" t="n"/>
      <c r="L821" s="424" t="n"/>
      <c r="M821" s="961" t="n"/>
      <c r="N821" s="214" t="n"/>
    </row>
    <row r="822">
      <c r="A822" s="207" t="n">
        <v>145106</v>
      </c>
      <c r="B822" s="209" t="inlineStr">
        <is>
          <t>Contenitore Per Merci In Offerta Quadrato - Petg Trasparente - Alto: 900mm</t>
        </is>
      </c>
      <c r="C822" s="207" t="n">
        <v>1</v>
      </c>
      <c r="D822" s="960" t="n">
        <v>91.67</v>
      </c>
      <c r="E822" s="214" t="n"/>
      <c r="F822" s="267" t="n">
        <v>113956</v>
      </c>
      <c r="G822" s="263" t="inlineStr">
        <is>
          <t>Distanziale base cromato testa diametro mm. 19 prezzo a kit di 4</t>
        </is>
      </c>
      <c r="H822" s="264" t="n">
        <v>8</v>
      </c>
      <c r="I822" s="265" t="n">
        <v>21.829</v>
      </c>
      <c r="J822" s="214" t="n"/>
      <c r="K822" s="208" t="n"/>
      <c r="L822" s="424" t="n"/>
      <c r="M822" s="961" t="n"/>
      <c r="N822" s="214" t="n"/>
    </row>
    <row r="823">
      <c r="A823" s="207" t="n">
        <v>145107</v>
      </c>
      <c r="B823" s="209" t="inlineStr">
        <is>
          <t>Separatore Contenitore</t>
        </is>
      </c>
      <c r="C823" s="207" t="n">
        <v>2</v>
      </c>
      <c r="D823" s="960" t="n">
        <v>13.8597</v>
      </c>
      <c r="E823" s="214" t="n"/>
      <c r="F823" s="267" t="n">
        <v>113960</v>
      </c>
      <c r="G823" s="263" t="inlineStr">
        <is>
          <t>Distanziale deluxe anodizzato testa diametro mm. 16</t>
        </is>
      </c>
      <c r="H823" s="264" t="n">
        <v>8</v>
      </c>
      <c r="I823" s="265" t="n">
        <v>22.113</v>
      </c>
      <c r="J823" s="214" t="n"/>
      <c r="K823" s="208" t="n"/>
      <c r="L823" s="424" t="n"/>
      <c r="M823" s="961" t="n"/>
      <c r="N823" s="214" t="n"/>
    </row>
    <row r="824">
      <c r="A824" s="207" t="n">
        <v>145101</v>
      </c>
      <c r="B824" s="209" t="inlineStr">
        <is>
          <t>Bana Cross Merchandising - 770mm</t>
        </is>
      </c>
      <c r="C824" s="207" t="n">
        <v>50</v>
      </c>
      <c r="D824" s="960" t="n">
        <v>0.618</v>
      </c>
      <c r="E824" s="214" t="n"/>
      <c r="F824" s="267" t="n">
        <v>113961</v>
      </c>
      <c r="G824" s="263" t="inlineStr">
        <is>
          <t>Distanziale deluxe cromato testa diametro mm. 16</t>
        </is>
      </c>
      <c r="H824" s="264" t="n">
        <v>8</v>
      </c>
      <c r="I824" s="265" t="n">
        <v>21.118</v>
      </c>
      <c r="J824" s="214" t="n"/>
      <c r="K824" s="208" t="n"/>
      <c r="L824" s="424" t="n"/>
      <c r="M824" s="961" t="n"/>
      <c r="N824" s="214" t="n"/>
    </row>
    <row r="825">
      <c r="A825" s="207" t="n">
        <v>145110</v>
      </c>
      <c r="B825" s="209" t="inlineStr">
        <is>
          <t>Bana Cross Merchandising - 740mm</t>
        </is>
      </c>
      <c r="C825" s="207" t="n">
        <v>10</v>
      </c>
      <c r="D825" s="960" t="n">
        <v>0.6489</v>
      </c>
      <c r="E825" s="214" t="n"/>
      <c r="F825" s="267" t="n">
        <v>113962</v>
      </c>
      <c r="G825" s="263" t="inlineStr">
        <is>
          <t>Distanziale deluxe dorato testa diametro mm. 16</t>
        </is>
      </c>
      <c r="H825" s="264" t="n">
        <v>8</v>
      </c>
      <c r="I825" s="265" t="n">
        <v>25.455</v>
      </c>
      <c r="J825" s="214" t="n"/>
      <c r="K825" s="208" t="n"/>
      <c r="L825" s="424" t="n"/>
      <c r="M825" s="961" t="n"/>
      <c r="N825" s="214" t="n"/>
    </row>
    <row r="826">
      <c r="A826" s="207" t="n">
        <v>145006</v>
      </c>
      <c r="B826" s="209" t="inlineStr">
        <is>
          <t>Banda Cross Merchandising Piegabile In 3 Parti</t>
        </is>
      </c>
      <c r="C826" s="207" t="n">
        <v>10</v>
      </c>
      <c r="D826" s="960" t="n">
        <v>0.6592</v>
      </c>
      <c r="E826" s="214" t="n"/>
      <c r="F826" s="267" t="n">
        <v>113963</v>
      </c>
      <c r="G826" s="263" t="inlineStr">
        <is>
          <t>Distanziale deluxe cromato nero testa diametro mm. 16</t>
        </is>
      </c>
      <c r="H826" s="264" t="n">
        <v>8</v>
      </c>
      <c r="I826" s="265" t="n">
        <v>12.088</v>
      </c>
      <c r="J826" s="214" t="n"/>
      <c r="K826" s="208" t="n"/>
      <c r="L826" s="424" t="n"/>
      <c r="M826" s="961" t="n"/>
      <c r="N826" s="214" t="n"/>
    </row>
    <row r="827">
      <c r="A827" s="207" t="n">
        <v>145112</v>
      </c>
      <c r="B827" s="209" t="inlineStr">
        <is>
          <t>Banda Cross Merchandising - 1 Parte</t>
        </is>
      </c>
      <c r="C827" s="207" t="n">
        <v>25</v>
      </c>
      <c r="D827" s="960" t="n">
        <v>0.6283</v>
      </c>
      <c r="E827" s="214" t="n"/>
      <c r="F827" s="267" t="n">
        <v>113965</v>
      </c>
      <c r="G827" s="263" t="inlineStr">
        <is>
          <t>Distanziale deluxe anodizzato testa diametro mm. 23</t>
        </is>
      </c>
      <c r="H827" s="264" t="n">
        <v>8</v>
      </c>
      <c r="I827" s="265" t="n">
        <v>21.758</v>
      </c>
      <c r="J827" s="214" t="n"/>
      <c r="K827" s="208" t="n"/>
      <c r="L827" s="424" t="n"/>
      <c r="M827" s="961" t="n"/>
      <c r="N827" s="214" t="n"/>
    </row>
    <row r="828">
      <c r="A828" s="207" t="n">
        <v>145001</v>
      </c>
      <c r="B828" s="209" t="inlineStr">
        <is>
          <t>Striscia Cross- Merchandising  - Con Porta Etichette - 41X64mm</t>
        </is>
      </c>
      <c r="C828" s="207" t="n">
        <v>50</v>
      </c>
      <c r="D828" s="960" t="n">
        <v>0.6798</v>
      </c>
      <c r="E828" s="214" t="n"/>
      <c r="F828" s="267" t="n">
        <v>113966</v>
      </c>
      <c r="G828" s="263" t="inlineStr">
        <is>
          <t>Distanziale deluxe cromato testa diametro mm. 23</t>
        </is>
      </c>
      <c r="H828" s="264" t="n">
        <v>8</v>
      </c>
      <c r="I828" s="265" t="n">
        <v>20.691</v>
      </c>
      <c r="J828" s="214" t="n"/>
      <c r="K828" s="208" t="n"/>
      <c r="L828" s="424" t="n"/>
      <c r="M828" s="961" t="n"/>
      <c r="N828" s="214" t="n"/>
    </row>
    <row r="829">
      <c r="A829" s="207" t="n">
        <v>145111</v>
      </c>
      <c r="B829" s="209" t="inlineStr">
        <is>
          <t>Striscia Cross- Merchandising  - Con Porta Etichette - 85X100mm</t>
        </is>
      </c>
      <c r="C829" s="207" t="n">
        <v>25</v>
      </c>
      <c r="D829" s="960" t="n">
        <v>0.7499</v>
      </c>
      <c r="E829" s="214" t="n"/>
      <c r="F829" s="267" t="n">
        <v>113967</v>
      </c>
      <c r="G829" s="263" t="inlineStr">
        <is>
          <t>Distanziale deluxe dorato testa diametro mm. 23</t>
        </is>
      </c>
      <c r="H829" s="264" t="n">
        <v>8</v>
      </c>
      <c r="I829" s="265" t="n">
        <v>22.895</v>
      </c>
      <c r="J829" s="214" t="n"/>
      <c r="K829" s="208" t="n"/>
      <c r="L829" s="424" t="n"/>
      <c r="M829" s="961" t="n"/>
      <c r="N829" s="214" t="n"/>
    </row>
    <row r="830">
      <c r="A830" s="207" t="n">
        <v>795030</v>
      </c>
      <c r="B830" s="209" t="inlineStr">
        <is>
          <t>Rotolo 1500 Attacchi</t>
        </is>
      </c>
      <c r="C830" s="207" t="n">
        <v>1</v>
      </c>
      <c r="D830" s="960" t="n">
        <v>29.149</v>
      </c>
      <c r="E830" s="214" t="n"/>
      <c r="F830" s="267" t="n">
        <v>113968</v>
      </c>
      <c r="G830" s="263" t="inlineStr">
        <is>
          <t>Distanziale deluxe cromato nero testa diametro mm. 23</t>
        </is>
      </c>
      <c r="H830" s="264" t="n">
        <v>8</v>
      </c>
      <c r="I830" s="265" t="n">
        <v>16.638</v>
      </c>
      <c r="J830" s="214" t="n"/>
      <c r="K830" s="208" t="n"/>
      <c r="L830" s="424" t="n"/>
      <c r="M830" s="961" t="n"/>
      <c r="N830" s="214" t="n"/>
    </row>
    <row r="831">
      <c r="A831" s="207" t="n">
        <v>795032</v>
      </c>
      <c r="B831" s="209" t="inlineStr">
        <is>
          <t>Porta Etichette Opzionale 30X80mm</t>
        </is>
      </c>
      <c r="C831" s="207" t="n">
        <v>100</v>
      </c>
      <c r="D831" s="960" t="n">
        <v>0.0464</v>
      </c>
      <c r="E831" s="214" t="n"/>
      <c r="F831" s="267" t="n">
        <v>113970</v>
      </c>
      <c r="G831" s="263" t="inlineStr">
        <is>
          <t>Distanziale poligonale triangolare</t>
        </is>
      </c>
      <c r="H831" s="264" t="n">
        <v>4</v>
      </c>
      <c r="I831" s="265" t="n">
        <v>20.482</v>
      </c>
      <c r="J831" s="214" t="n"/>
      <c r="K831" s="208" t="n"/>
      <c r="L831" s="424" t="n"/>
      <c r="M831" s="961" t="n"/>
      <c r="N831" s="214" t="n"/>
    </row>
    <row r="832">
      <c r="A832" s="207" t="n">
        <v>145150</v>
      </c>
      <c r="B832" s="209" t="inlineStr">
        <is>
          <t>Pinza Per Blister</t>
        </is>
      </c>
      <c r="C832" s="207" t="n">
        <v>100</v>
      </c>
      <c r="D832" s="960" t="n">
        <v>0.1133</v>
      </c>
      <c r="E832" s="214" t="n"/>
      <c r="F832" s="267" t="n">
        <v>113971</v>
      </c>
      <c r="G832" s="263" t="inlineStr">
        <is>
          <t>Distanziale poligonale quadrato</t>
        </is>
      </c>
      <c r="H832" s="264" t="n">
        <v>4</v>
      </c>
      <c r="I832" s="265" t="n">
        <v>20.482</v>
      </c>
      <c r="J832" s="214" t="n"/>
      <c r="K832" s="208" t="n"/>
      <c r="L832" s="424" t="n"/>
      <c r="M832" s="961" t="n"/>
      <c r="N832" s="214" t="n"/>
    </row>
    <row r="833">
      <c r="A833" s="207" t="n">
        <v>145010</v>
      </c>
      <c r="B833" s="209" t="inlineStr">
        <is>
          <t>Cross Merchandising Per Tubi</t>
        </is>
      </c>
      <c r="C833" s="207" t="n">
        <v>50</v>
      </c>
      <c r="D833" s="960" t="n">
        <v>0.9785</v>
      </c>
      <c r="E833" s="214" t="n"/>
      <c r="F833" s="267" t="n">
        <v>113972</v>
      </c>
      <c r="G833" s="263" t="inlineStr">
        <is>
          <t>Distanziale per targhe a bandiera anodizzato</t>
        </is>
      </c>
      <c r="H833" s="264" t="n">
        <v>4</v>
      </c>
      <c r="I833" s="265" t="n">
        <v>9.24</v>
      </c>
      <c r="J833" s="214" t="n"/>
      <c r="K833" s="208" t="n"/>
      <c r="L833" s="424" t="n"/>
      <c r="M833" s="961" t="n"/>
      <c r="N833" s="214" t="n"/>
    </row>
    <row r="834">
      <c r="A834" s="207" t="n">
        <v>145104</v>
      </c>
      <c r="B834" s="209" t="inlineStr">
        <is>
          <t>Cross-Merch Metallico</t>
        </is>
      </c>
      <c r="C834" s="207" t="n">
        <v>50</v>
      </c>
      <c r="D834" s="960" t="n">
        <v>4.9494</v>
      </c>
      <c r="E834" s="214" t="n"/>
      <c r="F834" s="267" t="n">
        <v>113973</v>
      </c>
      <c r="G834" s="263" t="inlineStr">
        <is>
          <t>Distanziale per targhe a bandiera cromato</t>
        </is>
      </c>
      <c r="H834" s="264" t="n">
        <v>4</v>
      </c>
      <c r="I834" s="265" t="n">
        <v>8.624000000000001</v>
      </c>
      <c r="J834" s="214" t="n"/>
      <c r="K834" s="208" t="n"/>
      <c r="L834" s="424" t="n"/>
      <c r="M834" s="961" t="n"/>
      <c r="N834" s="214" t="n"/>
    </row>
    <row r="835">
      <c r="A835" s="207" t="n">
        <v>743055</v>
      </c>
      <c r="B835" s="209" t="inlineStr">
        <is>
          <t>SuPPorto Pannello Inclinato - 60 X 40 mm</t>
        </is>
      </c>
      <c r="C835" s="207" t="n">
        <v>100</v>
      </c>
      <c r="D835" s="960" t="n">
        <v>0.0672</v>
      </c>
      <c r="E835" s="214" t="n"/>
      <c r="F835" s="267" t="n">
        <v>113980</v>
      </c>
      <c r="G835" s="263" t="inlineStr">
        <is>
          <t>Coprivite decorativo anodizzato</t>
        </is>
      </c>
      <c r="H835" s="264" t="n">
        <v>8</v>
      </c>
      <c r="I835" s="265" t="n">
        <v>7.395</v>
      </c>
      <c r="J835" s="214" t="n"/>
      <c r="K835" s="208" t="n"/>
      <c r="L835" s="424" t="n"/>
      <c r="M835" s="961" t="n"/>
      <c r="N835" s="214" t="n"/>
    </row>
    <row r="836">
      <c r="A836" s="207" t="n">
        <v>743007</v>
      </c>
      <c r="B836" s="209" t="inlineStr">
        <is>
          <t>SuPPorto Pannello Verticale  - 50 X 40 mm</t>
        </is>
      </c>
      <c r="C836" s="207" t="n">
        <v>100</v>
      </c>
      <c r="D836" s="960" t="n">
        <v>0.0672</v>
      </c>
      <c r="E836" s="214" t="n"/>
      <c r="F836" s="267" t="n">
        <v>113981</v>
      </c>
      <c r="G836" s="263" t="inlineStr">
        <is>
          <t>Coprivite decorativo cromato</t>
        </is>
      </c>
      <c r="H836" s="264" t="n">
        <v>8</v>
      </c>
      <c r="I836" s="265" t="n">
        <v>6.826</v>
      </c>
      <c r="J836" s="214" t="n"/>
      <c r="K836" s="208" t="n"/>
      <c r="L836" s="424" t="n"/>
      <c r="M836" s="961" t="n"/>
      <c r="N836" s="214" t="n"/>
    </row>
    <row r="837">
      <c r="A837" s="207" t="n">
        <v>753007</v>
      </c>
      <c r="B837" s="209" t="inlineStr">
        <is>
          <t>SuPPorto Pannello Con Adesivo</t>
        </is>
      </c>
      <c r="C837" s="207" t="n">
        <v>100</v>
      </c>
      <c r="D837" s="960" t="n">
        <v>0.1957</v>
      </c>
      <c r="E837" s="214" t="n"/>
      <c r="F837" s="267" t="n">
        <v>113982</v>
      </c>
      <c r="G837" s="263" t="inlineStr">
        <is>
          <t>Coprivite decorativo dorato</t>
        </is>
      </c>
      <c r="H837" s="264" t="n">
        <v>8</v>
      </c>
      <c r="I837" s="265" t="n">
        <v>8.390000000000001</v>
      </c>
      <c r="J837" s="214" t="n"/>
      <c r="K837" s="208" t="n"/>
      <c r="L837" s="424" t="n"/>
      <c r="M837" s="961" t="n"/>
      <c r="N837" s="214" t="n"/>
    </row>
    <row r="838">
      <c r="A838" s="207" t="n">
        <v>753018</v>
      </c>
      <c r="B838" s="209" t="inlineStr">
        <is>
          <t>Porta Etichetta Legno 25X25X20mm - Diritto</t>
        </is>
      </c>
      <c r="C838" s="207" t="n">
        <v>10</v>
      </c>
      <c r="D838" s="960" t="n">
        <v>1.1948</v>
      </c>
      <c r="E838" s="214" t="n"/>
      <c r="F838" s="267" t="n">
        <v>113990</v>
      </c>
      <c r="G838" s="263" t="inlineStr">
        <is>
          <t>Espositore LED monofacciale A4</t>
        </is>
      </c>
      <c r="H838" s="264" t="n">
        <v>1</v>
      </c>
      <c r="I838" s="265" t="n">
        <v>102.689</v>
      </c>
      <c r="J838" s="214" t="n"/>
      <c r="K838" s="208" t="n"/>
      <c r="L838" s="424" t="n"/>
      <c r="M838" s="961" t="n"/>
      <c r="N838" s="214" t="n"/>
    </row>
    <row r="839">
      <c r="A839" s="207" t="n">
        <v>753019</v>
      </c>
      <c r="B839" s="209" t="inlineStr">
        <is>
          <t>Porta Etichetta Legno 25X25X20mm - Inclinato</t>
        </is>
      </c>
      <c r="C839" s="207" t="n">
        <v>10</v>
      </c>
      <c r="D839" s="960" t="n">
        <v>1.1948</v>
      </c>
      <c r="E839" s="214" t="n"/>
      <c r="F839" s="267" t="n">
        <v>113991</v>
      </c>
      <c r="G839" s="263" t="inlineStr">
        <is>
          <t>Espositore LED monofacciale A3</t>
        </is>
      </c>
      <c r="H839" s="264" t="n">
        <v>1</v>
      </c>
      <c r="I839" s="265" t="n">
        <v>146.159</v>
      </c>
      <c r="J839" s="214" t="n"/>
      <c r="K839" s="208" t="n"/>
      <c r="L839" s="424" t="n"/>
      <c r="M839" s="961" t="n"/>
      <c r="N839" s="214" t="n"/>
    </row>
    <row r="840">
      <c r="A840" s="207" t="n">
        <v>753013</v>
      </c>
      <c r="B840" s="209" t="inlineStr">
        <is>
          <t>Base Porta Visual M-70X105 mm Trasparente</t>
        </is>
      </c>
      <c r="C840" s="207" t="n">
        <v>10</v>
      </c>
      <c r="D840" s="960" t="n">
        <v>1.9467</v>
      </c>
      <c r="E840" s="214" t="n"/>
      <c r="F840" s="267" t="n">
        <v>113992</v>
      </c>
      <c r="G840" s="263" t="inlineStr">
        <is>
          <t>Espositore LED monofacciale A2</t>
        </is>
      </c>
      <c r="H840" s="264" t="n">
        <v>1</v>
      </c>
      <c r="I840" s="265" t="n">
        <v>203.166</v>
      </c>
      <c r="J840" s="214" t="n"/>
      <c r="K840" s="208" t="n"/>
      <c r="L840" s="424" t="n"/>
      <c r="M840" s="961" t="n"/>
      <c r="N840" s="214" t="n"/>
    </row>
    <row r="841">
      <c r="A841" s="207" t="n">
        <v>753015</v>
      </c>
      <c r="B841" s="209" t="inlineStr">
        <is>
          <t>Base M-70X105 mm Nero</t>
        </is>
      </c>
      <c r="C841" s="207" t="n">
        <v>10</v>
      </c>
      <c r="D841" s="960" t="n">
        <v>1.8334</v>
      </c>
      <c r="E841" s="214" t="n"/>
      <c r="F841" s="267" t="n">
        <v>113993</v>
      </c>
      <c r="G841" s="263" t="inlineStr">
        <is>
          <t>Espositore LED monofacciale A1</t>
        </is>
      </c>
      <c r="H841" s="264" t="n">
        <v>1</v>
      </c>
      <c r="I841" s="265" t="n">
        <v>302.551</v>
      </c>
      <c r="J841" s="214" t="n"/>
      <c r="K841" s="208" t="n"/>
      <c r="L841" s="424" t="n"/>
      <c r="M841" s="961" t="n"/>
      <c r="N841" s="214" t="n"/>
    </row>
    <row r="842">
      <c r="A842" s="207" t="n">
        <v>163650</v>
      </c>
      <c r="B842" s="209" t="inlineStr">
        <is>
          <t>Porta-Etichette Con Base Rotonda -Asta 50mm - Trasparente</t>
        </is>
      </c>
      <c r="C842" s="207" t="n">
        <v>10</v>
      </c>
      <c r="D842" s="960" t="n">
        <v>0.5459000000000001</v>
      </c>
      <c r="E842" s="214" t="n"/>
      <c r="F842" s="267" t="n">
        <v>113994</v>
      </c>
      <c r="G842" s="263" t="inlineStr">
        <is>
          <t>Espositore LED monofacciale A0</t>
        </is>
      </c>
      <c r="H842" s="264" t="n">
        <v>1</v>
      </c>
      <c r="I842" s="265" t="n">
        <v>530.011</v>
      </c>
      <c r="J842" s="214" t="n"/>
      <c r="K842" s="208" t="n"/>
      <c r="L842" s="424" t="n"/>
      <c r="M842" s="961" t="n"/>
      <c r="N842" s="214" t="n"/>
    </row>
    <row r="843">
      <c r="A843" s="207" t="n">
        <v>163651</v>
      </c>
      <c r="B843" s="209" t="inlineStr">
        <is>
          <t>Porta-Etichette Con Base Rotonda -Asta 50mm - Nero</t>
        </is>
      </c>
      <c r="C843" s="207" t="n">
        <v>10</v>
      </c>
      <c r="D843" s="960" t="n">
        <v>0.6901</v>
      </c>
      <c r="E843" s="214" t="n"/>
      <c r="F843" s="267" t="n">
        <v>113996</v>
      </c>
      <c r="G843" s="263" t="inlineStr">
        <is>
          <t>Espositore LED monofacciale 70x100</t>
        </is>
      </c>
      <c r="H843" s="264" t="n">
        <v>1</v>
      </c>
      <c r="I843" s="265" t="n">
        <v>339.066</v>
      </c>
      <c r="J843" s="214" t="n"/>
      <c r="K843" s="208" t="n"/>
      <c r="L843" s="424" t="n"/>
      <c r="M843" s="961" t="n"/>
      <c r="N843" s="214" t="n"/>
    </row>
    <row r="844">
      <c r="A844" s="207" t="n">
        <v>163653</v>
      </c>
      <c r="B844" s="209" t="inlineStr">
        <is>
          <t>Porta-Etichette Con Base Rettangolare - Asta 100mm</t>
        </is>
      </c>
      <c r="C844" s="207" t="n">
        <v>10</v>
      </c>
      <c r="D844" s="960" t="n">
        <v>0.6489</v>
      </c>
      <c r="E844" s="214" t="n"/>
      <c r="F844" s="267" t="n">
        <v>113997</v>
      </c>
      <c r="G844" s="263" t="inlineStr">
        <is>
          <t>Espositore LED monofacciale 100x140</t>
        </is>
      </c>
      <c r="H844" s="264" t="n">
        <v>1</v>
      </c>
      <c r="I844" s="265" t="n">
        <v>709.4299999999999</v>
      </c>
      <c r="J844" s="214" t="n"/>
      <c r="K844" s="208" t="n"/>
      <c r="L844" s="424" t="n"/>
      <c r="M844" s="961" t="n"/>
      <c r="N844" s="214" t="n"/>
    </row>
    <row r="845">
      <c r="A845" s="207" t="n">
        <v>163652</v>
      </c>
      <c r="B845" s="209" t="inlineStr">
        <is>
          <t>Porta-Etichette Con Base Rettangolare - Asta 50mm</t>
        </is>
      </c>
      <c r="C845" s="207" t="n">
        <v>10</v>
      </c>
      <c r="D845" s="960" t="n">
        <v>0.5562</v>
      </c>
      <c r="E845" s="214" t="n"/>
      <c r="F845" s="267" t="n">
        <v>114006</v>
      </c>
      <c r="G845" s="263" t="inlineStr">
        <is>
          <t>Prong lock® trasparente</t>
        </is>
      </c>
      <c r="H845" s="264" t="n">
        <v>100</v>
      </c>
      <c r="I845" s="265" t="n">
        <v>0.554</v>
      </c>
      <c r="J845" s="214" t="n"/>
      <c r="K845" s="208" t="n"/>
      <c r="L845" s="424" t="n"/>
      <c r="M845" s="961" t="n"/>
      <c r="N845" s="214" t="n"/>
    </row>
    <row r="846" ht="12.75" customHeight="1">
      <c r="A846" s="207" t="n">
        <v>163402</v>
      </c>
      <c r="B846" s="209" t="inlineStr">
        <is>
          <t>Porta Etichette Articolato Con Base A Ventose</t>
        </is>
      </c>
      <c r="C846" s="209" t="n">
        <v>25</v>
      </c>
      <c r="D846" s="960" t="n">
        <v>0.65</v>
      </c>
      <c r="E846" s="215" t="n"/>
      <c r="F846" s="267" t="n">
        <v>114050</v>
      </c>
      <c r="G846" s="263" t="inlineStr">
        <is>
          <t>Chiavetta per sistema prong lock ®</t>
        </is>
      </c>
      <c r="H846" s="264" t="n">
        <v>1</v>
      </c>
      <c r="I846" s="265" t="n">
        <v>0.317</v>
      </c>
      <c r="J846" s="215" t="n"/>
      <c r="K846" s="209" t="n"/>
      <c r="L846" s="425" t="n"/>
      <c r="M846" s="962" t="n"/>
      <c r="N846" s="215" t="n"/>
    </row>
    <row r="847">
      <c r="A847" s="207" t="n">
        <v>163660</v>
      </c>
      <c r="B847" s="209" t="inlineStr">
        <is>
          <t>Porta Etichette Articolato Con Base Magnetica</t>
        </is>
      </c>
      <c r="C847" s="207" t="n">
        <v>25</v>
      </c>
      <c r="D847" s="960" t="n">
        <v>0.9927</v>
      </c>
      <c r="E847" s="214" t="n"/>
      <c r="F847" s="267" t="n">
        <v>114070</v>
      </c>
      <c r="G847" s="263" t="inlineStr">
        <is>
          <t>Nastro per sistema prong lock ®</t>
        </is>
      </c>
      <c r="H847" s="264" t="n">
        <v>1</v>
      </c>
      <c r="I847" s="265" t="n">
        <v>1.285</v>
      </c>
      <c r="J847" s="214" t="n"/>
      <c r="K847" s="208" t="n"/>
      <c r="L847" s="424" t="n"/>
      <c r="M847" s="961" t="n"/>
      <c r="N847" s="214" t="n"/>
    </row>
    <row r="848">
      <c r="A848" s="207" t="n">
        <v>163662</v>
      </c>
      <c r="B848" s="209" t="inlineStr">
        <is>
          <t>Porta Etichetta  Mag - Alt 50 mm</t>
        </is>
      </c>
      <c r="C848" s="207" t="n">
        <v>25</v>
      </c>
      <c r="D848" s="960" t="n">
        <v>0.9167</v>
      </c>
      <c r="E848" s="214" t="n"/>
      <c r="F848" s="267" t="n">
        <v>114110</v>
      </c>
      <c r="G848" s="263" t="inlineStr">
        <is>
          <t>Kit campione prong lock ®</t>
        </is>
      </c>
      <c r="H848" s="264" t="n">
        <v>25</v>
      </c>
      <c r="I848" s="265" t="n">
        <v>4.688</v>
      </c>
      <c r="J848" s="214" t="n"/>
      <c r="K848" s="208" t="n"/>
      <c r="L848" s="424" t="n"/>
      <c r="M848" s="961" t="n"/>
      <c r="N848" s="214" t="n"/>
    </row>
    <row r="849">
      <c r="A849" s="207" t="n">
        <v>163663</v>
      </c>
      <c r="B849" s="209" t="inlineStr">
        <is>
          <t>Porta Etichetta  Mag - Alt 100 mm</t>
        </is>
      </c>
      <c r="C849" s="209" t="n">
        <v>50</v>
      </c>
      <c r="D849" s="960" t="n">
        <v>0.9785</v>
      </c>
      <c r="E849" s="214" t="n"/>
      <c r="F849" s="267" t="n">
        <v>114120</v>
      </c>
      <c r="G849" s="263" t="inlineStr">
        <is>
          <t>Antitaccheggio per broche doppia rosso</t>
        </is>
      </c>
      <c r="H849" s="264" t="n">
        <v>25</v>
      </c>
      <c r="I849" s="265" t="n">
        <v>1.416</v>
      </c>
      <c r="J849" s="214" t="n"/>
      <c r="K849" s="209" t="n"/>
      <c r="L849" s="425" t="n"/>
      <c r="M849" s="961" t="n"/>
      <c r="N849" s="214" t="n"/>
    </row>
    <row r="850" ht="12.75" customHeight="1">
      <c r="A850" s="207" t="n">
        <v>163668</v>
      </c>
      <c r="B850" s="209" t="inlineStr">
        <is>
          <t>Clip Multi Angolare Nero Plastica</t>
        </is>
      </c>
      <c r="C850" s="209" t="n">
        <v>50</v>
      </c>
      <c r="D850" s="960" t="n">
        <v>0.9785</v>
      </c>
      <c r="E850" s="215" t="n"/>
      <c r="F850" s="267" t="n">
        <v>114121</v>
      </c>
      <c r="G850" s="263" t="inlineStr">
        <is>
          <t>Antitaccheggio per broche singola rosso</t>
        </is>
      </c>
      <c r="H850" s="264" t="n">
        <v>100</v>
      </c>
      <c r="I850" s="265" t="n">
        <v>0.583</v>
      </c>
      <c r="J850" s="215" t="n"/>
      <c r="K850" s="209" t="n"/>
      <c r="L850" s="425" t="n"/>
      <c r="M850" s="962" t="n"/>
      <c r="N850" s="215" t="n"/>
    </row>
    <row r="851">
      <c r="A851" s="207" t="n">
        <v>163607</v>
      </c>
      <c r="B851" s="209" t="inlineStr">
        <is>
          <t>Basetta &amp; Pinza Di Metallo 80 mm</t>
        </is>
      </c>
      <c r="C851" s="209" t="n">
        <v>10</v>
      </c>
      <c r="D851" s="960" t="n">
        <v>4.017</v>
      </c>
      <c r="E851" s="214" t="n"/>
      <c r="F851" s="267" t="n">
        <v>114125</v>
      </c>
      <c r="G851" s="263" t="inlineStr">
        <is>
          <t>Antitaccheggio per broche doppia bianco</t>
        </is>
      </c>
      <c r="H851" s="264" t="n">
        <v>25</v>
      </c>
      <c r="I851" s="265" t="n">
        <v>1.416</v>
      </c>
      <c r="J851" s="214" t="n"/>
      <c r="K851" s="209" t="n"/>
      <c r="L851" s="425" t="n"/>
      <c r="M851" s="961" t="n"/>
      <c r="N851" s="214" t="n"/>
    </row>
    <row r="852" ht="12.75" customHeight="1">
      <c r="A852" s="207" t="n">
        <v>163608</v>
      </c>
      <c r="B852" s="209" t="inlineStr">
        <is>
          <t>Basetta &amp; Pinza Di Metallo 100 mm</t>
        </is>
      </c>
      <c r="C852" s="209" t="n">
        <v>10</v>
      </c>
      <c r="D852" s="960" t="n">
        <v>4.1</v>
      </c>
      <c r="E852" s="215" t="n"/>
      <c r="F852" s="267" t="n">
        <v>114126</v>
      </c>
      <c r="G852" s="263" t="inlineStr">
        <is>
          <t>Antitaccheggio per broche singola bianco</t>
        </is>
      </c>
      <c r="H852" s="264" t="n">
        <v>50</v>
      </c>
      <c r="I852" s="265" t="n">
        <v>0.583</v>
      </c>
      <c r="J852" s="215" t="n"/>
      <c r="K852" s="209" t="n"/>
      <c r="L852" s="425" t="n"/>
      <c r="M852" s="962" t="n"/>
      <c r="N852" s="215" t="n"/>
    </row>
    <row r="853">
      <c r="A853" s="207" t="n">
        <v>792226</v>
      </c>
      <c r="B853" s="209" t="inlineStr">
        <is>
          <t>SuPPorto Pannello 20 X 20 mm - Adesivo Permanente</t>
        </is>
      </c>
      <c r="C853" s="209" t="n">
        <v>100</v>
      </c>
      <c r="D853" s="960" t="n">
        <v>0.0897</v>
      </c>
      <c r="E853" s="214" t="n"/>
      <c r="F853" s="267" t="n">
        <v>114130</v>
      </c>
      <c r="G853" s="263" t="inlineStr">
        <is>
          <t>Chiave magnetica</t>
        </is>
      </c>
      <c r="H853" s="264" t="n">
        <v>1</v>
      </c>
      <c r="I853" s="265" t="n">
        <v>17.487</v>
      </c>
      <c r="J853" s="214" t="n"/>
      <c r="K853" s="209" t="n"/>
      <c r="L853" s="425" t="n"/>
      <c r="M853" s="961" t="n"/>
      <c r="N853" s="214" t="n"/>
    </row>
    <row r="854">
      <c r="A854" s="207" t="n">
        <v>792227</v>
      </c>
      <c r="B854" s="209" t="inlineStr">
        <is>
          <t>SuPPorto Pannello Dia 20mm - Adesivo Permanente</t>
        </is>
      </c>
      <c r="C854" s="209" t="n">
        <v>100</v>
      </c>
      <c r="D854" s="960" t="n">
        <v>0.09859999999999999</v>
      </c>
      <c r="E854" s="214" t="n"/>
      <c r="F854" s="267" t="n">
        <v>114150</v>
      </c>
      <c r="G854" s="263" t="inlineStr">
        <is>
          <t>Cavo di sicurezza pull box mm. 44x44</t>
        </is>
      </c>
      <c r="H854" s="264" t="n">
        <v>20</v>
      </c>
      <c r="I854" s="265" t="n">
        <v>5.596</v>
      </c>
      <c r="J854" s="214" t="n"/>
      <c r="K854" s="209" t="n"/>
      <c r="L854" s="425" t="n"/>
      <c r="M854" s="961" t="n"/>
      <c r="N854" s="214" t="n"/>
    </row>
    <row r="855">
      <c r="A855" s="207" t="n">
        <v>792228</v>
      </c>
      <c r="B855" s="209" t="inlineStr">
        <is>
          <t>SuPPorto Pannello Diam 20 mm  - Adesivo Non Permanente</t>
        </is>
      </c>
      <c r="C855" s="209" t="n">
        <v>100</v>
      </c>
      <c r="D855" s="960" t="n">
        <v>0.09379999999999999</v>
      </c>
      <c r="E855" s="214" t="n"/>
      <c r="F855" s="267" t="n">
        <v>114151</v>
      </c>
      <c r="G855" s="263" t="inlineStr">
        <is>
          <t>Cavo di sicurezza pull box mm. 50x32</t>
        </is>
      </c>
      <c r="H855" s="264" t="n">
        <v>20</v>
      </c>
      <c r="I855" s="265" t="n">
        <v>4.397</v>
      </c>
      <c r="J855" s="214" t="n"/>
      <c r="K855" s="209" t="n"/>
      <c r="L855" s="425" t="n"/>
      <c r="M855" s="961" t="n"/>
      <c r="N855" s="214" t="n"/>
    </row>
    <row r="856">
      <c r="A856" s="207" t="n">
        <v>163670</v>
      </c>
      <c r="B856" s="209" t="inlineStr">
        <is>
          <t>Pinza A Clip Trasparente</t>
        </is>
      </c>
      <c r="C856" s="209" t="n">
        <v>100</v>
      </c>
      <c r="D856" s="960" t="n">
        <v>0.2818</v>
      </c>
      <c r="E856" s="214" t="n"/>
      <c r="F856" s="267" t="n">
        <v>114260</v>
      </c>
      <c r="G856" s="263" t="inlineStr">
        <is>
          <t>Porta brochures da banco 1/3 A4</t>
        </is>
      </c>
      <c r="H856" s="264" t="n">
        <v>40</v>
      </c>
      <c r="I856" s="265" t="n">
        <v>2.345</v>
      </c>
      <c r="J856" s="214" t="n"/>
      <c r="K856" s="209" t="n"/>
      <c r="L856" s="425" t="n"/>
      <c r="M856" s="961" t="n"/>
      <c r="N856" s="214" t="n"/>
    </row>
    <row r="857" ht="12.75" customHeight="1">
      <c r="A857" s="207" t="n">
        <v>163671</v>
      </c>
      <c r="B857" s="209" t="inlineStr">
        <is>
          <t>Pinza Per Asta</t>
        </is>
      </c>
      <c r="C857" s="209" t="n">
        <v>100</v>
      </c>
      <c r="D857" s="960" t="n">
        <v>0.515</v>
      </c>
      <c r="E857" s="215" t="n"/>
      <c r="F857" s="267" t="n">
        <v>114261</v>
      </c>
      <c r="G857" s="263" t="inlineStr">
        <is>
          <t>Porta brochures da banco 1/3 A4 - 2 tasche</t>
        </is>
      </c>
      <c r="H857" s="264" t="n">
        <v>32</v>
      </c>
      <c r="I857" s="265" t="n">
        <v>4.5</v>
      </c>
      <c r="J857" s="215" t="n"/>
      <c r="K857" s="209" t="n"/>
      <c r="L857" s="425" t="n"/>
      <c r="M857" s="962" t="n"/>
      <c r="N857" s="215" t="n"/>
    </row>
    <row r="858">
      <c r="A858" s="207" t="n">
        <v>163672</v>
      </c>
      <c r="B858" s="209" t="inlineStr">
        <is>
          <t>Pinza Per Cartoni</t>
        </is>
      </c>
      <c r="C858" s="209" t="n">
        <v>10</v>
      </c>
      <c r="D858" s="960" t="n">
        <v>1.9055</v>
      </c>
      <c r="E858" s="214" t="n"/>
      <c r="F858" s="267" t="n">
        <v>114262</v>
      </c>
      <c r="G858" s="263" t="inlineStr">
        <is>
          <t>Porta brochures da banco 1/3 A4 - 3 tasche con fori</t>
        </is>
      </c>
      <c r="H858" s="264" t="n">
        <v>20</v>
      </c>
      <c r="I858" s="265" t="n">
        <v>7.35</v>
      </c>
      <c r="J858" s="214" t="n"/>
      <c r="K858" s="209" t="n"/>
      <c r="L858" s="425" t="n"/>
      <c r="M858" s="961" t="n"/>
      <c r="N858" s="214" t="n"/>
    </row>
    <row r="859" ht="12.75" customHeight="1">
      <c r="A859" s="207" t="n">
        <v>163674</v>
      </c>
      <c r="B859" s="209" t="inlineStr">
        <is>
          <t>Porta Etichette Bottiglie</t>
        </is>
      </c>
      <c r="C859" s="209" t="n">
        <v>1</v>
      </c>
      <c r="D859" s="960" t="n">
        <v>2.3793</v>
      </c>
      <c r="E859" s="215" t="n"/>
      <c r="F859" s="267" t="n">
        <v>114263</v>
      </c>
      <c r="G859" s="263" t="inlineStr">
        <is>
          <t>Porta brochures da banco 1/3 A4 - 4 tasche</t>
        </is>
      </c>
      <c r="H859" s="264" t="n">
        <v>20</v>
      </c>
      <c r="I859" s="265" t="n">
        <v>6.8</v>
      </c>
      <c r="J859" s="215" t="n"/>
      <c r="K859" s="209" t="n"/>
      <c r="L859" s="425" t="n"/>
      <c r="M859" s="962" t="n"/>
      <c r="N859" s="215" t="n"/>
    </row>
    <row r="860" ht="12.75" customHeight="1">
      <c r="A860" s="207" t="n">
        <v>163407</v>
      </c>
      <c r="B860" s="209" t="inlineStr">
        <is>
          <t>Pinza Plastica 50 X 96 mm</t>
        </is>
      </c>
      <c r="C860" s="209" t="n">
        <v>25</v>
      </c>
      <c r="D860" s="960" t="n">
        <v>0.618</v>
      </c>
      <c r="E860" s="215" t="n"/>
      <c r="F860" s="267" t="n">
        <v>114264</v>
      </c>
      <c r="G860" s="263" t="inlineStr">
        <is>
          <t>Porta brochures da banco 1/3 A4 - 4 tasche con fori e separatore</t>
        </is>
      </c>
      <c r="H860" s="264" t="n">
        <v>16</v>
      </c>
      <c r="I860" s="265" t="n">
        <v>13.848</v>
      </c>
      <c r="J860" s="215" t="n"/>
      <c r="K860" s="209" t="n"/>
      <c r="L860" s="425" t="n"/>
      <c r="M860" s="962" t="n"/>
      <c r="N860" s="215" t="n"/>
    </row>
    <row r="861">
      <c r="A861" s="207" t="n">
        <v>163401</v>
      </c>
      <c r="B861" s="209" t="inlineStr">
        <is>
          <t>Pinza Plastica 25 X 70 mm</t>
        </is>
      </c>
      <c r="C861" s="207" t="n">
        <v>50</v>
      </c>
      <c r="D861" s="960" t="n">
        <v>0.513</v>
      </c>
      <c r="E861" s="214" t="n"/>
      <c r="F861" s="267" t="n">
        <v>114265</v>
      </c>
      <c r="G861" s="263" t="inlineStr">
        <is>
          <t>Porta brochures da banco A4 - 4 tasche doppio con fori</t>
        </is>
      </c>
      <c r="H861" s="264" t="n">
        <v>8</v>
      </c>
      <c r="I861" s="265" t="n">
        <v>17.55</v>
      </c>
      <c r="J861" s="214" t="n"/>
      <c r="K861" s="209" t="n"/>
      <c r="L861" s="425" t="n"/>
      <c r="M861" s="961" t="n"/>
      <c r="N861" s="214" t="n"/>
    </row>
    <row r="862">
      <c r="A862" s="207" t="n">
        <v>163404</v>
      </c>
      <c r="B862" s="209" t="inlineStr">
        <is>
          <t>Pinza Plastica 25 X 70 mm - Nero</t>
        </is>
      </c>
      <c r="C862" s="207" t="n">
        <v>25</v>
      </c>
      <c r="D862" s="960" t="n">
        <v>0.515</v>
      </c>
      <c r="E862" s="214" t="n"/>
      <c r="F862" s="267" t="n">
        <v>114266</v>
      </c>
      <c r="G862" s="263" t="inlineStr">
        <is>
          <t>Porta brochures da banco A4 - 4 tasche triplo con fori</t>
        </is>
      </c>
      <c r="H862" s="264" t="n">
        <v>8</v>
      </c>
      <c r="I862" s="265" t="n">
        <v>29.5</v>
      </c>
      <c r="J862" s="214" t="n"/>
      <c r="K862" s="209" t="n"/>
      <c r="L862" s="425" t="n"/>
      <c r="M862" s="961" t="n"/>
      <c r="N862" s="214" t="n"/>
    </row>
    <row r="863">
      <c r="A863" s="207" t="n">
        <v>163410</v>
      </c>
      <c r="B863" s="209" t="inlineStr">
        <is>
          <t>Pinza Plastica DoPPia</t>
        </is>
      </c>
      <c r="C863" s="207" t="n">
        <v>25</v>
      </c>
      <c r="D863" s="960" t="n">
        <v>0.7519</v>
      </c>
      <c r="E863" s="214" t="n"/>
      <c r="F863" s="267" t="n">
        <v>114267</v>
      </c>
      <c r="G863" s="263" t="inlineStr">
        <is>
          <t>Porta brochures orizzontale da banco 1/3 A4 - 1 tasca con fori</t>
        </is>
      </c>
      <c r="H863" s="264" t="n">
        <v>48</v>
      </c>
      <c r="I863" s="265" t="n">
        <v>5.3</v>
      </c>
      <c r="J863" s="214" t="n"/>
      <c r="K863" s="209" t="n"/>
      <c r="L863" s="425" t="n"/>
      <c r="M863" s="961" t="n"/>
      <c r="N863" s="214" t="n"/>
    </row>
    <row r="864">
      <c r="A864" s="207" t="n">
        <v>163408</v>
      </c>
      <c r="B864" s="209" t="inlineStr">
        <is>
          <t>Pinza Piatta Dia 27mm Adesiva</t>
        </is>
      </c>
      <c r="C864" s="207" t="n">
        <v>10</v>
      </c>
      <c r="D864" s="960" t="n">
        <v>0.6218</v>
      </c>
      <c r="E864" s="214" t="n"/>
      <c r="F864" s="267" t="n">
        <v>114268</v>
      </c>
      <c r="G864" s="263" t="inlineStr">
        <is>
          <t>Porta brochures orizzontale da banco 1/3 A4 - 3 tasche con fori</t>
        </is>
      </c>
      <c r="H864" s="264" t="n">
        <v>24</v>
      </c>
      <c r="I864" s="265" t="n">
        <v>7.518</v>
      </c>
      <c r="J864" s="214" t="n"/>
      <c r="K864" s="209" t="n"/>
      <c r="L864" s="425" t="n"/>
      <c r="M864" s="961" t="n"/>
      <c r="N864" s="214" t="n"/>
    </row>
    <row r="865">
      <c r="A865" s="207" t="n">
        <v>163409</v>
      </c>
      <c r="B865" s="209" t="inlineStr">
        <is>
          <t>Pinza Plastica 80 X 100 mm</t>
        </is>
      </c>
      <c r="C865" s="207" t="n">
        <v>25</v>
      </c>
      <c r="D865" s="960" t="n">
        <v>0.618</v>
      </c>
      <c r="E865" s="214" t="n"/>
      <c r="F865" s="262" t="n">
        <v>114269</v>
      </c>
      <c r="G865" s="263" t="inlineStr">
        <is>
          <t>Porta brochures orizzontale da banco 1/3 A4 - 4 tasche con fori</t>
        </is>
      </c>
      <c r="H865" s="264" t="n">
        <v>24</v>
      </c>
      <c r="I865" s="265" t="n">
        <v>8.25</v>
      </c>
      <c r="J865" s="214" t="n"/>
      <c r="K865" s="209" t="n"/>
      <c r="L865" s="425" t="n"/>
      <c r="M865" s="961" t="n"/>
      <c r="N865" s="214" t="n"/>
    </row>
    <row r="866">
      <c r="A866" s="207" t="n">
        <v>163413</v>
      </c>
      <c r="B866" s="209" t="inlineStr">
        <is>
          <t>Pinza A Molla - Base Per Asta</t>
        </is>
      </c>
      <c r="C866" s="207" t="n">
        <v>25</v>
      </c>
      <c r="D866" s="960" t="n">
        <v>1.5965</v>
      </c>
      <c r="E866" s="214" t="n"/>
      <c r="F866" s="262" t="n">
        <v>114270</v>
      </c>
      <c r="G866" s="263" t="inlineStr">
        <is>
          <t>Porta brochures da parete 1/3 A4 - 1 tasca con clip con fori</t>
        </is>
      </c>
      <c r="H866" s="264" t="n">
        <v>100</v>
      </c>
      <c r="I866" s="265" t="n">
        <v>2.75</v>
      </c>
      <c r="J866" s="214" t="n"/>
      <c r="K866" s="209" t="n"/>
      <c r="L866" s="425" t="n"/>
      <c r="M866" s="961" t="n"/>
      <c r="N866" s="214" t="n"/>
    </row>
    <row r="867">
      <c r="A867" s="207" t="n">
        <v>163411</v>
      </c>
      <c r="B867" s="209" t="inlineStr">
        <is>
          <t>Pinza Plastica Ruotabile</t>
        </is>
      </c>
      <c r="C867" s="207" t="n">
        <v>25</v>
      </c>
      <c r="D867" s="960" t="n">
        <v>1.854</v>
      </c>
      <c r="E867" s="214" t="n"/>
      <c r="F867" s="262" t="n">
        <v>114271</v>
      </c>
      <c r="G867" s="263" t="inlineStr">
        <is>
          <t>Porta brochures da parete 1/3 A4 - 1 tasca con fori</t>
        </is>
      </c>
      <c r="H867" s="264" t="n">
        <v>100</v>
      </c>
      <c r="I867" s="265" t="n">
        <v>3.094</v>
      </c>
      <c r="J867" s="214" t="n"/>
      <c r="K867" s="209" t="n"/>
      <c r="L867" s="425" t="n"/>
      <c r="M867" s="961" t="n"/>
      <c r="N867" s="214" t="n"/>
    </row>
    <row r="868">
      <c r="A868" s="207" t="n">
        <v>163412</v>
      </c>
      <c r="B868" s="209" t="inlineStr">
        <is>
          <t>Pinza Plastica Con Angolo Variabile</t>
        </is>
      </c>
      <c r="C868" s="207" t="n">
        <v>25</v>
      </c>
      <c r="D868" s="960" t="n">
        <v>1.545</v>
      </c>
      <c r="E868" s="214" t="n"/>
      <c r="F868" s="262" t="n">
        <v>114272</v>
      </c>
      <c r="G868" s="263" t="inlineStr">
        <is>
          <t>Porta brochures orizzontale da parete 1/3 A4 - 1 tasca con fori</t>
        </is>
      </c>
      <c r="H868" s="264" t="n">
        <v>84</v>
      </c>
      <c r="I868" s="265" t="n">
        <v>5.3</v>
      </c>
      <c r="J868" s="214" t="n"/>
      <c r="K868" s="209" t="n"/>
      <c r="L868" s="425" t="n"/>
      <c r="M868" s="961" t="n"/>
      <c r="N868" s="214" t="n"/>
    </row>
    <row r="869">
      <c r="A869" s="207" t="n">
        <v>163612</v>
      </c>
      <c r="B869" s="209" t="inlineStr">
        <is>
          <t>Porta Cartellino Metallo</t>
        </is>
      </c>
      <c r="C869" s="207" t="n">
        <v>50</v>
      </c>
      <c r="D869" s="960" t="n">
        <v>0.2781</v>
      </c>
      <c r="E869" s="214" t="n"/>
      <c r="F869" s="262" t="n">
        <v>114273</v>
      </c>
      <c r="G869" s="263" t="inlineStr">
        <is>
          <t>Porta brochures orizzontale da parete A5 - 3 tasche con fori</t>
        </is>
      </c>
      <c r="H869" s="264" t="n">
        <v>36</v>
      </c>
      <c r="I869" s="265" t="n">
        <v>8</v>
      </c>
      <c r="J869" s="214" t="n"/>
      <c r="K869" s="208" t="n"/>
      <c r="L869" s="424" t="n"/>
      <c r="M869" s="961" t="n"/>
      <c r="N869" s="214" t="n"/>
    </row>
    <row r="870">
      <c r="A870" s="207" t="n">
        <v>117102</v>
      </c>
      <c r="B870" s="209" t="inlineStr">
        <is>
          <t>Spillo Plastica 53 mm</t>
        </is>
      </c>
      <c r="C870" s="207" t="n">
        <v>100</v>
      </c>
      <c r="D870" s="960" t="n">
        <v>0.2091</v>
      </c>
      <c r="E870" s="214" t="n"/>
      <c r="F870" s="262" t="n">
        <v>114274</v>
      </c>
      <c r="G870" s="263" t="inlineStr">
        <is>
          <t>Porta brochures da esterno 1/3 A4</t>
        </is>
      </c>
      <c r="H870" s="264" t="n">
        <v>20</v>
      </c>
      <c r="I870" s="265" t="n">
        <v>5.7</v>
      </c>
      <c r="J870" s="214" t="n"/>
      <c r="K870" s="208" t="n"/>
      <c r="L870" s="424" t="n"/>
      <c r="M870" s="961" t="n"/>
      <c r="N870" s="214" t="n"/>
    </row>
    <row r="871">
      <c r="A871" s="207" t="n">
        <v>163613</v>
      </c>
      <c r="B871" s="209" t="inlineStr">
        <is>
          <t>Porta Cartellino Pvc Bianco - 10,3cm</t>
        </is>
      </c>
      <c r="C871" s="207" t="n">
        <v>50</v>
      </c>
      <c r="D871" s="960" t="n">
        <v>0.0791</v>
      </c>
      <c r="E871" s="214" t="n"/>
      <c r="F871" s="262" t="n">
        <v>114280</v>
      </c>
      <c r="G871" s="263" t="inlineStr">
        <is>
          <t>Porta brochures da banco A5</t>
        </is>
      </c>
      <c r="H871" s="264" t="n">
        <v>80</v>
      </c>
      <c r="I871" s="265" t="n">
        <v>3.566</v>
      </c>
      <c r="J871" s="214" t="n"/>
      <c r="K871" s="208" t="n"/>
      <c r="L871" s="424" t="n"/>
      <c r="M871" s="961" t="n"/>
      <c r="N871" s="214" t="n"/>
    </row>
    <row r="872">
      <c r="A872" s="207" t="n">
        <v>163614</v>
      </c>
      <c r="B872" s="209" t="inlineStr">
        <is>
          <t>Porta Cartellino Pvc Bianco - 12,5cm</t>
        </is>
      </c>
      <c r="C872" s="207" t="n">
        <v>100</v>
      </c>
      <c r="D872" s="960" t="n">
        <v>0.096</v>
      </c>
      <c r="E872" s="214" t="n"/>
      <c r="F872" s="262" t="n">
        <v>114281</v>
      </c>
      <c r="G872" s="263" t="inlineStr">
        <is>
          <t>Porta brochures da banco A5 - 2 tasche con fori</t>
        </is>
      </c>
      <c r="H872" s="264" t="n">
        <v>24</v>
      </c>
      <c r="I872" s="265" t="n">
        <v>6.55</v>
      </c>
      <c r="J872" s="214" t="n"/>
      <c r="K872" s="208" t="n"/>
      <c r="L872" s="424" t="n"/>
      <c r="M872" s="961" t="n"/>
      <c r="N872" s="214" t="n"/>
    </row>
    <row r="873">
      <c r="A873" s="207" t="n">
        <v>184300</v>
      </c>
      <c r="B873" s="209" t="inlineStr">
        <is>
          <t>Cavaletto In Cartone Alt:100mm - 1 Piede</t>
        </is>
      </c>
      <c r="C873" s="207" t="n">
        <v>100</v>
      </c>
      <c r="D873" s="960" t="n">
        <v>0.1751</v>
      </c>
      <c r="E873" s="214" t="n"/>
      <c r="F873" s="262" t="n">
        <v>114282</v>
      </c>
      <c r="G873" s="263" t="inlineStr">
        <is>
          <t>Porta brochures da banco A5 - 3 tasche con fori</t>
        </is>
      </c>
      <c r="H873" s="264" t="n">
        <v>18</v>
      </c>
      <c r="I873" s="265" t="n">
        <v>7.85</v>
      </c>
      <c r="J873" s="214" t="n"/>
      <c r="K873" s="208" t="n"/>
      <c r="L873" s="424" t="n"/>
      <c r="M873" s="961" t="n"/>
      <c r="N873" s="214" t="n"/>
    </row>
    <row r="874">
      <c r="A874" s="207" t="n">
        <v>184301</v>
      </c>
      <c r="B874" s="209" t="inlineStr">
        <is>
          <t>Cavaletto In Cartone Alt:150mm - 1 Piede</t>
        </is>
      </c>
      <c r="C874" s="207" t="n">
        <v>100</v>
      </c>
      <c r="D874" s="960" t="n">
        <v>0.1957</v>
      </c>
      <c r="E874" s="214" t="n"/>
      <c r="F874" s="262" t="n">
        <v>114283</v>
      </c>
      <c r="G874" s="263" t="inlineStr">
        <is>
          <t>Porta brochures da banco A5 - 4 tasche con fori</t>
        </is>
      </c>
      <c r="H874" s="264" t="n">
        <v>18</v>
      </c>
      <c r="I874" s="265" t="n">
        <v>8.25</v>
      </c>
      <c r="J874" s="214" t="n"/>
      <c r="K874" s="208" t="n"/>
      <c r="L874" s="424" t="n"/>
      <c r="M874" s="961" t="n"/>
      <c r="N874" s="214" t="n"/>
    </row>
    <row r="875">
      <c r="A875" s="207" t="n">
        <v>184302</v>
      </c>
      <c r="B875" s="209" t="inlineStr">
        <is>
          <t>Cavaletto In Cartone Alt:200mm - 1 Piede</t>
        </is>
      </c>
      <c r="C875" s="207" t="n">
        <v>50</v>
      </c>
      <c r="D875" s="960" t="n">
        <v>0.2163</v>
      </c>
      <c r="E875" s="214" t="n"/>
      <c r="F875" s="262" t="n">
        <v>114284</v>
      </c>
      <c r="G875" s="263" t="inlineStr">
        <is>
          <t>Porta brochures orizzontale da banco A5 - 1 tasca con fori</t>
        </is>
      </c>
      <c r="H875" s="264" t="n">
        <v>48</v>
      </c>
      <c r="I875" s="265" t="n">
        <v>4.5</v>
      </c>
      <c r="J875" s="214" t="n"/>
      <c r="K875" s="208" t="n"/>
      <c r="L875" s="424" t="n"/>
      <c r="M875" s="961" t="n"/>
      <c r="N875" s="214" t="n"/>
    </row>
    <row r="876">
      <c r="A876" s="207" t="n">
        <v>184303</v>
      </c>
      <c r="B876" s="209" t="inlineStr">
        <is>
          <t>Cavaletto In Cartone Alt:250mm - 1 Piede</t>
        </is>
      </c>
      <c r="C876" s="207" t="n">
        <v>50</v>
      </c>
      <c r="D876" s="960" t="n">
        <v>0.3193</v>
      </c>
      <c r="E876" s="214" t="n"/>
      <c r="F876" s="262" t="n">
        <v>114285</v>
      </c>
      <c r="G876" s="263" t="inlineStr">
        <is>
          <t>Porta brochures orizzontale da banco A5 - 2 tasche con fori</t>
        </is>
      </c>
      <c r="H876" s="264" t="n">
        <v>24</v>
      </c>
      <c r="I876" s="265" t="n">
        <v>7.518</v>
      </c>
      <c r="J876" s="214" t="n"/>
      <c r="K876" s="208" t="n"/>
      <c r="L876" s="424" t="n"/>
      <c r="M876" s="961" t="n"/>
      <c r="N876" s="214" t="n"/>
    </row>
    <row r="877">
      <c r="A877" s="207" t="n">
        <v>184304</v>
      </c>
      <c r="B877" s="209" t="inlineStr">
        <is>
          <t>Cavaletto In Cartone Alt:300mm - 1 Piede</t>
        </is>
      </c>
      <c r="C877" s="207" t="n">
        <v>50</v>
      </c>
      <c r="D877" s="960" t="n">
        <v>0.3338</v>
      </c>
      <c r="E877" s="214" t="n"/>
      <c r="F877" s="262" t="n">
        <v>114286</v>
      </c>
      <c r="G877" s="263" t="inlineStr">
        <is>
          <t>Porta brochures da parete A5 - 1 tasca con clip con fori</t>
        </is>
      </c>
      <c r="H877" s="264" t="n">
        <v>88</v>
      </c>
      <c r="I877" s="265" t="n">
        <v>4.178</v>
      </c>
      <c r="J877" s="214" t="n"/>
      <c r="K877" s="208" t="n"/>
      <c r="L877" s="424" t="n"/>
      <c r="M877" s="961" t="n"/>
      <c r="N877" s="214" t="n"/>
    </row>
    <row r="878">
      <c r="A878" s="207" t="n">
        <v>184305</v>
      </c>
      <c r="B878" s="209" t="inlineStr">
        <is>
          <t>Cavaletto In Cartone Alt:400mm - 1 Piede</t>
        </is>
      </c>
      <c r="C878" s="207" t="n">
        <v>50</v>
      </c>
      <c r="D878" s="960" t="n">
        <v>0.5047</v>
      </c>
      <c r="E878" s="214" t="n"/>
      <c r="F878" s="262" t="n">
        <v>114287</v>
      </c>
      <c r="G878" s="263" t="inlineStr">
        <is>
          <t>Porta brochures da parete A5 - 1 tasca con fori</t>
        </is>
      </c>
      <c r="H878" s="264" t="n">
        <v>88</v>
      </c>
      <c r="I878" s="265" t="n">
        <v>4.05</v>
      </c>
      <c r="J878" s="214" t="n"/>
      <c r="K878" s="208" t="n"/>
      <c r="L878" s="424" t="n"/>
      <c r="M878" s="961" t="n"/>
      <c r="N878" s="214" t="n"/>
    </row>
    <row r="879">
      <c r="A879" s="207" t="n">
        <v>184306</v>
      </c>
      <c r="B879" s="209" t="inlineStr">
        <is>
          <t>Cavaletto In Cartone Alt:500mm - 1 Piede</t>
        </is>
      </c>
      <c r="C879" s="207" t="n">
        <v>50</v>
      </c>
      <c r="D879" s="960" t="n">
        <v>0.7375</v>
      </c>
      <c r="E879" s="214" t="n"/>
      <c r="F879" s="262" t="n">
        <v>114288</v>
      </c>
      <c r="G879" s="263" t="inlineStr">
        <is>
          <t>Porta brochures orizzontale da parete A5 - con fori</t>
        </is>
      </c>
      <c r="H879" s="264" t="n">
        <v>84</v>
      </c>
      <c r="I879" s="265" t="n">
        <v>4.5</v>
      </c>
      <c r="J879" s="214" t="n"/>
      <c r="K879" s="208" t="n"/>
      <c r="L879" s="424" t="n"/>
      <c r="M879" s="961" t="n"/>
      <c r="N879" s="214" t="n"/>
    </row>
    <row r="880">
      <c r="A880" s="207" t="n">
        <v>184307</v>
      </c>
      <c r="B880" s="209" t="inlineStr">
        <is>
          <t>Cavaletto In Cartone Alt:600mm - 1 Piede</t>
        </is>
      </c>
      <c r="C880" s="207" t="n">
        <v>50</v>
      </c>
      <c r="D880" s="960" t="n">
        <v>0.9229000000000001</v>
      </c>
      <c r="E880" s="214" t="n"/>
      <c r="F880" s="262" t="n">
        <v>114289</v>
      </c>
      <c r="G880" s="263" t="inlineStr">
        <is>
          <t>Porta brochures da esterno A5</t>
        </is>
      </c>
      <c r="H880" s="264" t="n">
        <v>20</v>
      </c>
      <c r="I880" s="265" t="n">
        <v>13.25</v>
      </c>
      <c r="J880" s="214" t="n"/>
      <c r="K880" s="208" t="n"/>
      <c r="L880" s="424" t="n"/>
      <c r="M880" s="961" t="n"/>
      <c r="N880" s="214" t="n"/>
    </row>
    <row r="881">
      <c r="A881" s="207" t="n">
        <v>184308</v>
      </c>
      <c r="B881" s="209" t="inlineStr">
        <is>
          <t>Cavaletto In Cartone Alt:710mm - 1 Piede</t>
        </is>
      </c>
      <c r="C881" s="207" t="n">
        <v>50</v>
      </c>
      <c r="D881" s="960" t="n">
        <v>1.1928</v>
      </c>
      <c r="E881" s="214" t="n"/>
      <c r="F881" s="262" t="n">
        <v>114300</v>
      </c>
      <c r="G881" s="263" t="inlineStr">
        <is>
          <t>Porta brochures da banco A4</t>
        </is>
      </c>
      <c r="H881" s="264" t="n">
        <v>36</v>
      </c>
      <c r="I881" s="265" t="n">
        <v>4.9</v>
      </c>
      <c r="J881" s="214" t="n"/>
      <c r="K881" s="208" t="n"/>
      <c r="L881" s="424" t="n"/>
      <c r="M881" s="961" t="n"/>
      <c r="N881" s="214" t="n"/>
    </row>
    <row r="882">
      <c r="A882" s="207" t="n">
        <v>184309</v>
      </c>
      <c r="B882" s="209" t="inlineStr">
        <is>
          <t>Cavaletto In Cartone Alt:190mm - 2 Piedi</t>
        </is>
      </c>
      <c r="C882" s="207" t="n">
        <v>50</v>
      </c>
      <c r="D882" s="960" t="n">
        <v>1.2056</v>
      </c>
      <c r="E882" s="214" t="n"/>
      <c r="F882" s="262" t="n">
        <v>114301</v>
      </c>
      <c r="G882" s="263" t="inlineStr">
        <is>
          <t>Porta brochures da banco A4 - 2 tasche con fori</t>
        </is>
      </c>
      <c r="H882" s="264" t="n">
        <v>16</v>
      </c>
      <c r="I882" s="265" t="n">
        <v>11.45</v>
      </c>
      <c r="J882" s="214" t="n"/>
      <c r="K882" s="208" t="n"/>
      <c r="L882" s="424" t="n"/>
      <c r="M882" s="961" t="n"/>
      <c r="N882" s="214" t="n"/>
    </row>
    <row r="883">
      <c r="A883" s="207" t="n">
        <v>184310</v>
      </c>
      <c r="B883" s="209" t="inlineStr">
        <is>
          <t>Cavaletto In Cartone Alt:290mm - 2 Piedi</t>
        </is>
      </c>
      <c r="C883" s="207" t="n">
        <v>50</v>
      </c>
      <c r="D883" s="960" t="n">
        <v>2.0077</v>
      </c>
      <c r="E883" s="214" t="n"/>
      <c r="F883" s="262" t="n">
        <v>114302</v>
      </c>
      <c r="G883" s="263" t="inlineStr">
        <is>
          <t>Porta brochures da banco A4 - 3 tasche</t>
        </is>
      </c>
      <c r="H883" s="264" t="n">
        <v>12</v>
      </c>
      <c r="I883" s="265" t="n">
        <v>17.5</v>
      </c>
      <c r="J883" s="214" t="n"/>
      <c r="K883" s="208" t="n"/>
      <c r="L883" s="424" t="n"/>
      <c r="M883" s="961" t="n"/>
      <c r="N883" s="214" t="n"/>
    </row>
    <row r="884">
      <c r="A884" s="207" t="n">
        <v>184312</v>
      </c>
      <c r="B884" s="209" t="inlineStr">
        <is>
          <t>Cavaletto In Cartone Alt:mm 1170mm - 2 Piedi - Non Adesivo</t>
        </is>
      </c>
      <c r="C884" s="207" t="n">
        <v>10</v>
      </c>
      <c r="D884" s="960" t="n">
        <v>5.871</v>
      </c>
      <c r="E884" s="214" t="n"/>
      <c r="F884" s="262" t="n">
        <v>114303</v>
      </c>
      <c r="G884" s="263" t="inlineStr">
        <is>
          <t>Porta brochures da banco A4 - 4 tasche con fori</t>
        </is>
      </c>
      <c r="H884" s="264" t="n">
        <v>8</v>
      </c>
      <c r="I884" s="265" t="n">
        <v>21.109</v>
      </c>
      <c r="J884" s="214" t="n"/>
      <c r="K884" s="208" t="n"/>
      <c r="L884" s="424" t="n"/>
      <c r="M884" s="961" t="n"/>
      <c r="N884" s="214" t="n"/>
    </row>
    <row r="885">
      <c r="A885" s="207" t="n">
        <v>950302</v>
      </c>
      <c r="B885" s="209" t="inlineStr">
        <is>
          <t>Cavaletto Pet A6 - Dritta</t>
        </is>
      </c>
      <c r="C885" s="207" t="n">
        <v>10</v>
      </c>
      <c r="D885" s="960" t="n">
        <v>1.4214</v>
      </c>
      <c r="E885" s="214" t="n"/>
      <c r="F885" s="262" t="n">
        <v>114304</v>
      </c>
      <c r="G885" s="263" t="inlineStr">
        <is>
          <t>Porta brochures orizzontale da banco A4 - 1 tasca con fori</t>
        </is>
      </c>
      <c r="H885" s="264" t="n">
        <v>24</v>
      </c>
      <c r="I885" s="265" t="n">
        <v>5.8</v>
      </c>
      <c r="J885" s="214" t="n"/>
      <c r="K885" s="208" t="n"/>
      <c r="L885" s="424" t="n"/>
      <c r="M885" s="961" t="n"/>
      <c r="N885" s="214" t="n"/>
    </row>
    <row r="886">
      <c r="A886" s="207" t="n">
        <v>796229</v>
      </c>
      <c r="B886" s="209" t="inlineStr">
        <is>
          <t>Cavaletto Pet A5 - Dritta</t>
        </is>
      </c>
      <c r="C886" s="207" t="n">
        <v>10</v>
      </c>
      <c r="D886" s="960" t="n">
        <v>2.163</v>
      </c>
      <c r="E886" s="214" t="n"/>
      <c r="F886" s="262" t="n">
        <v>114305</v>
      </c>
      <c r="G886" s="263" t="inlineStr">
        <is>
          <t>Porta brochures orizzontale da banco A4 - 4 tasche con fori</t>
        </is>
      </c>
      <c r="H886" s="264" t="n">
        <v>8</v>
      </c>
      <c r="I886" s="265" t="n">
        <v>28.564</v>
      </c>
      <c r="J886" s="214" t="n"/>
      <c r="K886" s="208" t="n"/>
      <c r="L886" s="424" t="n"/>
      <c r="M886" s="961" t="n"/>
      <c r="N886" s="214" t="n"/>
    </row>
    <row r="887">
      <c r="A887" s="207" t="n">
        <v>796223</v>
      </c>
      <c r="B887" s="209" t="inlineStr">
        <is>
          <t>Cavaletto Pet A4 - Dritta</t>
        </is>
      </c>
      <c r="C887" s="207" t="n">
        <v>10</v>
      </c>
      <c r="D887" s="960" t="n">
        <v>3.6565</v>
      </c>
      <c r="E887" s="214" t="n"/>
      <c r="F887" s="262" t="n">
        <v>114306</v>
      </c>
      <c r="G887" s="263" t="inlineStr">
        <is>
          <t>Porta brochures da parete A4 - 1 tasca con clip con fori</t>
        </is>
      </c>
      <c r="H887" s="264" t="n">
        <v>44</v>
      </c>
      <c r="I887" s="265" t="n">
        <v>5.25</v>
      </c>
      <c r="J887" s="214" t="n"/>
      <c r="K887" s="208" t="n"/>
      <c r="L887" s="424" t="n"/>
      <c r="M887" s="961" t="n"/>
      <c r="N887" s="214" t="n"/>
    </row>
    <row r="888">
      <c r="A888" s="207" t="n">
        <v>950304</v>
      </c>
      <c r="B888" s="209" t="inlineStr">
        <is>
          <t>Cavaletto Pet A3V - Dritta</t>
        </is>
      </c>
      <c r="C888" s="207" t="n">
        <v>5</v>
      </c>
      <c r="D888" s="960" t="n">
        <v>8.961</v>
      </c>
      <c r="E888" s="214" t="n"/>
      <c r="F888" s="262" t="n">
        <v>114307</v>
      </c>
      <c r="G888" s="263" t="inlineStr">
        <is>
          <t>Porta brochures da parete A4 - 1 tasca con fori</t>
        </is>
      </c>
      <c r="H888" s="264" t="n">
        <v>44</v>
      </c>
      <c r="I888" s="265" t="n">
        <v>7.176</v>
      </c>
      <c r="J888" s="214" t="n"/>
      <c r="K888" s="208" t="n"/>
      <c r="L888" s="424" t="n"/>
      <c r="M888" s="961" t="n"/>
      <c r="N888" s="214" t="n"/>
    </row>
    <row r="889">
      <c r="A889" s="207" t="n">
        <v>950299</v>
      </c>
      <c r="B889" s="209" t="inlineStr">
        <is>
          <t>Cavaletto Acrilico A6 - Dritta</t>
        </is>
      </c>
      <c r="C889" s="207" t="n">
        <v>5</v>
      </c>
      <c r="D889" s="960" t="n">
        <v>2.369</v>
      </c>
      <c r="E889" s="214" t="n"/>
      <c r="F889" s="262" t="n">
        <v>114308</v>
      </c>
      <c r="G889" s="263" t="inlineStr">
        <is>
          <t>Porta brochures orizzontale da parete A4 - con fori</t>
        </is>
      </c>
      <c r="H889" s="264" t="n">
        <v>36</v>
      </c>
      <c r="I889" s="265" t="n">
        <v>7.25</v>
      </c>
      <c r="J889" s="214" t="n"/>
      <c r="K889" s="208" t="n"/>
      <c r="L889" s="424" t="n"/>
      <c r="M889" s="961" t="n"/>
      <c r="N889" s="214" t="n"/>
    </row>
    <row r="890">
      <c r="A890" s="207" t="n">
        <v>950300</v>
      </c>
      <c r="B890" s="209" t="inlineStr">
        <is>
          <t>Cavaletto Acrilico A5V Rv</t>
        </is>
      </c>
      <c r="C890" s="207" t="n">
        <v>5</v>
      </c>
      <c r="D890" s="960" t="n">
        <v>3.193</v>
      </c>
      <c r="E890" s="214" t="n"/>
      <c r="F890" s="262" t="n">
        <v>114309</v>
      </c>
      <c r="G890" s="263" t="inlineStr">
        <is>
          <t>Porta brochures da parete A4 - 3 tasche con fori</t>
        </is>
      </c>
      <c r="H890" s="264" t="n">
        <v>12</v>
      </c>
      <c r="I890" s="265" t="n">
        <v>21.75</v>
      </c>
      <c r="J890" s="214" t="n"/>
      <c r="K890" s="208" t="n"/>
      <c r="L890" s="424" t="n"/>
      <c r="M890" s="961" t="n"/>
      <c r="N890" s="214" t="n"/>
    </row>
    <row r="891">
      <c r="A891" s="207" t="n">
        <v>950301</v>
      </c>
      <c r="B891" s="209" t="inlineStr">
        <is>
          <t>Cavaletto Acrilico A4V Rv</t>
        </is>
      </c>
      <c r="C891" s="207" t="n">
        <v>10</v>
      </c>
      <c r="D891" s="960" t="n">
        <v>5.562</v>
      </c>
      <c r="E891" s="214" t="n"/>
      <c r="F891" s="262" t="n">
        <v>114310</v>
      </c>
      <c r="G891" s="263" t="inlineStr">
        <is>
          <t>Porta brochures da esterno A4</t>
        </is>
      </c>
      <c r="H891" s="264" t="n">
        <v>20</v>
      </c>
      <c r="I891" s="265" t="n">
        <v>20.25</v>
      </c>
      <c r="J891" s="214" t="n"/>
      <c r="K891" s="208" t="n"/>
      <c r="L891" s="424" t="n"/>
      <c r="M891" s="961" t="n"/>
      <c r="N891" s="214" t="n"/>
    </row>
    <row r="892">
      <c r="A892" s="207" t="n">
        <v>950340</v>
      </c>
      <c r="B892" s="209" t="inlineStr">
        <is>
          <t>Porta Visual Con 2Angoli Plexiglass Legno A6</t>
        </is>
      </c>
      <c r="C892" s="207" t="n">
        <v>1</v>
      </c>
      <c r="D892" s="960" t="n">
        <v>7.8795</v>
      </c>
      <c r="E892" s="214" t="n"/>
      <c r="F892" s="262" t="n">
        <v>114320</v>
      </c>
      <c r="G892" s="263" t="inlineStr">
        <is>
          <t>Porta biglietti da visita orizzontale da banco</t>
        </is>
      </c>
      <c r="H892" s="264" t="n">
        <v>250</v>
      </c>
      <c r="I892" s="265" t="n">
        <v>0.95</v>
      </c>
      <c r="J892" s="214" t="n"/>
      <c r="K892" s="208" t="n"/>
      <c r="L892" s="424" t="n"/>
      <c r="M892" s="961" t="n"/>
      <c r="N892" s="214" t="n"/>
    </row>
    <row r="893">
      <c r="A893" s="207" t="n">
        <v>950341</v>
      </c>
      <c r="B893" s="209" t="inlineStr">
        <is>
          <t>Porta Visual Con 2Angoli Plexiglass Legno A5</t>
        </is>
      </c>
      <c r="C893" s="207" t="n">
        <v>1</v>
      </c>
      <c r="D893" s="960" t="n">
        <v>6.283</v>
      </c>
      <c r="E893" s="214" t="n"/>
      <c r="F893" s="262" t="n">
        <v>114321</v>
      </c>
      <c r="G893" s="263" t="inlineStr">
        <is>
          <t>Porta biglietti da visita orizzontale da banco - 4 livelli</t>
        </is>
      </c>
      <c r="H893" s="264" t="n">
        <v>72</v>
      </c>
      <c r="I893" s="265" t="n">
        <v>3.65</v>
      </c>
      <c r="J893" s="214" t="n"/>
      <c r="K893" s="208" t="n"/>
      <c r="L893" s="424" t="n"/>
      <c r="M893" s="961" t="n"/>
      <c r="N893" s="214" t="n"/>
    </row>
    <row r="894">
      <c r="A894" s="207" t="n">
        <v>950342</v>
      </c>
      <c r="B894" s="209" t="inlineStr">
        <is>
          <t>Porta Visual Con 2Angoli Plexiglass Legno A4</t>
        </is>
      </c>
      <c r="C894" s="207" t="n">
        <v>1</v>
      </c>
      <c r="D894" s="960" t="n">
        <v>6.9</v>
      </c>
      <c r="E894" s="214" t="n"/>
      <c r="F894" s="262" t="n">
        <v>114322</v>
      </c>
      <c r="G894" s="263" t="inlineStr">
        <is>
          <t>Porta biglietti da visita orizzontale da banco - 4 livelli doppi</t>
        </is>
      </c>
      <c r="H894" s="264" t="n">
        <v>36</v>
      </c>
      <c r="I894" s="265" t="n">
        <v>5.85</v>
      </c>
      <c r="J894" s="214" t="n"/>
      <c r="K894" s="208" t="n"/>
      <c r="L894" s="424" t="n"/>
      <c r="M894" s="961" t="n"/>
      <c r="N894" s="214" t="n"/>
    </row>
    <row r="895">
      <c r="A895" s="207" t="n">
        <v>796221</v>
      </c>
      <c r="B895" s="209" t="inlineStr">
        <is>
          <t>Porta Visual Pet Inclinato - A7V</t>
        </is>
      </c>
      <c r="C895" s="207" t="n">
        <v>10</v>
      </c>
      <c r="D895" s="960" t="n">
        <v>0.6385999999999999</v>
      </c>
      <c r="E895" s="214" t="n"/>
      <c r="F895" s="262" t="n">
        <v>114323</v>
      </c>
      <c r="G895" s="263" t="inlineStr">
        <is>
          <t>Porta biglietti da visita verticale da banco</t>
        </is>
      </c>
      <c r="H895" s="264" t="n">
        <v>280</v>
      </c>
      <c r="I895" s="265" t="n">
        <v>0.95</v>
      </c>
      <c r="J895" s="214" t="n"/>
      <c r="K895" s="208" t="n"/>
      <c r="L895" s="424" t="n"/>
      <c r="M895" s="961" t="n"/>
      <c r="N895" s="214" t="n"/>
    </row>
    <row r="896">
      <c r="A896" s="207" t="n">
        <v>762225</v>
      </c>
      <c r="B896" s="209" t="inlineStr">
        <is>
          <t>Porta Visual Pet Inclinato - A7V</t>
        </is>
      </c>
      <c r="C896" s="207" t="n">
        <v>10</v>
      </c>
      <c r="D896" s="960" t="n">
        <v>0.8549</v>
      </c>
      <c r="E896" s="214" t="n"/>
      <c r="F896" s="262" t="n">
        <v>114324</v>
      </c>
      <c r="G896" s="263" t="inlineStr">
        <is>
          <t>Porta biglietti da visita da esterno</t>
        </is>
      </c>
      <c r="H896" s="264" t="n">
        <v>40</v>
      </c>
      <c r="I896" s="265" t="n">
        <v>3.25</v>
      </c>
      <c r="J896" s="214" t="n"/>
      <c r="K896" s="208" t="n"/>
      <c r="L896" s="424" t="n"/>
      <c r="M896" s="961" t="n"/>
      <c r="N896" s="214" t="n"/>
    </row>
    <row r="897">
      <c r="A897" s="207" t="n">
        <v>796227</v>
      </c>
      <c r="B897" s="209" t="inlineStr">
        <is>
          <t>Cavaletto Pet A5 - Inclinato</t>
        </is>
      </c>
      <c r="C897" s="207" t="n">
        <v>10</v>
      </c>
      <c r="D897" s="960" t="n">
        <v>1.2051</v>
      </c>
      <c r="E897" s="214" t="n"/>
      <c r="F897" s="262" t="n">
        <v>114330</v>
      </c>
      <c r="G897" s="263" t="inlineStr">
        <is>
          <t>Porta brochures girevole da banco 1/3 A4 - 3 tasche</t>
        </is>
      </c>
      <c r="H897" s="264" t="n">
        <v>1</v>
      </c>
      <c r="I897" s="265" t="n">
        <v>29.688</v>
      </c>
      <c r="J897" s="214" t="n"/>
      <c r="K897" s="208" t="n"/>
      <c r="L897" s="424" t="n"/>
      <c r="M897" s="961" t="n"/>
      <c r="N897" s="214" t="n"/>
    </row>
    <row r="898">
      <c r="A898" s="207" t="n">
        <v>796224</v>
      </c>
      <c r="B898" s="209" t="inlineStr">
        <is>
          <t>Cavaletto Pet A4 - Inclinato</t>
        </is>
      </c>
      <c r="C898" s="207" t="n">
        <v>10</v>
      </c>
      <c r="D898" s="960" t="n">
        <v>2.369</v>
      </c>
      <c r="E898" s="214" t="n"/>
      <c r="F898" s="262" t="n">
        <v>114331</v>
      </c>
      <c r="G898" s="263" t="inlineStr">
        <is>
          <t>Porta brochures girevole da banco 1/3 A4 - 4 tasche</t>
        </is>
      </c>
      <c r="H898" s="264" t="n">
        <v>1</v>
      </c>
      <c r="I898" s="265" t="n">
        <v>35.054</v>
      </c>
      <c r="J898" s="214" t="n"/>
      <c r="K898" s="208" t="n"/>
      <c r="L898" s="424" t="n"/>
      <c r="M898" s="961" t="n"/>
      <c r="N898" s="214" t="n"/>
    </row>
    <row r="899">
      <c r="A899" s="207" t="n">
        <v>950320</v>
      </c>
      <c r="B899" s="209" t="inlineStr">
        <is>
          <t>Cavaletto Acrilico A5V</t>
        </is>
      </c>
      <c r="C899" s="207" t="n">
        <v>10</v>
      </c>
      <c r="D899" s="960" t="n">
        <v>2.1218</v>
      </c>
      <c r="E899" s="214" t="n"/>
      <c r="F899" s="262" t="n">
        <v>114332</v>
      </c>
      <c r="G899" s="263" t="inlineStr">
        <is>
          <t>Porta brochures girevole da banco A5 - 3 tasche</t>
        </is>
      </c>
      <c r="H899" s="264" t="n">
        <v>1</v>
      </c>
      <c r="I899" s="265" t="n">
        <v>33.737</v>
      </c>
      <c r="J899" s="214" t="n"/>
      <c r="K899" s="208" t="n"/>
      <c r="L899" s="424" t="n"/>
      <c r="M899" s="961" t="n"/>
      <c r="N899" s="214" t="n"/>
    </row>
    <row r="900">
      <c r="A900" s="207" t="n">
        <v>950321</v>
      </c>
      <c r="B900" s="209" t="inlineStr">
        <is>
          <t>Cavaletto Acrilico A4V</t>
        </is>
      </c>
      <c r="C900" s="207" t="n">
        <v>10</v>
      </c>
      <c r="D900" s="960" t="n">
        <v>3.7492</v>
      </c>
      <c r="E900" s="214" t="n"/>
      <c r="F900" s="262" t="n">
        <v>114333</v>
      </c>
      <c r="G900" s="263" t="inlineStr">
        <is>
          <t>Porta brochures girevole da banco A4 - 4 tasche 152x32</t>
        </is>
      </c>
      <c r="H900" s="264" t="n">
        <v>1</v>
      </c>
      <c r="I900" s="265" t="n">
        <v>45.239</v>
      </c>
      <c r="J900" s="214" t="n"/>
      <c r="K900" s="208" t="n"/>
      <c r="L900" s="424" t="n"/>
      <c r="M900" s="961" t="n"/>
      <c r="N900" s="214" t="n"/>
    </row>
    <row r="901">
      <c r="A901" s="207" t="n">
        <v>950310</v>
      </c>
      <c r="B901" s="209" t="inlineStr">
        <is>
          <t>Bloco In Plexi Per Visual A7 Magnetico</t>
        </is>
      </c>
      <c r="C901" s="207" t="n">
        <v>1</v>
      </c>
      <c r="D901" s="960" t="n">
        <v>8.755000000000001</v>
      </c>
      <c r="E901" s="214" t="n"/>
      <c r="F901" s="262" t="n">
        <v>114334</v>
      </c>
      <c r="G901" s="263" t="inlineStr">
        <is>
          <t>Porta brochures girevole da banco A4 - 3 tasche</t>
        </is>
      </c>
      <c r="H901" s="264" t="n">
        <v>1</v>
      </c>
      <c r="I901" s="265" t="n">
        <v>50.059</v>
      </c>
      <c r="J901" s="214" t="n"/>
      <c r="K901" s="208" t="n"/>
      <c r="L901" s="424" t="n"/>
      <c r="M901" s="961" t="n"/>
      <c r="N901" s="214" t="n"/>
    </row>
    <row r="902">
      <c r="A902" s="207" t="n">
        <v>950303</v>
      </c>
      <c r="B902" s="209" t="inlineStr">
        <is>
          <t>Bloco In Plexi Per Visual A6 Magnetico</t>
        </is>
      </c>
      <c r="C902" s="207" t="n">
        <v>10</v>
      </c>
      <c r="D902" s="960" t="n">
        <v>10.815</v>
      </c>
      <c r="E902" s="214" t="n"/>
      <c r="F902" s="262" t="n">
        <v>114335</v>
      </c>
      <c r="G902" s="263" t="inlineStr">
        <is>
          <t>Porta brochures girevole da banco A4 - 4 tasche 223x32</t>
        </is>
      </c>
      <c r="H902" s="264" t="n">
        <v>1</v>
      </c>
      <c r="I902" s="265" t="n">
        <v>59.569</v>
      </c>
      <c r="J902" s="214" t="n"/>
      <c r="K902" s="208" t="n"/>
      <c r="L902" s="424" t="n"/>
      <c r="M902" s="961" t="n"/>
      <c r="N902" s="214" t="n"/>
    </row>
    <row r="903">
      <c r="A903" s="207" t="n">
        <v>798009</v>
      </c>
      <c r="B903" s="209" t="inlineStr">
        <is>
          <t>Bloco In Plexi Per Visual A5 Magnetico</t>
        </is>
      </c>
      <c r="C903" s="207" t="n">
        <v>10</v>
      </c>
      <c r="D903" s="960" t="n">
        <v>14.317</v>
      </c>
      <c r="E903" s="214" t="n"/>
      <c r="F903" s="262" t="n">
        <v>114336</v>
      </c>
      <c r="G903" s="263" t="inlineStr">
        <is>
          <t>Porta brochures girevole da banco A4 - 6 tasche</t>
        </is>
      </c>
      <c r="H903" s="264" t="n">
        <v>1</v>
      </c>
      <c r="I903" s="265" t="n">
        <v>104.198</v>
      </c>
      <c r="J903" s="214" t="n"/>
      <c r="K903" s="208" t="n"/>
      <c r="L903" s="424" t="n"/>
      <c r="M903" s="961" t="n"/>
      <c r="N903" s="214" t="n"/>
    </row>
    <row r="904">
      <c r="A904" s="207" t="n">
        <v>798011</v>
      </c>
      <c r="B904" s="209" t="inlineStr">
        <is>
          <t>Bloco In Plexi Per Visual A4 Magnetico</t>
        </is>
      </c>
      <c r="C904" s="207" t="n">
        <v>1</v>
      </c>
      <c r="D904" s="960" t="n">
        <v>25.647</v>
      </c>
      <c r="E904" s="214" t="n"/>
      <c r="F904" s="262" t="n">
        <v>114337</v>
      </c>
      <c r="G904" s="263" t="inlineStr">
        <is>
          <t>Porta brochures girevole da banco A4 - 12 tasche</t>
        </is>
      </c>
      <c r="H904" s="264" t="n">
        <v>1</v>
      </c>
      <c r="I904" s="265" t="n">
        <v>235.674</v>
      </c>
      <c r="J904" s="214" t="n"/>
      <c r="K904" s="208" t="n"/>
      <c r="L904" s="424" t="n"/>
      <c r="M904" s="961" t="n"/>
      <c r="N904" s="214" t="n"/>
    </row>
    <row r="905">
      <c r="A905" s="207" t="n">
        <v>630200</v>
      </c>
      <c r="B905" s="209" t="inlineStr">
        <is>
          <t>Porta Tasche Con Anelli - Ripiano In Plexiglass</t>
        </is>
      </c>
      <c r="C905" s="207" t="n">
        <v>1</v>
      </c>
      <c r="D905" s="960" t="n">
        <v>89.61</v>
      </c>
      <c r="E905" s="214" t="n"/>
      <c r="F905" s="262" t="n">
        <v>114340</v>
      </c>
      <c r="G905" s="263" t="inlineStr">
        <is>
          <t>Porta brochures girevole da terra A4 - 12 tasche h. 1057 mm</t>
        </is>
      </c>
      <c r="H905" s="264" t="n">
        <v>1</v>
      </c>
      <c r="I905" s="265" t="n">
        <v>267.707</v>
      </c>
      <c r="J905" s="214" t="n"/>
      <c r="K905" s="208" t="n"/>
      <c r="L905" s="424" t="n"/>
      <c r="M905" s="961" t="n"/>
      <c r="N905" s="214" t="n"/>
    </row>
    <row r="906">
      <c r="A906" s="207" t="n">
        <v>630201</v>
      </c>
      <c r="B906" s="209" t="inlineStr">
        <is>
          <t>Porta Tasche Con Anelli - Ripiano In Metallo</t>
        </is>
      </c>
      <c r="C906" s="207" t="n">
        <v>1</v>
      </c>
      <c r="D906" s="960" t="n">
        <v>91.67</v>
      </c>
      <c r="E906" s="214" t="n"/>
      <c r="F906" s="262" t="n">
        <v>114341</v>
      </c>
      <c r="G906" s="263" t="inlineStr">
        <is>
          <t>Porta brochures girevole da terra A4 - 12 tasche h. 1669,7 mm</t>
        </is>
      </c>
      <c r="H906" s="264" t="n">
        <v>1</v>
      </c>
      <c r="I906" s="265" t="n">
        <v>316.545</v>
      </c>
      <c r="J906" s="214" t="n"/>
      <c r="K906" s="209" t="n"/>
      <c r="L906" s="425" t="n"/>
      <c r="M906" s="961" t="n"/>
      <c r="N906" s="214" t="n"/>
    </row>
    <row r="907">
      <c r="A907" s="207" t="n">
        <v>630220</v>
      </c>
      <c r="B907" s="209" t="inlineStr">
        <is>
          <t>Cornice A Clip Su Piede A3</t>
        </is>
      </c>
      <c r="C907" s="207" t="n">
        <v>1</v>
      </c>
      <c r="D907" s="960" t="n">
        <v>49.543</v>
      </c>
      <c r="E907" s="214" t="n"/>
      <c r="F907" s="262" t="n">
        <v>114342</v>
      </c>
      <c r="G907" s="263" t="inlineStr">
        <is>
          <t>Porta brochures girevole da terra A4 - 24 tasche</t>
        </is>
      </c>
      <c r="H907" s="264" t="n">
        <v>1</v>
      </c>
      <c r="I907" s="265" t="n">
        <v>505.501</v>
      </c>
      <c r="J907" s="214" t="n"/>
      <c r="K907" s="208" t="n"/>
      <c r="L907" s="424" t="n"/>
      <c r="M907" s="961" t="n"/>
      <c r="N907" s="214" t="n"/>
    </row>
    <row r="908">
      <c r="A908" s="207" t="n">
        <v>630221</v>
      </c>
      <c r="B908" s="209" t="inlineStr">
        <is>
          <t>Cornice A Clip Su Piede A4</t>
        </is>
      </c>
      <c r="C908" s="207" t="n">
        <v>1</v>
      </c>
      <c r="D908" s="960" t="n">
        <v>36.153</v>
      </c>
      <c r="E908" s="214" t="n"/>
      <c r="F908" s="262" t="n">
        <v>114350</v>
      </c>
      <c r="G908" s="263" t="inlineStr">
        <is>
          <t>Basetta porta messaggio inclinata mm 100x50</t>
        </is>
      </c>
      <c r="H908" s="264" t="n">
        <v>260</v>
      </c>
      <c r="I908" s="265" t="n">
        <v>1.349</v>
      </c>
      <c r="J908" s="214" t="n"/>
      <c r="K908" s="208" t="n"/>
      <c r="L908" s="424" t="n"/>
      <c r="M908" s="961" t="n"/>
      <c r="N908" s="214" t="n"/>
    </row>
    <row r="909">
      <c r="A909" s="207" t="n">
        <v>950352</v>
      </c>
      <c r="B909" s="209" t="inlineStr">
        <is>
          <t>Tasca Da APPendere - Pet - 2 Fori - A5</t>
        </is>
      </c>
      <c r="C909" s="207" t="n">
        <v>10</v>
      </c>
      <c r="D909" s="960" t="n">
        <v>0.7931</v>
      </c>
      <c r="E909" s="214" t="n"/>
      <c r="F909" s="262" t="n">
        <v>114351</v>
      </c>
      <c r="G909" s="263" t="inlineStr">
        <is>
          <t>Basetta porta messaggio inclinata mm 150x63</t>
        </is>
      </c>
      <c r="H909" s="264" t="n">
        <v>100</v>
      </c>
      <c r="I909" s="265" t="n">
        <v>1.703</v>
      </c>
      <c r="J909" s="214" t="n"/>
      <c r="K909" s="208" t="n"/>
      <c r="L909" s="424" t="n"/>
      <c r="M909" s="961" t="n"/>
      <c r="N909" s="214" t="n"/>
    </row>
    <row r="910">
      <c r="A910" s="207" t="n">
        <v>950354</v>
      </c>
      <c r="B910" s="209" t="inlineStr">
        <is>
          <t>Tasca Da APPendere - Pet - 2 Fori - A4</t>
        </is>
      </c>
      <c r="C910" s="207" t="n">
        <v>10</v>
      </c>
      <c r="D910" s="960" t="n">
        <v>1.0197</v>
      </c>
      <c r="E910" s="214" t="n"/>
      <c r="F910" s="262" t="n">
        <v>114352</v>
      </c>
      <c r="G910" s="263" t="inlineStr">
        <is>
          <t>Basetta porta messaggio inclinata mm 215x86</t>
        </is>
      </c>
      <c r="H910" s="264" t="n">
        <v>50</v>
      </c>
      <c r="I910" s="265" t="n">
        <v>2.217</v>
      </c>
      <c r="J910" s="214" t="n"/>
      <c r="K910" s="208" t="n"/>
      <c r="L910" s="424" t="n"/>
      <c r="M910" s="961" t="n"/>
      <c r="N910" s="214" t="n"/>
    </row>
    <row r="911">
      <c r="A911" s="207" t="n">
        <v>950356</v>
      </c>
      <c r="B911" s="209" t="inlineStr">
        <is>
          <t>Tasca Da APPendere - Pet - 2 Fori - A3</t>
        </is>
      </c>
      <c r="C911" s="207" t="n">
        <v>10</v>
      </c>
      <c r="D911" s="960" t="n">
        <v>2.0085</v>
      </c>
      <c r="E911" s="214" t="n"/>
      <c r="F911" s="262" t="n">
        <v>114355</v>
      </c>
      <c r="G911" s="263" t="inlineStr">
        <is>
          <t>Basetta porta messaggio inclinata mm 100x50 con tasca</t>
        </is>
      </c>
      <c r="H911" s="264" t="n">
        <v>200</v>
      </c>
      <c r="I911" s="265" t="n">
        <v>3.534</v>
      </c>
      <c r="J911" s="214" t="n"/>
      <c r="K911" s="208" t="n"/>
      <c r="L911" s="424" t="n"/>
      <c r="M911" s="961" t="n"/>
      <c r="N911" s="214" t="n"/>
    </row>
    <row r="912">
      <c r="A912" s="207" t="n">
        <v>950330</v>
      </c>
      <c r="B912" s="209" t="inlineStr">
        <is>
          <t>Tasca A Sospendere A5 Verticale</t>
        </is>
      </c>
      <c r="C912" s="207" t="n">
        <v>10</v>
      </c>
      <c r="D912" s="960" t="n">
        <v>0.8189</v>
      </c>
      <c r="E912" s="214" t="n"/>
      <c r="F912" s="262" t="n">
        <v>114356</v>
      </c>
      <c r="G912" s="263" t="inlineStr">
        <is>
          <t>Basetta porta messaggio inclinata mm 150x63 con tasca</t>
        </is>
      </c>
      <c r="H912" s="264" t="n">
        <v>80</v>
      </c>
      <c r="I912" s="265" t="n">
        <v>4.016</v>
      </c>
      <c r="J912" s="214" t="n"/>
      <c r="K912" s="208" t="n"/>
      <c r="L912" s="424" t="n"/>
      <c r="M912" s="961" t="n"/>
      <c r="N912" s="214" t="n"/>
    </row>
    <row r="913">
      <c r="A913" s="207" t="n">
        <v>241001</v>
      </c>
      <c r="B913" s="209" t="inlineStr">
        <is>
          <t>Tasca A Sospendere A4 Verticale</t>
        </is>
      </c>
      <c r="C913" s="207" t="n">
        <v>10</v>
      </c>
      <c r="D913" s="960" t="n">
        <v>1.0197</v>
      </c>
      <c r="E913" s="214" t="n"/>
      <c r="F913" s="262" t="n">
        <v>114357</v>
      </c>
      <c r="G913" s="263" t="inlineStr">
        <is>
          <t>Basetta porta messaggio inclinata mm 215x86 con tasca</t>
        </is>
      </c>
      <c r="H913" s="264" t="n">
        <v>40</v>
      </c>
      <c r="I913" s="265" t="n">
        <v>9.382</v>
      </c>
      <c r="J913" s="214" t="n"/>
      <c r="K913" s="208" t="n"/>
      <c r="L913" s="424" t="n"/>
      <c r="M913" s="961" t="n"/>
      <c r="N913" s="214" t="n"/>
    </row>
    <row r="914">
      <c r="A914" s="207" t="n">
        <v>241002</v>
      </c>
      <c r="B914" s="209" t="inlineStr">
        <is>
          <t>Tasca A Sospendere A3 Verticale</t>
        </is>
      </c>
      <c r="C914" s="207" t="n">
        <v>10</v>
      </c>
      <c r="D914" s="960" t="n">
        <v>2.575</v>
      </c>
      <c r="E914" s="214" t="n"/>
      <c r="F914" s="262" t="n">
        <v>114551</v>
      </c>
      <c r="G914" s="263" t="inlineStr">
        <is>
          <t>Heavy desk</t>
        </is>
      </c>
      <c r="H914" s="264" t="n">
        <v>1</v>
      </c>
      <c r="I914" s="265" t="n">
        <v>292.723</v>
      </c>
      <c r="J914" s="214" t="n"/>
      <c r="K914" s="208" t="n"/>
      <c r="L914" s="424" t="n"/>
      <c r="M914" s="961" t="n"/>
      <c r="N914" s="214" t="n"/>
    </row>
    <row r="915">
      <c r="A915" s="207" t="n">
        <v>950370</v>
      </c>
      <c r="B915" s="209" t="inlineStr">
        <is>
          <t>Tasca Flessibile - 3 Lati - A Sospendere A7 - Perforata</t>
        </is>
      </c>
      <c r="C915" s="207" t="n">
        <v>100</v>
      </c>
      <c r="D915" s="960" t="n">
        <v>0.2802</v>
      </c>
      <c r="E915" s="214" t="n"/>
      <c r="F915" s="262" t="n">
        <v>114552</v>
      </c>
      <c r="G915" s="263" t="inlineStr">
        <is>
          <t>Pop up desk</t>
        </is>
      </c>
      <c r="H915" s="264" t="n">
        <v>1</v>
      </c>
      <c r="I915" s="265" t="n">
        <v>248.138</v>
      </c>
      <c r="J915" s="214" t="n"/>
      <c r="K915" s="208" t="n"/>
      <c r="L915" s="424" t="n"/>
      <c r="M915" s="961" t="n"/>
      <c r="N915" s="214" t="n"/>
    </row>
    <row r="916">
      <c r="A916" s="207" t="n">
        <v>950372</v>
      </c>
      <c r="B916" s="209" t="inlineStr">
        <is>
          <t>Tasca Flessibile - 3 Lati - A Sospendere A6 - Perforata</t>
        </is>
      </c>
      <c r="C916" s="207" t="n">
        <v>100</v>
      </c>
      <c r="D916" s="960" t="n">
        <v>0.309</v>
      </c>
      <c r="E916" s="214" t="n"/>
      <c r="F916" s="262" t="n">
        <v>114900</v>
      </c>
      <c r="G916" s="263" t="inlineStr">
        <is>
          <t>Rendiresto trasparente tondo 175x25</t>
        </is>
      </c>
      <c r="H916" s="264" t="n">
        <v>100</v>
      </c>
      <c r="I916" s="265" t="n">
        <v>5.4</v>
      </c>
      <c r="J916" s="214" t="n"/>
      <c r="K916" s="208" t="n"/>
      <c r="L916" s="424" t="n"/>
      <c r="M916" s="961" t="n"/>
      <c r="N916" s="214" t="n"/>
    </row>
    <row r="917">
      <c r="A917" s="207" t="n">
        <v>950374</v>
      </c>
      <c r="B917" s="209" t="inlineStr">
        <is>
          <t>Tasca Flessibile - 3 Lati - A Sospendere A5 - Perforata</t>
        </is>
      </c>
      <c r="C917" s="207" t="n">
        <v>100</v>
      </c>
      <c r="D917" s="960" t="n">
        <v>0.3605</v>
      </c>
      <c r="E917" s="214" t="n"/>
      <c r="F917" s="262" t="n">
        <v>114901</v>
      </c>
      <c r="G917" s="263" t="inlineStr">
        <is>
          <t>Rendiresto trasparente 173x173x15</t>
        </is>
      </c>
      <c r="H917" s="264" t="n">
        <v>100</v>
      </c>
      <c r="I917" s="265" t="n">
        <v>6.768</v>
      </c>
      <c r="J917" s="214" t="n"/>
      <c r="K917" s="208" t="n"/>
      <c r="L917" s="424" t="n"/>
      <c r="M917" s="961" t="n"/>
      <c r="N917" s="214" t="n"/>
    </row>
    <row r="918">
      <c r="A918" s="207" t="n">
        <v>241070</v>
      </c>
      <c r="B918" s="209" t="inlineStr">
        <is>
          <t>Tasca Flessibile  - Rettangolare A7 - Adesiva</t>
        </is>
      </c>
      <c r="C918" s="207" t="n">
        <v>50</v>
      </c>
      <c r="D918" s="960" t="n">
        <v>0.2678</v>
      </c>
      <c r="E918" s="214" t="n"/>
      <c r="F918" s="262" t="n">
        <v>114902</v>
      </c>
      <c r="G918" s="263" t="inlineStr">
        <is>
          <t>Rendiresto trasparente 160x140x14</t>
        </is>
      </c>
      <c r="H918" s="264" t="n">
        <v>100</v>
      </c>
      <c r="I918" s="265" t="n">
        <v>4.86</v>
      </c>
      <c r="J918" s="214" t="n"/>
      <c r="K918" s="208" t="n"/>
      <c r="L918" s="424" t="n"/>
      <c r="M918" s="961" t="n"/>
      <c r="N918" s="214" t="n"/>
    </row>
    <row r="919">
      <c r="A919" s="207" t="n">
        <v>241071</v>
      </c>
      <c r="B919" s="209" t="inlineStr">
        <is>
          <t>Tasca Flessibile  - Rettangolare A6 - Adesiva</t>
        </is>
      </c>
      <c r="C919" s="207" t="n">
        <v>50</v>
      </c>
      <c r="D919" s="960" t="n">
        <v>0.4017</v>
      </c>
      <c r="E919" s="214" t="n"/>
      <c r="F919" s="262" t="n">
        <v>114903</v>
      </c>
      <c r="G919" s="263" t="inlineStr">
        <is>
          <t>Rendiresto trasparente con PVC antiriflesso 180x180x18</t>
        </is>
      </c>
      <c r="H919" s="264" t="n">
        <v>100</v>
      </c>
      <c r="I919" s="265" t="n">
        <v>15.12</v>
      </c>
      <c r="J919" s="214" t="n"/>
      <c r="K919" s="208" t="n"/>
      <c r="L919" s="424" t="n"/>
      <c r="M919" s="961" t="n"/>
      <c r="N919" s="214" t="n"/>
    </row>
    <row r="920">
      <c r="A920" s="207" t="n">
        <v>241072</v>
      </c>
      <c r="B920" s="209" t="inlineStr">
        <is>
          <t>Tasca Flessibile  - Rettangolare A5 - Adesiva</t>
        </is>
      </c>
      <c r="C920" s="207" t="n">
        <v>50</v>
      </c>
      <c r="D920" s="960" t="n">
        <v>0.618</v>
      </c>
      <c r="E920" s="214" t="n"/>
      <c r="F920" s="262" t="n">
        <v>114904</v>
      </c>
      <c r="G920" s="263" t="inlineStr">
        <is>
          <t>Rendiresto trasparente 202x170x40</t>
        </is>
      </c>
      <c r="H920" s="264" t="n">
        <v>100</v>
      </c>
      <c r="I920" s="265" t="n">
        <v>8.568</v>
      </c>
      <c r="J920" s="214" t="n"/>
      <c r="K920" s="208" t="n"/>
      <c r="L920" s="424" t="n"/>
      <c r="M920" s="961" t="n"/>
      <c r="N920" s="214" t="n"/>
    </row>
    <row r="921">
      <c r="A921" s="207" t="n">
        <v>241082</v>
      </c>
      <c r="B921" s="209" t="inlineStr">
        <is>
          <t>Tasca Flessibile  - Rettangolare A4 - Adesiva</t>
        </is>
      </c>
      <c r="C921" s="207" t="n">
        <v>50</v>
      </c>
      <c r="D921" s="960" t="n">
        <v>0.8961</v>
      </c>
      <c r="E921" s="214" t="n"/>
      <c r="F921" s="262" t="n">
        <v>114905</v>
      </c>
      <c r="G921" s="263" t="inlineStr">
        <is>
          <t>Rendiresto trasparente 178x239x50</t>
        </is>
      </c>
      <c r="H921" s="264" t="n">
        <v>100</v>
      </c>
      <c r="I921" s="265" t="n">
        <v>21.24</v>
      </c>
      <c r="J921" s="214" t="n"/>
      <c r="K921" s="208" t="n"/>
      <c r="L921" s="424" t="n"/>
      <c r="M921" s="961" t="n"/>
      <c r="N921" s="214" t="n"/>
    </row>
    <row r="922">
      <c r="A922" s="207" t="n">
        <v>241080</v>
      </c>
      <c r="B922" s="209" t="inlineStr">
        <is>
          <t>Tasca Flessibile  - Rettangolare A3 - Adesiva</t>
        </is>
      </c>
      <c r="C922" s="207" t="n">
        <v>50</v>
      </c>
      <c r="D922" s="960" t="n">
        <v>1.5965</v>
      </c>
      <c r="E922" s="214" t="n"/>
      <c r="F922" s="262" t="n">
        <v>115000</v>
      </c>
      <c r="G922" s="263" t="inlineStr">
        <is>
          <t>Cornice a scatto economica da parete A4</t>
        </is>
      </c>
      <c r="H922" s="264" t="n">
        <v>1</v>
      </c>
      <c r="I922" s="265" t="n">
        <v>9.926</v>
      </c>
      <c r="J922" s="214" t="n"/>
      <c r="K922" s="208" t="n"/>
      <c r="L922" s="424" t="n"/>
      <c r="M922" s="961" t="n"/>
      <c r="N922" s="214" t="n"/>
    </row>
    <row r="923">
      <c r="A923" s="207" t="n">
        <v>241113</v>
      </c>
      <c r="B923" s="209" t="inlineStr">
        <is>
          <t>Tasca Flessibile  - Ad Angolo 30X30mm - Adesiva</t>
        </is>
      </c>
      <c r="C923" s="207" t="n">
        <v>100</v>
      </c>
      <c r="D923" s="960" t="n">
        <v>0.0248</v>
      </c>
      <c r="E923" s="214" t="n"/>
      <c r="F923" s="262" t="n">
        <v>115004</v>
      </c>
      <c r="G923" s="263" t="inlineStr">
        <is>
          <t>Cornice a scatto economica da parete A3</t>
        </is>
      </c>
      <c r="H923" s="264" t="n">
        <v>1</v>
      </c>
      <c r="I923" s="265" t="n">
        <v>14.333</v>
      </c>
      <c r="J923" s="214" t="n"/>
      <c r="K923" s="208" t="n"/>
      <c r="L923" s="424" t="n"/>
      <c r="M923" s="961" t="n"/>
      <c r="N923" s="214" t="n"/>
    </row>
    <row r="924">
      <c r="A924" s="207" t="n">
        <v>241114</v>
      </c>
      <c r="B924" s="209" t="inlineStr">
        <is>
          <t>Tasca Flessibile  - Ad Angolo 50mmx50mm - Adesiva</t>
        </is>
      </c>
      <c r="C924" s="207" t="n">
        <v>100</v>
      </c>
      <c r="D924" s="960" t="n">
        <v>0.0361</v>
      </c>
      <c r="E924" s="214" t="n"/>
      <c r="F924" s="262" t="n">
        <v>115020</v>
      </c>
      <c r="G924" s="263" t="inlineStr">
        <is>
          <t>Cornice a scatto da parete formato A5</t>
        </is>
      </c>
      <c r="H924" s="264" t="n">
        <v>1</v>
      </c>
      <c r="I924" s="265" t="n">
        <v>10.319</v>
      </c>
      <c r="J924" s="214" t="n"/>
      <c r="K924" s="208" t="n"/>
      <c r="L924" s="424" t="n"/>
      <c r="M924" s="961" t="n"/>
      <c r="N924" s="214" t="n"/>
    </row>
    <row r="925">
      <c r="A925" s="207" t="n">
        <v>241115</v>
      </c>
      <c r="B925" s="209" t="inlineStr">
        <is>
          <t>Tasca Flessibile  - Ad Angolo 70X70mm - Adesiva</t>
        </is>
      </c>
      <c r="C925" s="207" t="n">
        <v>100</v>
      </c>
      <c r="D925" s="960" t="n">
        <v>0.0392</v>
      </c>
      <c r="E925" s="214" t="n"/>
      <c r="F925" s="262" t="n">
        <v>115021</v>
      </c>
      <c r="G925" s="263" t="inlineStr">
        <is>
          <t>Cornice a scatto da parete formato A4</t>
        </is>
      </c>
      <c r="H925" s="264" t="n">
        <v>1</v>
      </c>
      <c r="I925" s="265" t="n">
        <v>12.326</v>
      </c>
      <c r="J925" s="214" t="n"/>
      <c r="K925" s="208" t="n"/>
      <c r="L925" s="424" t="n"/>
      <c r="M925" s="961" t="n"/>
      <c r="N925" s="214" t="n"/>
    </row>
    <row r="926">
      <c r="A926" s="207" t="n">
        <v>241116</v>
      </c>
      <c r="B926" s="209" t="inlineStr">
        <is>
          <t>Tasca Flessibile  - Ad Angolo 100X100mm - Adesiva</t>
        </is>
      </c>
      <c r="C926" s="207" t="n">
        <v>100</v>
      </c>
      <c r="D926" s="960" t="n">
        <v>0.0567</v>
      </c>
      <c r="E926" s="214" t="n"/>
      <c r="F926" s="262" t="n">
        <v>115022</v>
      </c>
      <c r="G926" s="263" t="inlineStr">
        <is>
          <t>Cornice a scatto da parete formato A3</t>
        </is>
      </c>
      <c r="H926" s="264" t="n">
        <v>1</v>
      </c>
      <c r="I926" s="265" t="n">
        <v>17.322</v>
      </c>
      <c r="J926" s="214" t="n"/>
      <c r="K926" s="208" t="n"/>
      <c r="L926" s="424" t="n"/>
      <c r="M926" s="961" t="n"/>
      <c r="N926" s="214" t="n"/>
    </row>
    <row r="927">
      <c r="A927" s="207" t="n">
        <v>241117</v>
      </c>
      <c r="B927" s="209" t="inlineStr">
        <is>
          <t>Tasca Flessibile  - Ad Angolo 120X120mm - Adesiva</t>
        </is>
      </c>
      <c r="C927" s="207" t="n">
        <v>100</v>
      </c>
      <c r="D927" s="960" t="n">
        <v>0.07729999999999999</v>
      </c>
      <c r="E927" s="215" t="n"/>
      <c r="F927" s="262" t="n">
        <v>115023</v>
      </c>
      <c r="G927" s="263" t="inlineStr">
        <is>
          <t>Cornice a scatto da parete formato A2</t>
        </is>
      </c>
      <c r="H927" s="264" t="n">
        <v>1</v>
      </c>
      <c r="I927" s="265" t="n">
        <v>23.496</v>
      </c>
      <c r="J927" s="215" t="n"/>
      <c r="K927" s="209" t="n"/>
      <c r="L927" s="425" t="n"/>
      <c r="M927" s="962" t="n"/>
      <c r="N927" s="215" t="n"/>
    </row>
    <row r="928">
      <c r="A928" s="207" t="n">
        <v>241118</v>
      </c>
      <c r="B928" s="209" t="inlineStr">
        <is>
          <t>Tasca Flessibile  - Ad Angolo 140X140mm - Adesiva</t>
        </is>
      </c>
      <c r="C928" s="207" t="n">
        <v>100</v>
      </c>
      <c r="D928" s="960" t="n">
        <v>0.0876</v>
      </c>
      <c r="E928" s="214" t="n"/>
      <c r="F928" s="262" t="n">
        <v>115024</v>
      </c>
      <c r="G928" s="263" t="inlineStr">
        <is>
          <t>Cornice a scatto da parete formato A1</t>
        </is>
      </c>
      <c r="H928" s="264" t="n">
        <v>1</v>
      </c>
      <c r="I928" s="265" t="n">
        <v>32.157</v>
      </c>
      <c r="J928" s="214" t="n"/>
      <c r="K928" s="208" t="n"/>
      <c r="L928" s="424" t="n"/>
      <c r="M928" s="961" t="n"/>
      <c r="N928" s="214" t="n"/>
    </row>
    <row r="929">
      <c r="A929" s="207" t="n">
        <v>241119</v>
      </c>
      <c r="B929" s="209" t="inlineStr">
        <is>
          <t>Tasca Flessibile  - Ad Angolo 170X170mm - Adesiva</t>
        </is>
      </c>
      <c r="C929" s="207" t="n">
        <v>100</v>
      </c>
      <c r="D929" s="960" t="n">
        <v>0.1288</v>
      </c>
      <c r="E929" s="214" t="n"/>
      <c r="F929" s="262" t="n">
        <v>115025</v>
      </c>
      <c r="G929" s="263" t="inlineStr">
        <is>
          <t>Cornice a scatto da parete formato A0</t>
        </is>
      </c>
      <c r="H929" s="264" t="n">
        <v>1</v>
      </c>
      <c r="I929" s="265" t="n">
        <v>58.074</v>
      </c>
      <c r="J929" s="214" t="n"/>
      <c r="K929" s="208" t="n"/>
      <c r="L929" s="424" t="n"/>
      <c r="M929" s="961" t="n"/>
      <c r="N929" s="214" t="n"/>
    </row>
    <row r="930">
      <c r="A930" s="207" t="n">
        <v>241120</v>
      </c>
      <c r="B930" s="209" t="inlineStr">
        <is>
          <t>Tasca Flessibile  - Ad Angolo 200X200mm - Adesiva</t>
        </is>
      </c>
      <c r="C930" s="207" t="n">
        <v>100</v>
      </c>
      <c r="D930" s="960" t="n">
        <v>0.1618</v>
      </c>
      <c r="E930" s="214" t="n"/>
      <c r="F930" s="262" t="n">
        <v>115026</v>
      </c>
      <c r="G930" s="263" t="inlineStr">
        <is>
          <t>Cornice a scatto da parete formato 500X700 mm.</t>
        </is>
      </c>
      <c r="H930" s="264" t="n">
        <v>1</v>
      </c>
      <c r="I930" s="265" t="n">
        <v>27.706</v>
      </c>
      <c r="J930" s="214" t="n"/>
      <c r="K930" s="208" t="n"/>
      <c r="L930" s="424" t="n"/>
      <c r="M930" s="961" t="n"/>
      <c r="N930" s="214" t="n"/>
    </row>
    <row r="931">
      <c r="A931" s="207" t="n">
        <v>241121</v>
      </c>
      <c r="B931" s="209" t="inlineStr">
        <is>
          <t>Tasca Flessibile  - Biglietto Da Visita</t>
        </is>
      </c>
      <c r="C931" s="207" t="n">
        <v>100</v>
      </c>
      <c r="D931" s="960" t="n">
        <v>0.07729999999999999</v>
      </c>
      <c r="E931" s="214" t="n"/>
      <c r="F931" s="262" t="n">
        <v>115027</v>
      </c>
      <c r="G931" s="263" t="inlineStr">
        <is>
          <t>Cornice a scatto da parete formato 700X1000 mm.</t>
        </is>
      </c>
      <c r="H931" s="264" t="n">
        <v>1</v>
      </c>
      <c r="I931" s="265" t="n">
        <v>47.013</v>
      </c>
      <c r="J931" s="214" t="n"/>
      <c r="K931" s="208" t="n"/>
      <c r="L931" s="424" t="n"/>
      <c r="M931" s="961" t="n"/>
      <c r="N931" s="214" t="n"/>
    </row>
    <row r="932">
      <c r="A932" s="207" t="n">
        <v>241042</v>
      </c>
      <c r="B932" s="209" t="inlineStr">
        <is>
          <t>Tasca A7 Con Adesivo - Verticale</t>
        </is>
      </c>
      <c r="C932" s="207" t="n">
        <v>10</v>
      </c>
      <c r="D932" s="960" t="n">
        <v>0.3966</v>
      </c>
      <c r="E932" s="214" t="n"/>
      <c r="F932" s="262" t="n">
        <v>115028</v>
      </c>
      <c r="G932" s="263" t="inlineStr">
        <is>
          <t>Cornice a scatto da parete formato 1000X1400 mm.</t>
        </is>
      </c>
      <c r="H932" s="264" t="n">
        <v>1</v>
      </c>
      <c r="I932" s="265" t="n">
        <v>72.31999999999999</v>
      </c>
      <c r="J932" s="214" t="n"/>
      <c r="K932" s="208" t="n"/>
      <c r="L932" s="424" t="n"/>
      <c r="M932" s="961" t="n"/>
      <c r="N932" s="214" t="n"/>
    </row>
    <row r="933">
      <c r="A933" s="207" t="n">
        <v>241008</v>
      </c>
      <c r="B933" s="209" t="inlineStr">
        <is>
          <t>Tasca A6 Con Adesivo - Verticale</t>
        </is>
      </c>
      <c r="C933" s="207" t="n">
        <v>10</v>
      </c>
      <c r="D933" s="960" t="n">
        <v>0.4481</v>
      </c>
      <c r="E933" s="214" t="n"/>
      <c r="F933" s="262" t="n">
        <v>115040</v>
      </c>
      <c r="G933" s="263" t="inlineStr">
        <is>
          <t>Cornice a scatto da vetrina formato A3</t>
        </is>
      </c>
      <c r="H933" s="264" t="n">
        <v>1</v>
      </c>
      <c r="I933" s="265" t="n">
        <v>25.197</v>
      </c>
      <c r="J933" s="214" t="n"/>
      <c r="K933" s="208" t="n"/>
      <c r="L933" s="424" t="n"/>
      <c r="M933" s="961" t="n"/>
      <c r="N933" s="214" t="n"/>
    </row>
    <row r="934">
      <c r="A934" s="207" t="n">
        <v>241009</v>
      </c>
      <c r="B934" s="209" t="inlineStr">
        <is>
          <t>Tasca A5 Con Adesivo - Verticale</t>
        </is>
      </c>
      <c r="C934" s="207" t="n">
        <v>10</v>
      </c>
      <c r="D934" s="960" t="n">
        <v>0.6057</v>
      </c>
      <c r="E934" s="214" t="n"/>
      <c r="F934" s="262" t="n">
        <v>115041</v>
      </c>
      <c r="G934" s="263" t="inlineStr">
        <is>
          <t>Cornice a scatto da vetrina formato A2</t>
        </is>
      </c>
      <c r="H934" s="264" t="n">
        <v>1</v>
      </c>
      <c r="I934" s="265" t="n">
        <v>37.022</v>
      </c>
      <c r="J934" s="214" t="n"/>
      <c r="K934" s="208" t="n"/>
      <c r="L934" s="424" t="n"/>
      <c r="M934" s="961" t="n"/>
      <c r="N934" s="214" t="n"/>
    </row>
    <row r="935">
      <c r="A935" s="207" t="n">
        <v>241010</v>
      </c>
      <c r="B935" s="209" t="inlineStr">
        <is>
          <t>Tasca A4 Con Adesivo - Verticale</t>
        </is>
      </c>
      <c r="C935" s="207" t="n">
        <v>10</v>
      </c>
      <c r="D935" s="960" t="n">
        <v>0.7571</v>
      </c>
      <c r="E935" s="214" t="n"/>
      <c r="F935" s="262" t="n">
        <v>115042</v>
      </c>
      <c r="G935" s="263" t="inlineStr">
        <is>
          <t>Cornice a scatto da vetrina formato A1</t>
        </is>
      </c>
      <c r="H935" s="264" t="n">
        <v>1</v>
      </c>
      <c r="I935" s="265" t="n">
        <v>50.613</v>
      </c>
      <c r="J935" s="214" t="n"/>
      <c r="K935" s="208" t="n"/>
      <c r="L935" s="424" t="n"/>
      <c r="M935" s="961" t="n"/>
      <c r="N935" s="214" t="n"/>
    </row>
    <row r="936">
      <c r="A936" s="207" t="n">
        <v>241011</v>
      </c>
      <c r="B936" s="209" t="inlineStr">
        <is>
          <t>Tasca A3 Con Adesivo - Verticale</t>
        </is>
      </c>
      <c r="C936" s="207" t="n">
        <v>10</v>
      </c>
      <c r="D936" s="960" t="n">
        <v>1.6078</v>
      </c>
      <c r="E936" s="214" t="n"/>
      <c r="F936" s="262" t="n">
        <v>115043</v>
      </c>
      <c r="G936" s="263" t="inlineStr">
        <is>
          <t>Cornice a scatto da vetrina formato A0</t>
        </is>
      </c>
      <c r="H936" s="264" t="n">
        <v>1</v>
      </c>
      <c r="I936" s="265" t="n">
        <v>78.407</v>
      </c>
      <c r="J936" s="214" t="n"/>
      <c r="K936" s="208" t="n"/>
      <c r="L936" s="424" t="n"/>
      <c r="M936" s="961" t="n"/>
      <c r="N936" s="214" t="n"/>
    </row>
    <row r="937">
      <c r="A937" s="207" t="n">
        <v>241045</v>
      </c>
      <c r="B937" s="209" t="inlineStr">
        <is>
          <t>Tasca A7 Con Adesivo - Orizzontale</t>
        </is>
      </c>
      <c r="C937" s="207" t="n">
        <v>10</v>
      </c>
      <c r="D937" s="960" t="n">
        <v>0.5047</v>
      </c>
      <c r="E937" s="215" t="n"/>
      <c r="F937" s="262" t="n">
        <v>115044</v>
      </c>
      <c r="G937" s="263" t="inlineStr">
        <is>
          <t>Cornice a scatto da vetrina formato 500X700 mm.</t>
        </is>
      </c>
      <c r="H937" s="264" t="n">
        <v>1</v>
      </c>
      <c r="I937" s="265" t="n">
        <v>38.745</v>
      </c>
      <c r="J937" s="215" t="n"/>
      <c r="K937" s="209" t="n"/>
      <c r="L937" s="425" t="n"/>
      <c r="M937" s="962" t="n"/>
      <c r="N937" s="215" t="n"/>
    </row>
    <row r="938">
      <c r="A938" s="207" t="n">
        <v>241046</v>
      </c>
      <c r="B938" s="209" t="inlineStr">
        <is>
          <t>Tasca A6 Con Adesivo - Orizzontale</t>
        </is>
      </c>
      <c r="C938" s="207" t="n">
        <v>10</v>
      </c>
      <c r="D938" s="960" t="n">
        <v>0.6077</v>
      </c>
      <c r="E938" s="215" t="n"/>
      <c r="F938" s="262" t="n">
        <v>115045</v>
      </c>
      <c r="G938" s="263" t="inlineStr">
        <is>
          <t>Cornice a scatto da vetrina formato 700X1000 mm.</t>
        </is>
      </c>
      <c r="H938" s="264" t="n">
        <v>1</v>
      </c>
      <c r="I938" s="265" t="n">
        <v>61.87</v>
      </c>
      <c r="J938" s="215" t="n"/>
      <c r="K938" s="209" t="n"/>
      <c r="L938" s="425" t="n"/>
      <c r="M938" s="962" t="n"/>
      <c r="N938" s="215" t="n"/>
    </row>
    <row r="939">
      <c r="A939" s="207" t="n">
        <v>241049</v>
      </c>
      <c r="B939" s="209" t="inlineStr">
        <is>
          <t>Tasca A5 Con Adesivo - Orizzontale</t>
        </is>
      </c>
      <c r="C939" s="209" t="n">
        <v>10</v>
      </c>
      <c r="D939" s="960" t="n">
        <v>0.7107</v>
      </c>
      <c r="E939" s="215" t="n"/>
      <c r="F939" s="262" t="n">
        <v>115046</v>
      </c>
      <c r="G939" s="263" t="inlineStr">
        <is>
          <t>Cornice a scatto da vetrina formato 1000X1400 mm.</t>
        </is>
      </c>
      <c r="H939" s="264" t="n">
        <v>1</v>
      </c>
      <c r="I939" s="265" t="n">
        <v>89.009</v>
      </c>
      <c r="J939" s="215" t="n"/>
      <c r="K939" s="209" t="n"/>
      <c r="L939" s="425" t="n"/>
      <c r="M939" s="962" t="n"/>
      <c r="N939" s="215" t="n"/>
    </row>
    <row r="940" ht="12.75" customHeight="1">
      <c r="A940" s="207" t="n">
        <v>241060</v>
      </c>
      <c r="B940" s="209" t="inlineStr">
        <is>
          <t>Tasca A4 Con Adesivo - Orizzontale</t>
        </is>
      </c>
      <c r="C940" s="209" t="n">
        <v>10</v>
      </c>
      <c r="D940" s="960" t="n">
        <v>0.8754999999999999</v>
      </c>
      <c r="E940" s="215" t="n"/>
      <c r="F940" s="262" t="n">
        <v>115100</v>
      </c>
      <c r="G940" s="263" t="inlineStr">
        <is>
          <t>Cornice a scatto da parete waterproof formato A4</t>
        </is>
      </c>
      <c r="H940" s="264" t="n">
        <v>1</v>
      </c>
      <c r="I940" s="265" t="n">
        <v>15.02</v>
      </c>
      <c r="J940" s="215" t="n"/>
      <c r="K940" s="209" t="n"/>
      <c r="L940" s="425" t="n"/>
      <c r="M940" s="962" t="n"/>
      <c r="N940" s="215" t="n"/>
    </row>
    <row r="941" ht="12.75" customHeight="1">
      <c r="A941" s="207" t="n">
        <v>241061</v>
      </c>
      <c r="B941" s="209" t="inlineStr">
        <is>
          <t>Tasca A3 Con Adesivo - Orizzontale</t>
        </is>
      </c>
      <c r="C941" s="209" t="n">
        <v>10</v>
      </c>
      <c r="D941" s="960" t="n">
        <v>1.751</v>
      </c>
      <c r="E941" s="215" t="n"/>
      <c r="F941" s="262" t="n">
        <v>115101</v>
      </c>
      <c r="G941" s="263" t="inlineStr">
        <is>
          <t>Cornice a scatto da parete waterproof formato A3</t>
        </is>
      </c>
      <c r="H941" s="264" t="n">
        <v>1</v>
      </c>
      <c r="I941" s="265" t="n">
        <v>20.714</v>
      </c>
      <c r="J941" s="215" t="n"/>
      <c r="K941" s="209" t="n"/>
      <c r="L941" s="425" t="n"/>
      <c r="M941" s="962" t="n"/>
      <c r="N941" s="215" t="n"/>
    </row>
    <row r="942" ht="12.75" customHeight="1">
      <c r="A942" s="207" t="n">
        <v>241012</v>
      </c>
      <c r="B942" s="209" t="inlineStr">
        <is>
          <t>Tasca A5 Verticale Magnetica</t>
        </is>
      </c>
      <c r="C942" s="209" t="n">
        <v>10</v>
      </c>
      <c r="D942" s="960" t="n">
        <v>0.7416</v>
      </c>
      <c r="E942" s="215" t="n"/>
      <c r="F942" s="262" t="n">
        <v>115102</v>
      </c>
      <c r="G942" s="263" t="inlineStr">
        <is>
          <t>Cornice a scatto da parete waterproof formato A2</t>
        </is>
      </c>
      <c r="H942" s="264" t="n">
        <v>1</v>
      </c>
      <c r="I942" s="265" t="n">
        <v>28.234</v>
      </c>
      <c r="J942" s="215" t="n"/>
      <c r="K942" s="209" t="n"/>
      <c r="L942" s="425" t="n"/>
      <c r="M942" s="962" t="n"/>
      <c r="N942" s="215" t="n"/>
    </row>
    <row r="943" ht="12.75" customHeight="1">
      <c r="A943" s="207" t="n">
        <v>241013</v>
      </c>
      <c r="B943" s="209" t="inlineStr">
        <is>
          <t>Tasca A4 Verticale Magnetica</t>
        </is>
      </c>
      <c r="C943" s="209" t="n">
        <v>10</v>
      </c>
      <c r="D943" s="960" t="n">
        <v>1.2154</v>
      </c>
      <c r="E943" s="215" t="n"/>
      <c r="F943" s="262" t="n">
        <v>115103</v>
      </c>
      <c r="G943" s="263" t="inlineStr">
        <is>
          <t>Cornice a scatto da parete waterproof formato A1</t>
        </is>
      </c>
      <c r="H943" s="264" t="n">
        <v>1</v>
      </c>
      <c r="I943" s="265" t="n">
        <v>40.918</v>
      </c>
      <c r="J943" s="215" t="n"/>
      <c r="K943" s="209" t="n"/>
      <c r="L943" s="425" t="n"/>
      <c r="M943" s="962" t="n"/>
      <c r="N943" s="215" t="n"/>
    </row>
    <row r="944" ht="12.75" customHeight="1">
      <c r="A944" s="207" t="n">
        <v>241014</v>
      </c>
      <c r="B944" s="209" t="inlineStr">
        <is>
          <t>Tasca A3 Verticale Magnetica</t>
        </is>
      </c>
      <c r="C944" s="209" t="n">
        <v>10</v>
      </c>
      <c r="D944" s="960" t="n">
        <v>1.9467</v>
      </c>
      <c r="E944" s="215" t="n"/>
      <c r="F944" s="262" t="n">
        <v>115104</v>
      </c>
      <c r="G944" s="263" t="inlineStr">
        <is>
          <t>Cornice a scatto da parete waterproof formato A0</t>
        </is>
      </c>
      <c r="H944" s="264" t="n">
        <v>1</v>
      </c>
      <c r="I944" s="265" t="n">
        <v>64.44</v>
      </c>
      <c r="J944" s="215" t="n"/>
      <c r="K944" s="209" t="n"/>
      <c r="L944" s="425" t="n"/>
      <c r="M944" s="962" t="n"/>
      <c r="N944" s="215" t="n"/>
    </row>
    <row r="945" ht="12.75" customHeight="1">
      <c r="A945" s="207" t="n">
        <v>241023</v>
      </c>
      <c r="B945" s="209" t="inlineStr">
        <is>
          <t>Tasca A5 Orizzontale Magnetica</t>
        </is>
      </c>
      <c r="C945" s="209" t="n">
        <v>10</v>
      </c>
      <c r="D945" s="960" t="n">
        <v>1.1948</v>
      </c>
      <c r="E945" s="215" t="n"/>
      <c r="F945" s="262" t="n">
        <v>115105</v>
      </c>
      <c r="G945" s="263" t="inlineStr">
        <is>
          <t>Cornice a scatto da parete waterproof formato 500x700 mm.</t>
        </is>
      </c>
      <c r="H945" s="264" t="n">
        <v>1</v>
      </c>
      <c r="I945" s="265" t="n">
        <v>33.3</v>
      </c>
      <c r="J945" s="215" t="n"/>
      <c r="K945" s="209" t="n"/>
      <c r="L945" s="425" t="n"/>
      <c r="M945" s="962" t="n"/>
      <c r="N945" s="215" t="n"/>
    </row>
    <row r="946" ht="12.75" customHeight="1">
      <c r="A946" s="207" t="n">
        <v>241110</v>
      </c>
      <c r="B946" s="209" t="inlineStr">
        <is>
          <t>Tasca Elettrostatica - Pvc A5</t>
        </is>
      </c>
      <c r="C946" s="209" t="n">
        <v>5</v>
      </c>
      <c r="D946" s="960" t="n">
        <v>3.399</v>
      </c>
      <c r="E946" s="215" t="n"/>
      <c r="F946" s="262" t="n">
        <v>115106</v>
      </c>
      <c r="G946" s="263" t="inlineStr">
        <is>
          <t>Cornice a scatto da parete waterproof formato 700x1000 mm.</t>
        </is>
      </c>
      <c r="H946" s="264" t="n">
        <v>1</v>
      </c>
      <c r="I946" s="265" t="n">
        <v>55.133</v>
      </c>
      <c r="J946" s="215" t="n"/>
      <c r="K946" s="209" t="n"/>
      <c r="L946" s="425" t="n"/>
      <c r="M946" s="962" t="n"/>
      <c r="N946" s="215" t="n"/>
    </row>
    <row r="947" ht="12.75" customHeight="1">
      <c r="A947" s="207" t="n">
        <v>241111</v>
      </c>
      <c r="B947" s="209" t="inlineStr">
        <is>
          <t>Tasca Elettrostatica - Pvc A4</t>
        </is>
      </c>
      <c r="C947" s="209" t="n">
        <v>5</v>
      </c>
      <c r="D947" s="960" t="n">
        <v>6.695</v>
      </c>
      <c r="E947" s="215" t="n"/>
      <c r="F947" s="262" t="n">
        <v>115107</v>
      </c>
      <c r="G947" s="263" t="inlineStr">
        <is>
          <t>Cornice a scatto da parete waterproof formato 1000x1400 mm.</t>
        </is>
      </c>
      <c r="H947" s="264" t="n">
        <v>1</v>
      </c>
      <c r="I947" s="265" t="n">
        <v>88.23699999999999</v>
      </c>
      <c r="J947" s="215" t="n"/>
      <c r="K947" s="209" t="n"/>
      <c r="L947" s="425" t="n"/>
      <c r="M947" s="962" t="n"/>
      <c r="N947" s="215" t="n"/>
    </row>
    <row r="948" ht="12.75" customHeight="1">
      <c r="A948" s="207" t="n">
        <v>241112</v>
      </c>
      <c r="B948" s="209" t="inlineStr">
        <is>
          <t>Tasca Elettrostatica - Pvc A3</t>
        </is>
      </c>
      <c r="C948" s="209" t="n">
        <v>5</v>
      </c>
      <c r="D948" s="960" t="n">
        <v>10.2588</v>
      </c>
      <c r="E948" s="215" t="n"/>
      <c r="F948" s="262" t="n">
        <v>115120</v>
      </c>
      <c r="G948" s="263" t="inlineStr">
        <is>
          <t>Cornice a scatto da soffitto formato A4</t>
        </is>
      </c>
      <c r="H948" s="264" t="n">
        <v>1</v>
      </c>
      <c r="I948" s="265" t="n">
        <v>21.107</v>
      </c>
      <c r="J948" s="215" t="n"/>
      <c r="K948" s="209" t="n"/>
      <c r="L948" s="425" t="n"/>
      <c r="M948" s="962" t="n"/>
      <c r="N948" s="215" t="n"/>
    </row>
    <row r="949" ht="12.75" customHeight="1">
      <c r="A949" s="207" t="n">
        <v>201</v>
      </c>
      <c r="B949" s="209" t="inlineStr">
        <is>
          <t>Porta Locandina Plexiglass Verticale A4</t>
        </is>
      </c>
      <c r="C949" s="209" t="n">
        <v>1</v>
      </c>
      <c r="D949" s="960" t="n">
        <v>12.1632</v>
      </c>
      <c r="E949" s="215" t="n"/>
      <c r="F949" s="262" t="n">
        <v>115121</v>
      </c>
      <c r="G949" s="263" t="inlineStr">
        <is>
          <t>Cornice a scatto da soffitto formato A3</t>
        </is>
      </c>
      <c r="H949" s="264" t="n">
        <v>1</v>
      </c>
      <c r="I949" s="265" t="n">
        <v>30.61</v>
      </c>
      <c r="J949" s="215" t="n"/>
      <c r="K949" s="209" t="n"/>
      <c r="L949" s="425" t="n"/>
      <c r="M949" s="962" t="n"/>
      <c r="N949" s="215" t="n"/>
    </row>
    <row r="950">
      <c r="A950" s="207" t="n">
        <v>202</v>
      </c>
      <c r="B950" s="209" t="inlineStr">
        <is>
          <t>Porta Locandina Plexiglass Verticale A3</t>
        </is>
      </c>
      <c r="C950" s="209" t="n">
        <v>1</v>
      </c>
      <c r="D950" s="960" t="n">
        <v>14.111</v>
      </c>
      <c r="E950" s="215" t="n"/>
      <c r="F950" s="262" t="n">
        <v>115122</v>
      </c>
      <c r="G950" s="263" t="inlineStr">
        <is>
          <t>Cornice a scatto da soffitto formato A2</t>
        </is>
      </c>
      <c r="H950" s="264" t="n">
        <v>1</v>
      </c>
      <c r="I950" s="265" t="n">
        <v>39.347</v>
      </c>
      <c r="J950" s="215" t="n"/>
      <c r="K950" s="209" t="n"/>
      <c r="L950" s="425" t="n"/>
      <c r="M950" s="962" t="n"/>
      <c r="N950" s="215" t="n"/>
    </row>
    <row r="951" ht="12.75" customHeight="1">
      <c r="A951" s="207" t="n">
        <v>304</v>
      </c>
      <c r="B951" s="209" t="inlineStr">
        <is>
          <t>Porta Locandina Plexiglass Orizzontale A4</t>
        </is>
      </c>
      <c r="C951" s="209" t="n">
        <v>1</v>
      </c>
      <c r="D951" s="960" t="n">
        <v>7.313</v>
      </c>
      <c r="E951" s="215" t="n"/>
      <c r="F951" s="262" t="n">
        <v>115123</v>
      </c>
      <c r="G951" s="263" t="inlineStr">
        <is>
          <t>Cornice a scatto da soffitto formato A1</t>
        </is>
      </c>
      <c r="H951" s="264" t="n">
        <v>1</v>
      </c>
      <c r="I951" s="265" t="n">
        <v>58.314</v>
      </c>
      <c r="J951" s="215" t="n"/>
      <c r="K951" s="209" t="n"/>
      <c r="L951" s="425" t="n"/>
      <c r="M951" s="962" t="n"/>
      <c r="N951" s="215" t="n"/>
    </row>
    <row r="952">
      <c r="A952" s="207" t="n">
        <v>305</v>
      </c>
      <c r="B952" s="209" t="inlineStr">
        <is>
          <t>Porta Locandina Plexiglass Orizzontale A3</t>
        </is>
      </c>
      <c r="C952" s="209" t="n">
        <v>1</v>
      </c>
      <c r="D952" s="960" t="n">
        <v>14.111</v>
      </c>
      <c r="E952" s="215" t="n"/>
      <c r="F952" s="262" t="n">
        <v>115124</v>
      </c>
      <c r="G952" s="263" t="inlineStr">
        <is>
          <t>Cornice a scatto da soffitto formato 500x700 mm.</t>
        </is>
      </c>
      <c r="H952" s="264" t="n">
        <v>1</v>
      </c>
      <c r="I952" s="265" t="n">
        <v>46.278</v>
      </c>
      <c r="J952" s="215" t="n"/>
      <c r="K952" s="209" t="n"/>
      <c r="L952" s="425" t="n"/>
      <c r="M952" s="962" t="n"/>
      <c r="N952" s="215" t="n"/>
    </row>
    <row r="953" ht="12.75" customHeight="1">
      <c r="A953" s="207" t="inlineStr">
        <is>
          <t>WC1205</t>
        </is>
      </c>
      <c r="B953" s="209" t="inlineStr">
        <is>
          <t>Pinza Di Fissaggio Cavo Tasca - Semplice</t>
        </is>
      </c>
      <c r="C953" s="209" t="n"/>
      <c r="D953" s="960" t="n">
        <v>5.9598</v>
      </c>
      <c r="E953" s="215" t="n"/>
      <c r="F953" s="262" t="n">
        <v>115125</v>
      </c>
      <c r="G953" s="263" t="inlineStr">
        <is>
          <t>Cornice a scatto da soffitto formato 700x1000 mm.</t>
        </is>
      </c>
      <c r="H953" s="264" t="n">
        <v>1</v>
      </c>
      <c r="I953" s="265" t="n">
        <v>67.012</v>
      </c>
      <c r="J953" s="215" t="n"/>
      <c r="K953" s="209" t="n"/>
      <c r="L953" s="425" t="n"/>
      <c r="M953" s="962" t="n"/>
      <c r="N953" s="215" t="n"/>
    </row>
    <row r="954" ht="12.75" customHeight="1">
      <c r="A954" s="207" t="inlineStr">
        <is>
          <t>WC1206</t>
        </is>
      </c>
      <c r="B954" s="209" t="inlineStr">
        <is>
          <t>Pinza Di Fissaggio Cavo Tasca - DoPPie</t>
        </is>
      </c>
      <c r="C954" s="209" t="n"/>
      <c r="D954" s="960" t="n">
        <v>8.6233</v>
      </c>
      <c r="E954" s="215" t="n"/>
      <c r="F954" s="262" t="n">
        <v>115126</v>
      </c>
      <c r="G954" s="263" t="inlineStr">
        <is>
          <t>Cornice a scatto da soffitto formato 1000x1400 mm.</t>
        </is>
      </c>
      <c r="H954" s="264" t="n">
        <v>1</v>
      </c>
      <c r="I954" s="265" t="n">
        <v>107.341</v>
      </c>
      <c r="J954" s="215" t="n"/>
      <c r="K954" s="209" t="n"/>
      <c r="L954" s="425" t="n"/>
      <c r="M954" s="962" t="n"/>
      <c r="N954" s="215" t="n"/>
    </row>
    <row r="955">
      <c r="A955" s="207" t="inlineStr">
        <is>
          <t>C1100</t>
        </is>
      </c>
      <c r="B955" s="209" t="inlineStr">
        <is>
          <t>Kit Cavo - Pavimento  / Soffitto</t>
        </is>
      </c>
      <c r="C955" s="209" t="n">
        <v>1</v>
      </c>
      <c r="D955" s="960" t="n">
        <v>13.39</v>
      </c>
      <c r="E955" s="215" t="n"/>
      <c r="F955" s="262" t="n">
        <v>115140</v>
      </c>
      <c r="G955" s="263" t="inlineStr">
        <is>
          <t>Cornice da soffitto ultraleggera con pinze formato A4</t>
        </is>
      </c>
      <c r="H955" s="264" t="n">
        <v>1</v>
      </c>
      <c r="I955" s="265" t="n">
        <v>8.617000000000001</v>
      </c>
      <c r="J955" s="215" t="n"/>
      <c r="K955" s="209" t="n"/>
      <c r="L955" s="425" t="n"/>
      <c r="M955" s="962" t="n"/>
      <c r="N955" s="215" t="n"/>
    </row>
    <row r="956">
      <c r="A956" s="207" t="inlineStr">
        <is>
          <t>C1106</t>
        </is>
      </c>
      <c r="B956" s="209" t="inlineStr">
        <is>
          <t>Kit Cavo - Soffitto Con Peso</t>
        </is>
      </c>
      <c r="C956" s="207" t="n">
        <v>1</v>
      </c>
      <c r="D956" s="960" t="n">
        <v>21.63</v>
      </c>
      <c r="E956" s="215" t="n"/>
      <c r="F956" s="262" t="n">
        <v>115141</v>
      </c>
      <c r="G956" s="263" t="inlineStr">
        <is>
          <t>Cornice da soffitto ultraleggera con pinze formato A3</t>
        </is>
      </c>
      <c r="H956" s="264" t="n">
        <v>1</v>
      </c>
      <c r="I956" s="265" t="n">
        <v>9.49</v>
      </c>
      <c r="J956" s="215" t="n"/>
      <c r="K956" s="209" t="n"/>
      <c r="L956" s="425" t="n"/>
      <c r="M956" s="961" t="n"/>
      <c r="N956" s="215" t="n"/>
    </row>
    <row r="957" ht="12.75" customHeight="1">
      <c r="A957" s="207" t="inlineStr">
        <is>
          <t>C1104</t>
        </is>
      </c>
      <c r="B957" s="209" t="inlineStr">
        <is>
          <t>Kit Cavo - Soffitto Senza Peso</t>
        </is>
      </c>
      <c r="C957" s="207" t="n">
        <v>1</v>
      </c>
      <c r="D957" s="960" t="n">
        <v>7.725</v>
      </c>
      <c r="E957" s="215" t="n"/>
      <c r="F957" s="262" t="n">
        <v>115142</v>
      </c>
      <c r="G957" s="263" t="inlineStr">
        <is>
          <t>Cornice da soffitto ultraleggera con pinze formato A2</t>
        </is>
      </c>
      <c r="H957" s="264" t="n">
        <v>1</v>
      </c>
      <c r="I957" s="265" t="n">
        <v>10.69</v>
      </c>
      <c r="J957" s="215" t="n"/>
      <c r="K957" s="209" t="n"/>
      <c r="L957" s="425" t="n"/>
      <c r="M957" s="961" t="n"/>
      <c r="N957" s="215" t="n"/>
    </row>
    <row r="958">
      <c r="A958" s="207" t="inlineStr">
        <is>
          <t>C1102</t>
        </is>
      </c>
      <c r="B958" s="209" t="inlineStr">
        <is>
          <t>Kit Cavo Murale</t>
        </is>
      </c>
      <c r="C958" s="207" t="n">
        <v>1</v>
      </c>
      <c r="D958" s="960" t="n">
        <v>17.639</v>
      </c>
      <c r="E958" s="215" t="n"/>
      <c r="F958" s="262" t="n">
        <v>115143</v>
      </c>
      <c r="G958" s="263" t="inlineStr">
        <is>
          <t>Cornice da soffitto ultraleggera con pinze formato A1</t>
        </is>
      </c>
      <c r="H958" s="264" t="n">
        <v>1</v>
      </c>
      <c r="I958" s="265" t="n">
        <v>12.544</v>
      </c>
      <c r="J958" s="215" t="n"/>
      <c r="K958" s="209" t="n"/>
      <c r="L958" s="425" t="n"/>
      <c r="M958" s="961" t="n"/>
      <c r="N958" s="215" t="n"/>
    </row>
    <row r="959" ht="12.75" customHeight="1">
      <c r="A959" s="207" t="inlineStr">
        <is>
          <t>C1103</t>
        </is>
      </c>
      <c r="B959" s="209" t="inlineStr">
        <is>
          <t>Kit Cavo - Soffitto Per Pannello Sospeso</t>
        </is>
      </c>
      <c r="C959" s="207" t="n">
        <v>1</v>
      </c>
      <c r="D959" s="960" t="n">
        <v>8.24</v>
      </c>
      <c r="E959" s="215" t="n"/>
      <c r="F959" s="262" t="n">
        <v>115144</v>
      </c>
      <c r="G959" s="263" t="inlineStr">
        <is>
          <t>Cornice da soffitto ultraleggera con pinze formato 500X700 mm.</t>
        </is>
      </c>
      <c r="H959" s="264" t="n">
        <v>1</v>
      </c>
      <c r="I959" s="265" t="n">
        <v>11.781</v>
      </c>
      <c r="J959" s="215" t="n"/>
      <c r="K959" s="209" t="n"/>
      <c r="L959" s="425" t="n"/>
      <c r="M959" s="961" t="n"/>
      <c r="N959" s="215" t="n"/>
    </row>
    <row r="960" ht="12.75" customHeight="1">
      <c r="A960" s="207" t="inlineStr">
        <is>
          <t>C1711</t>
        </is>
      </c>
      <c r="B960" s="209" t="inlineStr">
        <is>
          <t>Binario Alluminio - 2 Metri</t>
        </is>
      </c>
      <c r="C960" s="207" t="n">
        <v>1</v>
      </c>
      <c r="D960" s="960" t="n">
        <v>11.6081</v>
      </c>
      <c r="E960" s="215" t="n"/>
      <c r="F960" s="262" t="n">
        <v>115145</v>
      </c>
      <c r="G960" s="263" t="inlineStr">
        <is>
          <t>Cornice da soffitto ultraleggera con pinze formato 700x1000 mm.</t>
        </is>
      </c>
      <c r="H960" s="264" t="n">
        <v>1</v>
      </c>
      <c r="I960" s="265" t="n">
        <v>13.657</v>
      </c>
      <c r="J960" s="215" t="n"/>
      <c r="K960" s="209" t="n"/>
      <c r="L960" s="425" t="n"/>
      <c r="M960" s="961" t="n"/>
      <c r="N960" s="215" t="n"/>
    </row>
    <row r="961">
      <c r="A961" s="207" t="inlineStr">
        <is>
          <t>C1710</t>
        </is>
      </c>
      <c r="B961" s="209" t="inlineStr">
        <is>
          <t>Testa Di Fissaggio</t>
        </is>
      </c>
      <c r="C961" s="207" t="n">
        <v>1</v>
      </c>
      <c r="D961" s="960" t="n">
        <v>1.648</v>
      </c>
      <c r="E961" s="214" t="n"/>
      <c r="F961" s="262" t="n">
        <v>115161</v>
      </c>
      <c r="G961" s="263" t="inlineStr">
        <is>
          <t>Cornice con base adesiva da parete o da banco formato A4</t>
        </is>
      </c>
      <c r="H961" s="264" t="n">
        <v>1</v>
      </c>
      <c r="I961" s="265" t="n">
        <v>24.107</v>
      </c>
      <c r="J961" s="214" t="n"/>
      <c r="K961" s="208" t="n"/>
      <c r="L961" s="424" t="n"/>
      <c r="M961" s="961" t="n"/>
      <c r="N961" s="214" t="n"/>
    </row>
    <row r="962">
      <c r="A962" s="207" t="inlineStr">
        <is>
          <t>PLA4V4</t>
        </is>
      </c>
      <c r="B962" s="209" t="inlineStr">
        <is>
          <t>Kit Plexi Completo Tasche Verticali - Pavimento/Soffitto</t>
        </is>
      </c>
      <c r="C962" s="207" t="n">
        <v>1</v>
      </c>
      <c r="D962" s="960" t="n">
        <v>91.67</v>
      </c>
      <c r="E962" s="214" t="n"/>
      <c r="F962" s="262" t="n">
        <v>115162</v>
      </c>
      <c r="G962" s="263" t="inlineStr">
        <is>
          <t>Cornice con base adesiva da parete o da banco formato A3</t>
        </is>
      </c>
      <c r="H962" s="264" t="n">
        <v>1</v>
      </c>
      <c r="I962" s="265" t="n">
        <v>33.422</v>
      </c>
      <c r="J962" s="214" t="n"/>
      <c r="K962" s="208" t="n"/>
      <c r="L962" s="424" t="n"/>
      <c r="M962" s="961" t="n"/>
      <c r="N962" s="214" t="n"/>
    </row>
    <row r="963">
      <c r="A963" s="207" t="inlineStr">
        <is>
          <t>PLA4H4</t>
        </is>
      </c>
      <c r="B963" s="209" t="inlineStr">
        <is>
          <t>Kit Plexi Completo Tasche Orizzontali - Pavimento/Soffitto</t>
        </is>
      </c>
      <c r="C963" s="207" t="n">
        <v>1</v>
      </c>
      <c r="D963" s="960" t="n">
        <v>91.67</v>
      </c>
      <c r="E963" s="214" t="n"/>
      <c r="F963" s="262" t="n">
        <v>115170</v>
      </c>
      <c r="G963" s="263" t="inlineStr">
        <is>
          <t>Profilo in alluminio porta poster mm. 210</t>
        </is>
      </c>
      <c r="H963" s="264" t="n">
        <v>1</v>
      </c>
      <c r="I963" s="265" t="n">
        <v>8.141999999999999</v>
      </c>
      <c r="J963" s="214" t="n"/>
      <c r="K963" s="208" t="n"/>
      <c r="L963" s="424" t="n"/>
      <c r="M963" s="961" t="n"/>
      <c r="N963" s="214" t="n"/>
    </row>
    <row r="964">
      <c r="A964" s="207" t="inlineStr">
        <is>
          <t>PMA4V4</t>
        </is>
      </c>
      <c r="B964" s="209" t="inlineStr">
        <is>
          <t>Kit Plexi Completo Tasche Verticali - Pavimento/Parete</t>
        </is>
      </c>
      <c r="C964" s="207" t="n">
        <v>1</v>
      </c>
      <c r="D964" s="960" t="n">
        <v>119.48</v>
      </c>
      <c r="E964" s="214" t="n"/>
      <c r="F964" s="262" t="n">
        <v>115171</v>
      </c>
      <c r="G964" s="263" t="inlineStr">
        <is>
          <t>Profilo in alluminio porta poster mm. 300</t>
        </is>
      </c>
      <c r="H964" s="264" t="n">
        <v>1</v>
      </c>
      <c r="I964" s="265" t="n">
        <v>9.752000000000001</v>
      </c>
      <c r="J964" s="214" t="n"/>
      <c r="K964" s="208" t="n"/>
      <c r="L964" s="424" t="n"/>
      <c r="M964" s="961" t="n"/>
      <c r="N964" s="214" t="n"/>
    </row>
    <row r="965">
      <c r="A965" s="207" t="inlineStr">
        <is>
          <t>PMA4H4</t>
        </is>
      </c>
      <c r="B965" s="209" t="inlineStr">
        <is>
          <t>Kit Plexi Completo Tasche Orizzontali - Pavimento/Parete</t>
        </is>
      </c>
      <c r="C965" s="207" t="n">
        <v>1</v>
      </c>
      <c r="D965" s="960" t="n">
        <v>119.48</v>
      </c>
      <c r="E965" s="214" t="n"/>
      <c r="F965" s="262" t="n">
        <v>115172</v>
      </c>
      <c r="G965" s="263" t="inlineStr">
        <is>
          <t>Profilo in alluminio porta poster mm. 420</t>
        </is>
      </c>
      <c r="H965" s="264" t="n">
        <v>1</v>
      </c>
      <c r="I965" s="268" t="n">
        <v>12.088</v>
      </c>
      <c r="J965" s="214" t="n"/>
      <c r="K965" s="208" t="n"/>
      <c r="L965" s="424" t="n"/>
      <c r="M965" s="961" t="n"/>
      <c r="N965" s="214" t="n"/>
    </row>
    <row r="966">
      <c r="A966" s="207" t="inlineStr">
        <is>
          <t>F1A4HG4</t>
        </is>
      </c>
      <c r="B966" s="209" t="inlineStr">
        <is>
          <t>Kit Led Completo Mira - 4 Tasche A4 Orizzontali</t>
        </is>
      </c>
      <c r="C966" s="207" t="n">
        <v>1</v>
      </c>
      <c r="D966" s="960" t="n">
        <v>215.27</v>
      </c>
      <c r="E966" s="214" t="n"/>
      <c r="F966" s="262" t="n">
        <v>115173</v>
      </c>
      <c r="G966" s="263" t="inlineStr">
        <is>
          <t>Profilo in alluminio porta poster mm. 500</t>
        </is>
      </c>
      <c r="H966" s="264" t="n">
        <v>1</v>
      </c>
      <c r="I966" s="268" t="n">
        <v>13.948</v>
      </c>
      <c r="J966" s="214" t="n"/>
      <c r="K966" s="208" t="n"/>
      <c r="L966" s="424" t="n"/>
      <c r="M966" s="961" t="n"/>
      <c r="N966" s="214" t="n"/>
    </row>
    <row r="967">
      <c r="A967" s="207" t="inlineStr">
        <is>
          <t>F1A3HG3</t>
        </is>
      </c>
      <c r="B967" s="209" t="inlineStr">
        <is>
          <t>Kit Led Completo Mira - 3 Tasche A3 Orizzontali</t>
        </is>
      </c>
      <c r="C967" s="207" t="n">
        <v>1</v>
      </c>
      <c r="D967" s="960" t="n">
        <v>235.87</v>
      </c>
      <c r="E967" s="214" t="n"/>
      <c r="F967" s="262" t="n">
        <v>115174</v>
      </c>
      <c r="G967" s="263" t="inlineStr">
        <is>
          <t>Profilo in alluminio porta poster mm. 600</t>
        </is>
      </c>
      <c r="H967" s="264" t="n">
        <v>1</v>
      </c>
      <c r="I967" s="268" t="n">
        <v>15.105</v>
      </c>
      <c r="J967" s="214" t="n"/>
      <c r="K967" s="208" t="n"/>
      <c r="L967" s="424" t="n"/>
      <c r="M967" s="961" t="n"/>
      <c r="N967" s="214" t="n"/>
    </row>
    <row r="968">
      <c r="A968" s="207" t="inlineStr">
        <is>
          <t>F1A4VG4</t>
        </is>
      </c>
      <c r="B968" s="209" t="inlineStr">
        <is>
          <t>Kit Led Completo Mira - 4 Tasche A4 Verticali</t>
        </is>
      </c>
      <c r="C968" s="207" t="n">
        <v>1</v>
      </c>
      <c r="D968" s="960" t="n">
        <v>215.27</v>
      </c>
      <c r="E968" s="214" t="n"/>
      <c r="F968" s="262" t="n">
        <v>115175</v>
      </c>
      <c r="G968" s="263" t="inlineStr">
        <is>
          <t>Profilo in alluminio porta poster mm. 700</t>
        </is>
      </c>
      <c r="H968" s="264" t="n">
        <v>1</v>
      </c>
      <c r="I968" s="268" t="n">
        <v>16.738</v>
      </c>
      <c r="J968" s="214" t="n"/>
      <c r="K968" s="208" t="n"/>
      <c r="L968" s="424" t="n"/>
      <c r="M968" s="961" t="n"/>
      <c r="N968" s="214" t="n"/>
    </row>
    <row r="969">
      <c r="A969" s="207" t="inlineStr">
        <is>
          <t>F1A3VG3</t>
        </is>
      </c>
      <c r="B969" s="209" t="inlineStr">
        <is>
          <t>Kit Led Completo Mira - 3 Tasche A3 Verticali</t>
        </is>
      </c>
      <c r="C969" s="207" t="n">
        <v>1</v>
      </c>
      <c r="D969" s="960" t="n">
        <v>235.87</v>
      </c>
      <c r="E969" s="214" t="n"/>
      <c r="F969" s="262" t="n">
        <v>115176</v>
      </c>
      <c r="G969" s="263" t="inlineStr">
        <is>
          <t>Profilo in alluminio porta poster mm. 850</t>
        </is>
      </c>
      <c r="H969" s="264" t="n">
        <v>1</v>
      </c>
      <c r="I969" s="268" t="n">
        <v>17.895</v>
      </c>
      <c r="J969" s="214" t="n"/>
      <c r="K969" s="208" t="n"/>
      <c r="L969" s="424" t="n"/>
      <c r="M969" s="961" t="n"/>
      <c r="N969" s="214" t="n"/>
    </row>
    <row r="970">
      <c r="A970" s="207" t="inlineStr">
        <is>
          <t>ELEC5</t>
        </is>
      </c>
      <c r="B970" s="209" t="inlineStr">
        <is>
          <t>Alimentatore 5 Amp</t>
        </is>
      </c>
      <c r="C970" s="207" t="n">
        <v>1</v>
      </c>
      <c r="D970" s="960" t="n">
        <v>56.65</v>
      </c>
      <c r="E970" s="214" t="n"/>
      <c r="F970" s="262" t="n">
        <v>115177</v>
      </c>
      <c r="G970" s="263" t="inlineStr">
        <is>
          <t>Profilo in alluminio porta poster mm. 1000</t>
        </is>
      </c>
      <c r="H970" s="264" t="n">
        <v>1</v>
      </c>
      <c r="I970" s="268" t="n">
        <v>21.387</v>
      </c>
      <c r="J970" s="214" t="n"/>
      <c r="K970" s="208" t="n"/>
      <c r="L970" s="424" t="n"/>
      <c r="M970" s="961" t="n"/>
      <c r="N970" s="214" t="n"/>
    </row>
    <row r="971">
      <c r="A971" s="207" t="n">
        <v>610400</v>
      </c>
      <c r="B971" s="209" t="inlineStr">
        <is>
          <t>Cornici Di Plastica A5 Bianco</t>
        </is>
      </c>
      <c r="C971" s="207" t="n">
        <v>10</v>
      </c>
      <c r="D971" s="960" t="n">
        <v>0.7725</v>
      </c>
      <c r="E971" s="214" t="n"/>
      <c r="F971" s="262" t="n">
        <v>115178</v>
      </c>
      <c r="G971" s="263" t="inlineStr">
        <is>
          <t>Profilo in alluminio porta poster mm. 1200</t>
        </is>
      </c>
      <c r="H971" s="264" t="n">
        <v>1</v>
      </c>
      <c r="I971" s="268" t="n">
        <v>24.177</v>
      </c>
      <c r="J971" s="214" t="n"/>
      <c r="K971" s="208" t="n"/>
      <c r="L971" s="424" t="n"/>
      <c r="M971" s="961" t="n"/>
      <c r="N971" s="214" t="n"/>
    </row>
    <row r="972">
      <c r="A972" s="207" t="n">
        <v>610800</v>
      </c>
      <c r="B972" s="209" t="inlineStr">
        <is>
          <t>Cornici In Plastica A4 Bianco</t>
        </is>
      </c>
      <c r="C972" s="207" t="n">
        <v>10</v>
      </c>
      <c r="D972" s="960" t="n">
        <v>0.9917</v>
      </c>
      <c r="E972" s="214" t="n"/>
      <c r="F972" s="262" t="n">
        <v>115190</v>
      </c>
      <c r="G972" s="263" t="inlineStr">
        <is>
          <t>Profilo in alluminio porta messaggi da parete formato 320 mm.</t>
        </is>
      </c>
      <c r="H972" s="264" t="n">
        <v>1</v>
      </c>
      <c r="I972" s="268" t="n">
        <v>8.289999999999999</v>
      </c>
      <c r="J972" s="214" t="n"/>
      <c r="K972" s="208" t="n"/>
      <c r="L972" s="424" t="n"/>
      <c r="M972" s="961" t="n"/>
      <c r="N972" s="214" t="n"/>
    </row>
    <row r="973">
      <c r="A973" s="207" t="n">
        <v>610806</v>
      </c>
      <c r="B973" s="209" t="inlineStr">
        <is>
          <t>Cornici In Plastica A4 Nero</t>
        </is>
      </c>
      <c r="C973" s="207" t="n">
        <v>10</v>
      </c>
      <c r="D973" s="960" t="n">
        <v>0.9167</v>
      </c>
      <c r="E973" s="214" t="n"/>
      <c r="F973" s="262" t="n">
        <v>115191</v>
      </c>
      <c r="G973" s="263" t="inlineStr">
        <is>
          <t>Profilo in alluminio porta messaggi da parete formato 510 mm.</t>
        </is>
      </c>
      <c r="H973" s="264" t="n">
        <v>1</v>
      </c>
      <c r="I973" s="268" t="n">
        <v>11.497</v>
      </c>
      <c r="J973" s="214" t="n"/>
      <c r="K973" s="208" t="n"/>
      <c r="L973" s="424" t="n"/>
      <c r="M973" s="961" t="n"/>
      <c r="N973" s="214" t="n"/>
    </row>
    <row r="974">
      <c r="A974" s="207" t="n">
        <v>610804</v>
      </c>
      <c r="B974" s="209" t="inlineStr">
        <is>
          <t>Cornici In Plastica A4 Trasparente</t>
        </is>
      </c>
      <c r="C974" s="207" t="n">
        <v>10</v>
      </c>
      <c r="D974" s="960" t="n">
        <v>1.044</v>
      </c>
      <c r="E974" s="214" t="n"/>
      <c r="F974" s="262" t="n">
        <v>115192</v>
      </c>
      <c r="G974" s="263" t="inlineStr">
        <is>
          <t>Profilo in alluminio porta messaggi da parete formato 580 mm.</t>
        </is>
      </c>
      <c r="H974" s="264" t="n">
        <v>1</v>
      </c>
      <c r="I974" s="268" t="n">
        <v>12.021</v>
      </c>
      <c r="J974" s="214" t="n"/>
      <c r="K974" s="208" t="n"/>
      <c r="L974" s="424" t="n"/>
      <c r="M974" s="961" t="n"/>
      <c r="N974" s="214" t="n"/>
    </row>
    <row r="975">
      <c r="A975" s="207" t="n">
        <v>611200</v>
      </c>
      <c r="B975" s="209" t="inlineStr">
        <is>
          <t>Cornici In Plastica A3 Bianco</t>
        </is>
      </c>
      <c r="C975" s="207" t="n">
        <v>10</v>
      </c>
      <c r="D975" s="960" t="n">
        <v>1.442</v>
      </c>
      <c r="E975" s="214" t="n"/>
      <c r="F975" s="262" t="n">
        <v>115193</v>
      </c>
      <c r="G975" s="263" t="inlineStr">
        <is>
          <t>Profilo in alluminio porta messaggi da parete formato 880 mm.</t>
        </is>
      </c>
      <c r="H975" s="264" t="n">
        <v>1</v>
      </c>
      <c r="I975" s="268" t="n">
        <v>16.231</v>
      </c>
      <c r="J975" s="214" t="n"/>
      <c r="K975" s="208" t="n"/>
      <c r="L975" s="424" t="n"/>
      <c r="M975" s="961" t="n"/>
      <c r="N975" s="214" t="n"/>
    </row>
    <row r="976">
      <c r="A976" s="207" t="n">
        <v>611206</v>
      </c>
      <c r="B976" s="209" t="inlineStr">
        <is>
          <t>Cornici In Plastica A3 Nero</t>
        </is>
      </c>
      <c r="C976" s="207" t="n">
        <v>10</v>
      </c>
      <c r="D976" s="960" t="n">
        <v>1.442</v>
      </c>
      <c r="E976" s="214" t="n"/>
      <c r="F976" s="262" t="n">
        <v>115194</v>
      </c>
      <c r="G976" s="263" t="inlineStr">
        <is>
          <t>Profilo in alluminio porta messaggi da parete formato 1000 mm.</t>
        </is>
      </c>
      <c r="H976" s="264" t="n">
        <v>1</v>
      </c>
      <c r="I976" s="268" t="n">
        <v>17.845</v>
      </c>
      <c r="J976" s="214" t="n"/>
      <c r="K976" s="208" t="n"/>
      <c r="L976" s="424" t="n"/>
      <c r="M976" s="961" t="n"/>
      <c r="N976" s="214" t="n"/>
    </row>
    <row r="977">
      <c r="A977" s="207" t="n">
        <v>611204</v>
      </c>
      <c r="B977" s="209" t="inlineStr">
        <is>
          <t>Cornici In Plastica A3 Trasparente</t>
        </is>
      </c>
      <c r="C977" s="207" t="n">
        <v>10</v>
      </c>
      <c r="D977" s="960" t="n">
        <v>1.442</v>
      </c>
      <c r="E977" s="214" t="n"/>
      <c r="F977" s="262" t="n">
        <v>115195</v>
      </c>
      <c r="G977" s="263" t="inlineStr">
        <is>
          <t>Profilo in alluminio porta messaggi da parete formato 1200 mm.</t>
        </is>
      </c>
      <c r="H977" s="264" t="n">
        <v>1</v>
      </c>
      <c r="I977" s="268" t="n">
        <v>20.463</v>
      </c>
      <c r="J977" s="214" t="n"/>
      <c r="K977" s="208" t="n"/>
      <c r="L977" s="424" t="n"/>
      <c r="M977" s="961" t="n"/>
      <c r="N977" s="214" t="n"/>
    </row>
    <row r="978">
      <c r="A978" s="207" t="n">
        <v>744161</v>
      </c>
      <c r="B978" s="209" t="inlineStr">
        <is>
          <t>Tasca R/V Per Cornici A5</t>
        </is>
      </c>
      <c r="C978" s="207" t="n">
        <v>10</v>
      </c>
      <c r="D978" s="960" t="n">
        <v>0.5356</v>
      </c>
      <c r="E978" s="214" t="n"/>
      <c r="F978" s="262" t="n">
        <v>115196</v>
      </c>
      <c r="G978" s="263" t="inlineStr">
        <is>
          <t>Profilo in alluminio porta messaggi da parete formato 1500 mm.</t>
        </is>
      </c>
      <c r="H978" s="264" t="n">
        <v>1</v>
      </c>
      <c r="I978" s="268" t="n">
        <v>25.525</v>
      </c>
      <c r="J978" s="214" t="n"/>
      <c r="K978" s="208" t="n"/>
      <c r="L978" s="424" t="n"/>
      <c r="M978" s="961" t="n"/>
      <c r="N978" s="214" t="n"/>
    </row>
    <row r="979">
      <c r="A979" s="207" t="n">
        <v>744163</v>
      </c>
      <c r="B979" s="209" t="inlineStr">
        <is>
          <t>Tasca R/V Per Cornici A4</t>
        </is>
      </c>
      <c r="C979" s="207" t="n">
        <v>10</v>
      </c>
      <c r="D979" s="960" t="n">
        <v>0.7153</v>
      </c>
      <c r="E979" s="214" t="n"/>
      <c r="F979" s="262" t="n">
        <v>115210</v>
      </c>
      <c r="G979" s="263" t="inlineStr">
        <is>
          <t>Profilo in alluminio porta poster bifacciale mm. 210</t>
        </is>
      </c>
      <c r="H979" s="264" t="n">
        <v>1</v>
      </c>
      <c r="I979" s="268" t="n">
        <v>7.983</v>
      </c>
      <c r="J979" s="214" t="n"/>
      <c r="K979" s="208" t="n"/>
      <c r="L979" s="424" t="n"/>
      <c r="M979" s="961" t="n"/>
      <c r="N979" s="214" t="n"/>
    </row>
    <row r="980">
      <c r="A980" s="207" t="n">
        <v>744165</v>
      </c>
      <c r="B980" s="209" t="inlineStr">
        <is>
          <t>Tasca R/V Per Cornici A3</t>
        </is>
      </c>
      <c r="C980" s="207" t="n">
        <v>10</v>
      </c>
      <c r="D980" s="960" t="n">
        <v>1.2875</v>
      </c>
      <c r="E980" s="214" t="n"/>
      <c r="F980" s="262" t="n">
        <v>115211</v>
      </c>
      <c r="G980" s="263" t="inlineStr">
        <is>
          <t>Profilo in alluminio porta poster bifacciale mm. 300</t>
        </is>
      </c>
      <c r="H980" s="264" t="n">
        <v>1</v>
      </c>
      <c r="I980" s="268" t="n">
        <v>9.435</v>
      </c>
      <c r="J980" s="214" t="n"/>
      <c r="K980" s="208" t="n"/>
      <c r="L980" s="424" t="n"/>
      <c r="M980" s="961" t="n"/>
      <c r="N980" s="214" t="n"/>
    </row>
    <row r="981">
      <c r="A981" s="207" t="n">
        <v>821008</v>
      </c>
      <c r="B981" s="209" t="inlineStr">
        <is>
          <t>Promokit Eco Nero 350-580 mm</t>
        </is>
      </c>
      <c r="C981" s="207" t="n">
        <v>5</v>
      </c>
      <c r="D981" s="960" t="n">
        <v>4.2603</v>
      </c>
      <c r="E981" s="214" t="n"/>
      <c r="F981" s="262" t="n">
        <v>115212</v>
      </c>
      <c r="G981" s="263" t="inlineStr">
        <is>
          <t>Profilo in alluminio porta poster bifacciale mm. 420</t>
        </is>
      </c>
      <c r="H981" s="264" t="n">
        <v>1</v>
      </c>
      <c r="I981" s="268" t="n">
        <v>11.159</v>
      </c>
      <c r="J981" s="214" t="n"/>
      <c r="K981" s="208" t="n"/>
      <c r="L981" s="424" t="n"/>
      <c r="M981" s="961" t="n"/>
      <c r="N981" s="214" t="n"/>
    </row>
    <row r="982">
      <c r="A982" s="207" t="n">
        <v>821010</v>
      </c>
      <c r="B982" s="209" t="inlineStr">
        <is>
          <t>Promokit Eco Nero 600-1000 mm</t>
        </is>
      </c>
      <c r="C982" s="207" t="n">
        <v>5</v>
      </c>
      <c r="D982" s="960" t="n">
        <v>5.718</v>
      </c>
      <c r="E982" s="214" t="n"/>
      <c r="F982" s="262" t="n">
        <v>115213</v>
      </c>
      <c r="G982" s="263" t="inlineStr">
        <is>
          <t>Profilo in alluminio porta poster bifacciale mm. 500</t>
        </is>
      </c>
      <c r="H982" s="264" t="n">
        <v>1</v>
      </c>
      <c r="I982" s="268" t="n">
        <v>12.406</v>
      </c>
      <c r="J982" s="214" t="n"/>
      <c r="K982" s="208" t="n"/>
      <c r="L982" s="424" t="n"/>
      <c r="M982" s="961" t="n"/>
      <c r="N982" s="214" t="n"/>
    </row>
    <row r="983">
      <c r="A983" s="207" t="n">
        <v>822007</v>
      </c>
      <c r="B983" s="209" t="inlineStr">
        <is>
          <t>Promokit Eco Nero 32-62 mm</t>
        </is>
      </c>
      <c r="C983" s="207" t="n">
        <v>10</v>
      </c>
      <c r="D983" s="960" t="n">
        <v>3.7595</v>
      </c>
      <c r="E983" s="214" t="n"/>
      <c r="F983" s="262" t="n">
        <v>115214</v>
      </c>
      <c r="G983" s="263" t="inlineStr">
        <is>
          <t>Profilo in alluminio porta poster bifacciale mm. 600</t>
        </is>
      </c>
      <c r="H983" s="264" t="n">
        <v>1</v>
      </c>
      <c r="I983" s="268" t="n">
        <v>13.608</v>
      </c>
      <c r="J983" s="214" t="n"/>
      <c r="K983" s="208" t="n"/>
      <c r="L983" s="424" t="n"/>
      <c r="M983" s="961" t="n"/>
      <c r="N983" s="214" t="n"/>
    </row>
    <row r="984">
      <c r="A984" s="209" t="n">
        <v>822004</v>
      </c>
      <c r="B984" s="209" t="inlineStr">
        <is>
          <t>Promokit Metallo 320-620mm</t>
        </is>
      </c>
      <c r="C984" s="209" t="n">
        <v>5</v>
      </c>
      <c r="D984" s="960" t="n">
        <v>6.077</v>
      </c>
      <c r="E984" s="215" t="n"/>
      <c r="F984" s="262" t="n">
        <v>115215</v>
      </c>
      <c r="G984" s="263" t="inlineStr">
        <is>
          <t>Profilo in alluminio porta poster bifacciale mm. 700</t>
        </is>
      </c>
      <c r="H984" s="264" t="n">
        <v>1</v>
      </c>
      <c r="I984" s="268" t="n">
        <v>15.377</v>
      </c>
      <c r="J984" s="215" t="n"/>
      <c r="K984" s="209" t="n"/>
      <c r="L984" s="425" t="n"/>
      <c r="M984" s="962" t="n"/>
      <c r="N984" s="215" t="n"/>
    </row>
    <row r="985">
      <c r="A985" s="207" t="n">
        <v>822006</v>
      </c>
      <c r="B985" s="209" t="inlineStr">
        <is>
          <t>Promokit Metallo 600-1000mm</t>
        </is>
      </c>
      <c r="C985" s="207" t="n">
        <v>5</v>
      </c>
      <c r="D985" s="960" t="n">
        <v>8.1576</v>
      </c>
      <c r="E985" s="214" t="n"/>
      <c r="F985" s="262" t="n">
        <v>115216</v>
      </c>
      <c r="G985" s="263" t="inlineStr">
        <is>
          <t>Profilo in alluminio porta poster bifacciale mm. 850</t>
        </is>
      </c>
      <c r="H985" s="264" t="n">
        <v>1</v>
      </c>
      <c r="I985" s="268" t="n">
        <v>17.849</v>
      </c>
      <c r="J985" s="214" t="n"/>
      <c r="K985" s="208" t="n"/>
      <c r="L985" s="424" t="n"/>
      <c r="M985" s="961" t="n"/>
      <c r="N985" s="214" t="n"/>
    </row>
    <row r="986">
      <c r="A986" s="209" t="n">
        <v>822005</v>
      </c>
      <c r="B986" s="209" t="inlineStr">
        <is>
          <t>Promokit Metallo 320-620mm - Base Rotonda</t>
        </is>
      </c>
      <c r="C986" s="209" t="n">
        <v>5</v>
      </c>
      <c r="D986" s="960" t="n">
        <v>5.6965</v>
      </c>
      <c r="E986" s="215" t="n"/>
      <c r="F986" s="262" t="n">
        <v>115217</v>
      </c>
      <c r="G986" s="263" t="inlineStr">
        <is>
          <t>Profilo in alluminio porta poster bifacciale mm. 1000</t>
        </is>
      </c>
      <c r="H986" s="264" t="n">
        <v>1</v>
      </c>
      <c r="I986" s="268" t="n">
        <v>21.047</v>
      </c>
      <c r="J986" s="215" t="n"/>
      <c r="K986" s="209" t="n"/>
      <c r="L986" s="425" t="n"/>
      <c r="M986" s="962" t="n"/>
      <c r="N986" s="215" t="n"/>
    </row>
    <row r="987">
      <c r="A987" s="207" t="n">
        <v>774001</v>
      </c>
      <c r="B987" s="209" t="inlineStr">
        <is>
          <t>Promokit Magnum</t>
        </is>
      </c>
      <c r="C987" s="207" t="n">
        <v>5</v>
      </c>
      <c r="D987" s="960" t="n">
        <v>19.0344</v>
      </c>
      <c r="E987" s="214" t="n"/>
      <c r="F987" s="262" t="n">
        <v>115218</v>
      </c>
      <c r="G987" s="263" t="inlineStr">
        <is>
          <t>Profilo in alluminio porta poster bifacciale mm. 1200</t>
        </is>
      </c>
      <c r="H987" s="264" t="n">
        <v>1</v>
      </c>
      <c r="I987" s="268" t="n">
        <v>22.816</v>
      </c>
      <c r="J987" s="214" t="n"/>
      <c r="K987" s="208" t="n"/>
      <c r="L987" s="424" t="n"/>
      <c r="M987" s="961" t="n"/>
      <c r="N987" s="214" t="n"/>
    </row>
    <row r="988">
      <c r="A988" s="207" t="n">
        <v>610308</v>
      </c>
      <c r="B988" s="209" t="inlineStr">
        <is>
          <t>Gancio Per Cornice In Pvc</t>
        </is>
      </c>
      <c r="C988" s="207" t="n">
        <v>10</v>
      </c>
      <c r="D988" s="960" t="n">
        <v>0.5416</v>
      </c>
      <c r="E988" s="214" t="n"/>
      <c r="F988" s="262" t="n">
        <v>115231</v>
      </c>
      <c r="G988" s="263" t="inlineStr">
        <is>
          <t>Targa con profilo a scatto in alluminio formato 105x148</t>
        </is>
      </c>
      <c r="H988" s="264" t="n">
        <v>1</v>
      </c>
      <c r="I988" s="268" t="n">
        <v>5.759</v>
      </c>
      <c r="J988" s="214" t="n"/>
      <c r="K988" s="208" t="n"/>
      <c r="L988" s="424" t="n"/>
      <c r="M988" s="961" t="n"/>
      <c r="N988" s="214" t="n"/>
    </row>
    <row r="989">
      <c r="A989" s="207" t="n">
        <v>610302</v>
      </c>
      <c r="B989" s="209" t="inlineStr">
        <is>
          <t>Pinza Con Astina</t>
        </is>
      </c>
      <c r="C989" s="207" t="n">
        <v>10</v>
      </c>
      <c r="D989" s="960" t="n">
        <v>2.1992</v>
      </c>
      <c r="E989" s="214" t="n"/>
      <c r="F989" s="262" t="n">
        <v>115233</v>
      </c>
      <c r="G989" s="263" t="inlineStr">
        <is>
          <t>Targa con profilo a scatto in alluminio formato A5</t>
        </is>
      </c>
      <c r="H989" s="264" t="n">
        <v>1</v>
      </c>
      <c r="I989" s="268" t="n">
        <v>7.919</v>
      </c>
      <c r="J989" s="214" t="n"/>
      <c r="K989" s="208" t="n"/>
      <c r="L989" s="424" t="n"/>
      <c r="M989" s="961" t="n"/>
      <c r="N989" s="214" t="n"/>
    </row>
    <row r="990">
      <c r="A990" s="207" t="n">
        <v>821115</v>
      </c>
      <c r="B990" s="209" t="inlineStr">
        <is>
          <t>Braccio Cesto In Filo</t>
        </is>
      </c>
      <c r="C990" s="207" t="n">
        <v>5</v>
      </c>
      <c r="D990" s="960" t="n">
        <v>6.798</v>
      </c>
      <c r="E990" s="214" t="n"/>
      <c r="F990" s="262" t="n">
        <v>115234</v>
      </c>
      <c r="G990" s="263" t="inlineStr">
        <is>
          <t>Targa con profilo a scatto in alluminio formato A4</t>
        </is>
      </c>
      <c r="H990" s="264" t="n">
        <v>1</v>
      </c>
      <c r="I990" s="268" t="n">
        <v>10.079</v>
      </c>
      <c r="J990" s="214" t="n"/>
      <c r="K990" s="208" t="n"/>
      <c r="L990" s="424" t="n"/>
      <c r="M990" s="961" t="n"/>
      <c r="N990" s="214" t="n"/>
    </row>
    <row r="991">
      <c r="A991" s="207" t="n">
        <v>772001</v>
      </c>
      <c r="B991" s="209" t="inlineStr">
        <is>
          <t>Calamita Da APPoggio Bianco</t>
        </is>
      </c>
      <c r="C991" s="207" t="n">
        <v>10</v>
      </c>
      <c r="D991" s="960" t="n">
        <v>1.0506</v>
      </c>
      <c r="E991" s="214" t="n"/>
      <c r="F991" s="262" t="n">
        <v>115235</v>
      </c>
      <c r="G991" s="263" t="inlineStr">
        <is>
          <t>Targa con profilo a scatto in alluminio formato A3</t>
        </is>
      </c>
      <c r="H991" s="264" t="n">
        <v>1</v>
      </c>
      <c r="I991" s="268" t="n">
        <v>14.071</v>
      </c>
      <c r="J991" s="214" t="n"/>
      <c r="K991" s="208" t="n"/>
      <c r="L991" s="424" t="n"/>
      <c r="M991" s="961" t="n"/>
      <c r="N991" s="214" t="n"/>
    </row>
    <row r="992">
      <c r="A992" s="207" t="n">
        <v>772002</v>
      </c>
      <c r="B992" s="209" t="inlineStr">
        <is>
          <t>Calamita Da Parete Bianco</t>
        </is>
      </c>
      <c r="C992" s="207" t="n">
        <v>10</v>
      </c>
      <c r="D992" s="960" t="n">
        <v>1.133</v>
      </c>
      <c r="E992" s="214" t="n"/>
      <c r="F992" s="262" t="n">
        <v>115252</v>
      </c>
      <c r="G992" s="263" t="inlineStr">
        <is>
          <t>Leggio luminoso con doppia asta formato A3</t>
        </is>
      </c>
      <c r="H992" s="264" t="n">
        <v>2</v>
      </c>
      <c r="I992" s="268" t="n">
        <v>288.414</v>
      </c>
      <c r="J992" s="214" t="n"/>
      <c r="K992" s="208" t="n"/>
      <c r="L992" s="424" t="n"/>
      <c r="M992" s="961" t="n"/>
      <c r="N992" s="214" t="n"/>
    </row>
    <row r="993">
      <c r="A993" s="207" t="n">
        <v>772003</v>
      </c>
      <c r="B993" s="209" t="inlineStr">
        <is>
          <t>Calamita Con Attacco A T Da APPgoggio Bianco</t>
        </is>
      </c>
      <c r="C993" s="207" t="n">
        <v>10</v>
      </c>
      <c r="D993" s="960" t="n">
        <v>1.7407</v>
      </c>
      <c r="E993" s="214" t="n"/>
      <c r="F993" s="262" t="n">
        <v>115253</v>
      </c>
      <c r="G993" s="263" t="inlineStr">
        <is>
          <t>Leggio luminoso formato A4</t>
        </is>
      </c>
      <c r="H993" s="264" t="n">
        <v>2</v>
      </c>
      <c r="I993" s="268" t="n">
        <v>197.127</v>
      </c>
      <c r="J993" s="214" t="n"/>
      <c r="K993" s="208" t="n"/>
      <c r="L993" s="424" t="n"/>
      <c r="M993" s="961" t="n"/>
      <c r="N993" s="214" t="n"/>
    </row>
    <row r="994">
      <c r="A994" s="207" t="n">
        <v>772011</v>
      </c>
      <c r="B994" s="209" t="inlineStr">
        <is>
          <t>Calamita Da APPoggio A T 12Kg</t>
        </is>
      </c>
      <c r="C994" s="207" t="n">
        <v>10</v>
      </c>
      <c r="D994" s="960" t="n">
        <v>1.7407</v>
      </c>
      <c r="E994" s="214" t="n"/>
      <c r="F994" s="262" t="n">
        <v>115260</v>
      </c>
      <c r="G994" s="263" t="inlineStr">
        <is>
          <t>Leggio con asta fissa formato A4</t>
        </is>
      </c>
      <c r="H994" s="264" t="n">
        <v>1</v>
      </c>
      <c r="I994" s="268" t="n">
        <v>76.574</v>
      </c>
      <c r="J994" s="214" t="n"/>
      <c r="K994" s="208" t="n"/>
      <c r="L994" s="424" t="n"/>
      <c r="M994" s="961" t="n"/>
      <c r="N994" s="214" t="n"/>
    </row>
    <row r="995">
      <c r="A995" s="207" t="n">
        <v>610306</v>
      </c>
      <c r="B995" s="209" t="inlineStr">
        <is>
          <t>Base Diritta Per Cornici</t>
        </is>
      </c>
      <c r="C995" s="207" t="n">
        <v>10</v>
      </c>
      <c r="D995" s="960" t="n">
        <v>0.8549</v>
      </c>
      <c r="E995" s="214" t="n"/>
      <c r="F995" s="262" t="n">
        <v>115261</v>
      </c>
      <c r="G995" s="263" t="inlineStr">
        <is>
          <t>Leggio con asta fissa formato A3</t>
        </is>
      </c>
      <c r="H995" s="264" t="n">
        <v>1</v>
      </c>
      <c r="I995" s="268" t="n">
        <v>92.321</v>
      </c>
      <c r="J995" s="214" t="n"/>
      <c r="K995" s="208" t="n"/>
      <c r="L995" s="424" t="n"/>
      <c r="M995" s="961" t="n"/>
      <c r="N995" s="214" t="n"/>
    </row>
    <row r="996">
      <c r="A996" s="207" t="n">
        <v>610305</v>
      </c>
      <c r="B996" s="209" t="inlineStr">
        <is>
          <t>Base Inclinato Per Cornici</t>
        </is>
      </c>
      <c r="C996" s="207" t="n">
        <v>10</v>
      </c>
      <c r="D996" s="960" t="n">
        <v>0.8549</v>
      </c>
      <c r="E996" s="214" t="n"/>
      <c r="F996" s="262" t="n">
        <v>115262</v>
      </c>
      <c r="G996" s="263" t="inlineStr">
        <is>
          <t>Leggio con doppia asta formato A3</t>
        </is>
      </c>
      <c r="H996" s="264" t="n">
        <v>2</v>
      </c>
      <c r="I996" s="268" t="n">
        <v>137.539</v>
      </c>
      <c r="J996" s="214" t="n"/>
      <c r="K996" s="208" t="n"/>
      <c r="L996" s="424" t="n"/>
      <c r="M996" s="961" t="n"/>
      <c r="N996" s="214" t="n"/>
    </row>
    <row r="997">
      <c r="A997" s="209" t="n">
        <v>860122</v>
      </c>
      <c r="B997" s="209" t="inlineStr">
        <is>
          <t>Cornice A Clip Alluminio A5</t>
        </is>
      </c>
      <c r="C997" s="209" t="n">
        <v>1</v>
      </c>
      <c r="D997" s="960" t="n">
        <v>8.137</v>
      </c>
      <c r="E997" s="215" t="n"/>
      <c r="F997" s="262" t="n">
        <v>115270</v>
      </c>
      <c r="G997" s="263" t="inlineStr">
        <is>
          <t>Cornice in alluminio a cavalletto formato A2</t>
        </is>
      </c>
      <c r="H997" s="264" t="n">
        <v>1</v>
      </c>
      <c r="I997" s="268" t="n">
        <v>85.31100000000001</v>
      </c>
      <c r="J997" s="215" t="n"/>
      <c r="K997" s="209" t="n"/>
      <c r="L997" s="425" t="n"/>
      <c r="M997" s="962" t="n"/>
      <c r="N997" s="215" t="n"/>
    </row>
    <row r="998">
      <c r="A998" s="209" t="n">
        <v>860120</v>
      </c>
      <c r="B998" s="209" t="inlineStr">
        <is>
          <t>Cornice A Clip Alluminio A4</t>
        </is>
      </c>
      <c r="C998" s="209" t="n">
        <v>1</v>
      </c>
      <c r="D998" s="960" t="n">
        <v>11.845</v>
      </c>
      <c r="E998" s="215" t="n"/>
      <c r="F998" s="262" t="n">
        <v>115271</v>
      </c>
      <c r="G998" s="263" t="inlineStr">
        <is>
          <t>Cornice in alluminio a cavalletto formato A1</t>
        </is>
      </c>
      <c r="H998" s="264" t="n">
        <v>1</v>
      </c>
      <c r="I998" s="268" t="n">
        <v>112.152</v>
      </c>
      <c r="J998" s="215" t="n"/>
      <c r="K998" s="209" t="n"/>
      <c r="L998" s="425" t="n"/>
      <c r="M998" s="962" t="n"/>
      <c r="N998" s="215" t="n"/>
    </row>
    <row r="999">
      <c r="A999" s="207" t="n">
        <v>860118</v>
      </c>
      <c r="B999" s="209" t="inlineStr">
        <is>
          <t>Cornice A Clip Alluminio A3</t>
        </is>
      </c>
      <c r="C999" s="207" t="n">
        <v>1</v>
      </c>
      <c r="D999" s="960" t="n">
        <v>15.038</v>
      </c>
      <c r="E999" s="214" t="n"/>
      <c r="F999" s="262" t="n">
        <v>115272</v>
      </c>
      <c r="G999" s="263" t="inlineStr">
        <is>
          <t>Cornice in alluminio a cavalletto formato A0</t>
        </is>
      </c>
      <c r="H999" s="264" t="n">
        <v>1</v>
      </c>
      <c r="I999" s="268" t="n">
        <v>173.175</v>
      </c>
      <c r="J999" s="214" t="n"/>
      <c r="K999" s="208" t="n"/>
      <c r="L999" s="424" t="n"/>
      <c r="M999" s="961" t="n"/>
      <c r="N999" s="214" t="n"/>
    </row>
    <row r="1000">
      <c r="A1000" s="209" t="n">
        <v>860116</v>
      </c>
      <c r="B1000" s="209" t="inlineStr">
        <is>
          <t>Cornice A Clip Alluminio A2</t>
        </is>
      </c>
      <c r="C1000" s="209" t="n">
        <v>1</v>
      </c>
      <c r="D1000" s="960" t="n">
        <v>20.909</v>
      </c>
      <c r="E1000" s="215" t="n"/>
      <c r="F1000" s="262" t="n">
        <v>115273</v>
      </c>
      <c r="G1000" s="263" t="inlineStr">
        <is>
          <t>Cornice in alluminio a cavalletto formato 500x700 mm.</t>
        </is>
      </c>
      <c r="H1000" s="264" t="n">
        <v>1</v>
      </c>
      <c r="I1000" s="268" t="n">
        <v>102.354</v>
      </c>
      <c r="J1000" s="215" t="n"/>
      <c r="K1000" s="209" t="n"/>
      <c r="L1000" s="425" t="n"/>
      <c r="M1000" s="962" t="n"/>
      <c r="N1000" s="215" t="n"/>
    </row>
    <row r="1001">
      <c r="A1001" s="209" t="n">
        <v>860113</v>
      </c>
      <c r="B1001" s="209" t="inlineStr">
        <is>
          <t>Cornice A Clip Alluminio A1</t>
        </is>
      </c>
      <c r="C1001" s="209" t="n">
        <v>1</v>
      </c>
      <c r="D1001" s="960" t="n">
        <v>29.87</v>
      </c>
      <c r="E1001" s="215" t="n"/>
      <c r="F1001" s="262" t="n">
        <v>115274</v>
      </c>
      <c r="G1001" s="263" t="inlineStr">
        <is>
          <t>Cornice in alluminio a cavalletto formato 700x1000 mm.</t>
        </is>
      </c>
      <c r="H1001" s="264" t="n">
        <v>1</v>
      </c>
      <c r="I1001" s="268" t="n">
        <v>139.875</v>
      </c>
      <c r="J1001" s="215" t="n"/>
      <c r="K1001" s="209" t="n"/>
      <c r="L1001" s="425" t="n"/>
      <c r="M1001" s="962" t="n"/>
      <c r="N1001" s="215" t="n"/>
    </row>
    <row r="1002">
      <c r="A1002" s="207" t="n">
        <v>860112</v>
      </c>
      <c r="B1002" s="209" t="inlineStr">
        <is>
          <t>Cornice A Clip Alluminio A0</t>
        </is>
      </c>
      <c r="C1002" s="207" t="n">
        <v>1</v>
      </c>
      <c r="D1002" s="960" t="n">
        <v>44.29</v>
      </c>
      <c r="E1002" s="214" t="n"/>
      <c r="F1002" s="262" t="n">
        <v>115275</v>
      </c>
      <c r="G1002" s="263" t="inlineStr">
        <is>
          <t>Cornice in alluminio a cavalletto formato 1000x1400 mm.</t>
        </is>
      </c>
      <c r="H1002" s="264" t="n">
        <v>1</v>
      </c>
      <c r="I1002" s="268" t="n">
        <v>190.454</v>
      </c>
      <c r="J1002" s="214" t="n"/>
      <c r="K1002" s="208" t="n"/>
      <c r="L1002" s="424" t="n"/>
      <c r="M1002" s="961" t="n"/>
      <c r="N1002" s="214" t="n"/>
    </row>
    <row r="1003">
      <c r="A1003" s="209" t="n">
        <v>860126</v>
      </c>
      <c r="B1003" s="209" t="inlineStr">
        <is>
          <t>Cornice A Clip Alluminio A0 - Profilo 32mm</t>
        </is>
      </c>
      <c r="C1003" s="209" t="n">
        <v>1</v>
      </c>
      <c r="D1003" s="960" t="n">
        <v>50.47</v>
      </c>
      <c r="E1003" s="215" t="n"/>
      <c r="F1003" s="262" t="n">
        <v>115290</v>
      </c>
      <c r="G1003" s="263" t="inlineStr">
        <is>
          <t>Cornice in alluminio bifacciale da terra waterproof formato A1</t>
        </is>
      </c>
      <c r="H1003" s="264" t="n">
        <v>1</v>
      </c>
      <c r="I1003" s="268" t="n">
        <v>195.042</v>
      </c>
      <c r="J1003" s="215" t="n"/>
      <c r="K1003" s="209" t="n"/>
      <c r="L1003" s="425" t="n"/>
      <c r="M1003" s="962" t="n"/>
      <c r="N1003" s="215" t="n"/>
    </row>
    <row r="1004">
      <c r="A1004" s="209" t="n">
        <v>860160</v>
      </c>
      <c r="B1004" s="209" t="inlineStr">
        <is>
          <t>Cornice Bloccabile A0</t>
        </is>
      </c>
      <c r="C1004" s="209" t="n">
        <v>1</v>
      </c>
      <c r="D1004" s="960" t="n">
        <v>56.65</v>
      </c>
      <c r="E1004" s="215" t="n"/>
      <c r="F1004" s="262" t="n">
        <v>115291</v>
      </c>
      <c r="G1004" s="263" t="inlineStr">
        <is>
          <t>Cornice in alluminio bifacciale da terra waterproof formato A0</t>
        </is>
      </c>
      <c r="H1004" s="264" t="n">
        <v>1</v>
      </c>
      <c r="I1004" s="268" t="n">
        <v>259.135</v>
      </c>
      <c r="J1004" s="215" t="n"/>
      <c r="K1004" s="209" t="n"/>
      <c r="L1004" s="425" t="n"/>
      <c r="M1004" s="962" t="n"/>
      <c r="N1004" s="215" t="n"/>
    </row>
    <row r="1005">
      <c r="A1005" s="207" t="n">
        <v>860161</v>
      </c>
      <c r="B1005" s="209" t="inlineStr">
        <is>
          <t>Cornice Bloccabile A1</t>
        </is>
      </c>
      <c r="C1005" s="207" t="n">
        <v>1</v>
      </c>
      <c r="D1005" s="960" t="n">
        <v>36.05</v>
      </c>
      <c r="E1005" s="214" t="n"/>
      <c r="F1005" s="262" t="n">
        <v>115292</v>
      </c>
      <c r="G1005" s="263" t="inlineStr">
        <is>
          <t>Cornice in alluminio bifacciale da terra waterproof formato 500x700 mm.</t>
        </is>
      </c>
      <c r="H1005" s="264" t="n">
        <v>1</v>
      </c>
      <c r="I1005" s="268" t="n">
        <v>173.696</v>
      </c>
      <c r="J1005" s="214" t="n"/>
      <c r="K1005" s="208" t="n"/>
      <c r="L1005" s="424" t="n"/>
      <c r="M1005" s="961" t="n"/>
      <c r="N1005" s="214" t="n"/>
    </row>
    <row r="1006">
      <c r="A1006" s="207" t="n">
        <v>860162</v>
      </c>
      <c r="B1006" s="209" t="inlineStr">
        <is>
          <t>Cornice Bloccabile A2</t>
        </is>
      </c>
      <c r="C1006" s="207" t="n">
        <v>1</v>
      </c>
      <c r="D1006" s="960" t="n">
        <v>25.75</v>
      </c>
      <c r="E1006" s="214" t="n"/>
      <c r="F1006" s="262" t="n">
        <v>115293</v>
      </c>
      <c r="G1006" s="263" t="inlineStr">
        <is>
          <t>Cornice in alluminio bifacciale da terra waterproof formato 700x1000 mm.</t>
        </is>
      </c>
      <c r="H1006" s="264" t="n">
        <v>1</v>
      </c>
      <c r="I1006" s="268" t="n">
        <v>227.292</v>
      </c>
      <c r="J1006" s="214" t="n"/>
      <c r="K1006" s="208" t="n"/>
      <c r="L1006" s="424" t="n"/>
      <c r="M1006" s="961" t="n"/>
      <c r="N1006" s="214" t="n"/>
    </row>
    <row r="1007">
      <c r="A1007" s="207" t="n">
        <v>860165</v>
      </c>
      <c r="B1007" s="209" t="inlineStr">
        <is>
          <t>Cornice Fronte Retro Vetrina A4</t>
        </is>
      </c>
      <c r="C1007" s="207" t="n">
        <v>1</v>
      </c>
      <c r="D1007" s="960" t="n">
        <v>17.304</v>
      </c>
      <c r="E1007" s="214" t="n"/>
      <c r="F1007" s="262" t="n">
        <v>115294</v>
      </c>
      <c r="G1007" s="263" t="inlineStr">
        <is>
          <t>Cornice in alluminio bifacciale da terra waterproof formato 1000x1400 mm.</t>
        </is>
      </c>
      <c r="H1007" s="264" t="n">
        <v>1</v>
      </c>
      <c r="I1007" s="268" t="n">
        <v>325.989</v>
      </c>
      <c r="J1007" s="214" t="n"/>
      <c r="K1007" s="208" t="n"/>
      <c r="L1007" s="424" t="n"/>
      <c r="M1007" s="961" t="n"/>
      <c r="N1007" s="214" t="n"/>
    </row>
    <row r="1008">
      <c r="A1008" s="207" t="n">
        <v>860166</v>
      </c>
      <c r="B1008" s="209" t="inlineStr">
        <is>
          <t>Cornice Fronte Retro Vetrina A3</t>
        </is>
      </c>
      <c r="C1008" s="207" t="n">
        <v>1</v>
      </c>
      <c r="D1008" s="960" t="n">
        <v>18.849</v>
      </c>
      <c r="E1008" s="214" t="n"/>
      <c r="F1008" s="262" t="n">
        <v>115310</v>
      </c>
      <c r="G1008" s="263" t="inlineStr">
        <is>
          <t>Cornice in alluminio bifacciale da terra waterproof con base riempibile formato A1</t>
        </is>
      </c>
      <c r="H1008" s="264" t="n">
        <v>1</v>
      </c>
      <c r="I1008" s="268" t="n">
        <v>282.249</v>
      </c>
      <c r="J1008" s="214" t="n"/>
      <c r="K1008" s="208" t="n"/>
      <c r="L1008" s="424" t="n"/>
      <c r="M1008" s="961" t="n"/>
      <c r="N1008" s="214" t="n"/>
    </row>
    <row r="1009">
      <c r="A1009" s="207" t="n">
        <v>860167</v>
      </c>
      <c r="B1009" s="209" t="inlineStr">
        <is>
          <t>Cornice Fronte Retro Vetrina A2</t>
        </is>
      </c>
      <c r="C1009" s="207" t="n">
        <v>1</v>
      </c>
      <c r="D1009" s="960" t="n">
        <v>23.999</v>
      </c>
      <c r="E1009" s="214" t="n"/>
      <c r="F1009" s="262" t="n">
        <v>115311</v>
      </c>
      <c r="G1009" s="263" t="inlineStr">
        <is>
          <t>Cornice in alluminio bifacciale da terra waterproof con base riempibile formato A0</t>
        </is>
      </c>
      <c r="H1009" s="264" t="n">
        <v>1</v>
      </c>
      <c r="I1009" s="268" t="n">
        <v>333.027</v>
      </c>
      <c r="J1009" s="214" t="n"/>
      <c r="K1009" s="208" t="n"/>
      <c r="L1009" s="424" t="n"/>
      <c r="M1009" s="961" t="n"/>
      <c r="N1009" s="214" t="n"/>
    </row>
    <row r="1010">
      <c r="A1010" s="207" t="n">
        <v>630238</v>
      </c>
      <c r="B1010" s="209" t="inlineStr">
        <is>
          <t>Cavaletto Con Cornice A Pinza A1</t>
        </is>
      </c>
      <c r="C1010" s="207" t="n">
        <v>1</v>
      </c>
      <c r="D1010" s="960" t="n">
        <v>108.15</v>
      </c>
      <c r="E1010" s="214" t="n"/>
      <c r="F1010" s="262" t="n">
        <v>115312</v>
      </c>
      <c r="G1010" s="263" t="inlineStr">
        <is>
          <t>Cornice in alluminio bifacciale da terra waterproof con base riempibile formato 500</t>
        </is>
      </c>
      <c r="H1010" s="264" t="n">
        <v>1</v>
      </c>
      <c r="I1010" s="268" t="n">
        <v>243.642</v>
      </c>
      <c r="J1010" s="214" t="n"/>
      <c r="K1010" s="208" t="n"/>
      <c r="L1010" s="424" t="n"/>
      <c r="M1010" s="961" t="n"/>
      <c r="N1010" s="214" t="n"/>
    </row>
    <row r="1011">
      <c r="A1011" s="207" t="n">
        <v>630232</v>
      </c>
      <c r="B1011" s="209" t="inlineStr">
        <is>
          <t>Cavaletto Con Cornice A Pinza A0</t>
        </is>
      </c>
      <c r="C1011" s="207" t="n">
        <v>1</v>
      </c>
      <c r="D1011" s="960" t="n">
        <v>147.29</v>
      </c>
      <c r="E1011" s="214" t="n"/>
      <c r="F1011" s="262" t="n">
        <v>115313</v>
      </c>
      <c r="G1011" s="263" t="inlineStr">
        <is>
          <t>Cornice in alluminio bifacciale da terra waterproof con base riempibile formato 700</t>
        </is>
      </c>
      <c r="H1011" s="264" t="n">
        <v>1</v>
      </c>
      <c r="I1011" s="268" t="n">
        <v>309.465</v>
      </c>
      <c r="J1011" s="214" t="n"/>
      <c r="K1011" s="208" t="n"/>
      <c r="L1011" s="424" t="n"/>
      <c r="M1011" s="961" t="n"/>
      <c r="N1011" s="214" t="n"/>
    </row>
    <row r="1012">
      <c r="A1012" s="207" t="n">
        <v>630256</v>
      </c>
      <c r="B1012" s="209" t="inlineStr">
        <is>
          <t>Cavaletto  Impermeabile A1</t>
        </is>
      </c>
      <c r="C1012" s="207" t="n">
        <v>1</v>
      </c>
      <c r="D1012" s="960" t="n">
        <v>130.81</v>
      </c>
      <c r="E1012" s="214" t="n"/>
      <c r="F1012" s="262" t="n">
        <v>115314</v>
      </c>
      <c r="G1012" s="263" t="inlineStr">
        <is>
          <t>Cornice in alluminio bifacciale da terra waterproof con base riempibile formato 100</t>
        </is>
      </c>
      <c r="H1012" s="264" t="n">
        <v>1</v>
      </c>
      <c r="I1012" s="268" t="n">
        <v>460.514</v>
      </c>
      <c r="J1012" s="214" t="n"/>
      <c r="K1012" s="208" t="n"/>
      <c r="L1012" s="424" t="n"/>
      <c r="M1012" s="961" t="n"/>
      <c r="N1012" s="214" t="n"/>
    </row>
    <row r="1013">
      <c r="A1013" s="207" t="n">
        <v>630257</v>
      </c>
      <c r="B1013" s="209" t="inlineStr">
        <is>
          <t>Cavaletto  Impermeabile A0</t>
        </is>
      </c>
      <c r="C1013" s="207" t="n">
        <v>1</v>
      </c>
      <c r="D1013" s="960" t="n">
        <v>185</v>
      </c>
      <c r="E1013" s="214" t="n"/>
      <c r="F1013" s="262" t="n">
        <v>115330</v>
      </c>
      <c r="G1013" s="263" t="inlineStr">
        <is>
          <t>Cavalletto in plastica formato 480x815 mm.</t>
        </is>
      </c>
      <c r="H1013" s="264" t="n">
        <v>1</v>
      </c>
      <c r="I1013" s="268" t="n">
        <v>55.919</v>
      </c>
      <c r="J1013" s="214" t="n"/>
      <c r="K1013" s="208" t="n"/>
      <c r="L1013" s="424" t="n"/>
      <c r="M1013" s="961" t="n"/>
      <c r="N1013" s="214" t="n"/>
    </row>
    <row r="1014">
      <c r="A1014" s="207" t="n">
        <v>630252</v>
      </c>
      <c r="B1014" s="209" t="inlineStr">
        <is>
          <t>Cavaletto  Impermeabile 700X1000 Con Base A 2 Molle</t>
        </is>
      </c>
      <c r="C1014" s="207" t="n">
        <v>1</v>
      </c>
      <c r="D1014" s="960" t="n">
        <v>180.25</v>
      </c>
      <c r="E1014" s="214" t="n"/>
      <c r="F1014" s="262" t="n">
        <v>115331</v>
      </c>
      <c r="G1014" s="263" t="inlineStr">
        <is>
          <t>Cavalletto in plastica scrivibile formato 500x800 mm.</t>
        </is>
      </c>
      <c r="H1014" s="264" t="n">
        <v>1</v>
      </c>
      <c r="I1014" s="268" t="n">
        <v>57.175</v>
      </c>
      <c r="J1014" s="214" t="n"/>
      <c r="K1014" s="208" t="n"/>
      <c r="L1014" s="424" t="n"/>
      <c r="M1014" s="961" t="n"/>
      <c r="N1014" s="214" t="n"/>
    </row>
    <row r="1015">
      <c r="A1015" s="207" t="n">
        <v>630253</v>
      </c>
      <c r="B1015" s="209" t="inlineStr">
        <is>
          <t>Cavaletto  Impermeabile A1  Con Base A 2 Molle</t>
        </is>
      </c>
      <c r="C1015" s="207" t="n">
        <v>1</v>
      </c>
      <c r="D1015" s="960" t="n">
        <v>149.35</v>
      </c>
      <c r="E1015" s="214" t="n"/>
      <c r="F1015" s="262" t="n">
        <v>115350</v>
      </c>
      <c r="G1015" s="263" t="inlineStr">
        <is>
          <t>Bacheca da parete waterproof formato formato A4</t>
        </is>
      </c>
      <c r="H1015" s="264" t="n">
        <v>1</v>
      </c>
      <c r="I1015" s="268" t="n">
        <v>90.161</v>
      </c>
      <c r="J1015" s="214" t="n"/>
      <c r="K1015" s="208" t="n"/>
      <c r="L1015" s="424" t="n"/>
      <c r="M1015" s="961" t="n"/>
      <c r="N1015" s="214" t="n"/>
    </row>
    <row r="1016">
      <c r="A1016" s="207" t="n">
        <v>630254</v>
      </c>
      <c r="B1016" s="209" t="inlineStr">
        <is>
          <t>Cavaletto  Impermeabile A0  Con Base A 2 Molle</t>
        </is>
      </c>
      <c r="C1016" s="207" t="n">
        <v>1</v>
      </c>
      <c r="D1016" s="960" t="n">
        <v>228.66</v>
      </c>
      <c r="E1016" s="214" t="n"/>
      <c r="F1016" s="262" t="n">
        <v>115351</v>
      </c>
      <c r="G1016" s="263" t="inlineStr">
        <is>
          <t>Bacheca da parete waterproof formato formato A3</t>
        </is>
      </c>
      <c r="H1016" s="264" t="n">
        <v>1</v>
      </c>
      <c r="I1016" s="268" t="n">
        <v>109.796</v>
      </c>
      <c r="J1016" s="214" t="n"/>
      <c r="K1016" s="208" t="n"/>
      <c r="L1016" s="424" t="n"/>
      <c r="M1016" s="961" t="n"/>
      <c r="N1016" s="214" t="n"/>
    </row>
    <row r="1017">
      <c r="A1017" s="207" t="n">
        <v>630250</v>
      </c>
      <c r="B1017" s="209" t="inlineStr">
        <is>
          <t>Cavalletto In Legno Bifacciale</t>
        </is>
      </c>
      <c r="C1017" s="207" t="n">
        <v>1</v>
      </c>
      <c r="D1017" s="960" t="n">
        <v>112.27</v>
      </c>
      <c r="E1017" s="214" t="n"/>
      <c r="F1017" s="262" t="n">
        <v>115352</v>
      </c>
      <c r="G1017" s="263" t="inlineStr">
        <is>
          <t>Bacheca da parete waterproof formato formato A2</t>
        </is>
      </c>
      <c r="H1017" s="264" t="n">
        <v>1</v>
      </c>
      <c r="I1017" s="268" t="n">
        <v>173.175</v>
      </c>
      <c r="J1017" s="214" t="n"/>
      <c r="K1017" s="208" t="n"/>
      <c r="L1017" s="424" t="n"/>
      <c r="M1017" s="961" t="n"/>
      <c r="N1017" s="214" t="n"/>
    </row>
    <row r="1018">
      <c r="A1018" s="207" t="n">
        <v>630251</v>
      </c>
      <c r="B1018" s="209" t="inlineStr">
        <is>
          <t>Cavalletto Nero Bifacciale</t>
        </is>
      </c>
      <c r="C1018" s="207" t="n">
        <v>1</v>
      </c>
      <c r="D1018" s="960" t="n">
        <v>101.97</v>
      </c>
      <c r="E1018" s="214" t="n"/>
      <c r="F1018" s="262" t="n">
        <v>115353</v>
      </c>
      <c r="G1018" s="263" t="inlineStr">
        <is>
          <t>Bacheca da parete waterproof formato formato A1</t>
        </is>
      </c>
      <c r="H1018" s="264" t="n">
        <v>1</v>
      </c>
      <c r="I1018" s="268" t="n">
        <v>251.615</v>
      </c>
      <c r="J1018" s="214" t="n"/>
      <c r="K1018" s="208" t="n"/>
      <c r="L1018" s="424" t="n"/>
      <c r="M1018" s="961" t="n"/>
      <c r="N1018" s="214" t="n"/>
    </row>
    <row r="1019">
      <c r="A1019" s="207" t="n">
        <v>184251</v>
      </c>
      <c r="B1019" s="209" t="inlineStr">
        <is>
          <t>Pennarello Per Ardesia Cancellabile Con Acqua</t>
        </is>
      </c>
      <c r="C1019" s="207" t="n">
        <v>4</v>
      </c>
      <c r="D1019" s="960" t="n">
        <v>4.326</v>
      </c>
      <c r="E1019" s="214" t="n"/>
      <c r="F1019" s="262" t="n">
        <v>115354</v>
      </c>
      <c r="G1019" s="263" t="inlineStr">
        <is>
          <t>Bacheca da parete waterproof formato formato A0</t>
        </is>
      </c>
      <c r="H1019" s="264" t="n">
        <v>1</v>
      </c>
      <c r="I1019" s="268" t="n">
        <v>447.625</v>
      </c>
      <c r="J1019" s="214" t="n"/>
      <c r="K1019" s="208" t="n"/>
      <c r="L1019" s="424" t="n"/>
      <c r="M1019" s="961" t="n"/>
      <c r="N1019" s="214" t="n"/>
    </row>
    <row r="1020">
      <c r="A1020" s="207" t="n">
        <v>630222</v>
      </c>
      <c r="B1020" s="209" t="inlineStr">
        <is>
          <t>Porta-Brochure Su SuPPorto - Capacita 30mm</t>
        </is>
      </c>
      <c r="C1020" s="207" t="n">
        <v>1</v>
      </c>
      <c r="D1020" s="960" t="n">
        <v>60</v>
      </c>
      <c r="E1020" s="214" t="n"/>
      <c r="F1020" s="262" t="n">
        <v>115355</v>
      </c>
      <c r="G1020" s="263" t="inlineStr">
        <is>
          <t>Bacheca da parete waterproof formato formato 500x700 mm.</t>
        </is>
      </c>
      <c r="H1020" s="264" t="n">
        <v>1</v>
      </c>
      <c r="I1020" s="268" t="n">
        <v>186.232</v>
      </c>
      <c r="J1020" s="214" t="n"/>
      <c r="K1020" s="208" t="n"/>
      <c r="L1020" s="424" t="n"/>
      <c r="M1020" s="961" t="n"/>
      <c r="N1020" s="214" t="n"/>
    </row>
    <row r="1021">
      <c r="A1021" s="207" t="n">
        <v>630223</v>
      </c>
      <c r="B1021" s="209" t="inlineStr">
        <is>
          <t>Porta-Brochure Su SuPPorto - Capacita 100mm</t>
        </is>
      </c>
      <c r="C1021" s="207" t="n">
        <v>1</v>
      </c>
      <c r="D1021" s="960" t="n">
        <v>65</v>
      </c>
      <c r="E1021" s="214" t="n"/>
      <c r="F1021" s="262" t="n">
        <v>115356</v>
      </c>
      <c r="G1021" s="263" t="inlineStr">
        <is>
          <t>Bacheca da parete waterproof formato formato 700x1000 mm.</t>
        </is>
      </c>
      <c r="H1021" s="264" t="n">
        <v>1</v>
      </c>
      <c r="I1021" s="268" t="n">
        <v>298.05</v>
      </c>
      <c r="J1021" s="214" t="n"/>
      <c r="K1021" s="208" t="n"/>
      <c r="L1021" s="424" t="n"/>
      <c r="M1021" s="961" t="n"/>
      <c r="N1021" s="214" t="n"/>
    </row>
    <row r="1022">
      <c r="A1022" s="207" t="n">
        <v>630225</v>
      </c>
      <c r="B1022" s="209" t="inlineStr">
        <is>
          <t>Porta-Brochure A Zig-Zag Alluminio</t>
        </is>
      </c>
      <c r="C1022" s="207" t="n">
        <v>1</v>
      </c>
      <c r="D1022" s="960" t="n">
        <v>163.77</v>
      </c>
      <c r="E1022" s="214" t="n"/>
      <c r="F1022" s="262" t="n">
        <v>115370</v>
      </c>
      <c r="G1022" s="263" t="inlineStr">
        <is>
          <t>Cornice a scatto per asta formato 420x594 mm.</t>
        </is>
      </c>
      <c r="H1022" s="264" t="n">
        <v>1</v>
      </c>
      <c r="I1022" s="268" t="n">
        <v>26.406</v>
      </c>
      <c r="J1022" s="214" t="n"/>
      <c r="K1022" s="208" t="n"/>
      <c r="L1022" s="424" t="n"/>
      <c r="M1022" s="961" t="n"/>
      <c r="N1022" s="214" t="n"/>
    </row>
    <row r="1023">
      <c r="A1023" s="207" t="n">
        <v>630226</v>
      </c>
      <c r="B1023" s="209" t="inlineStr">
        <is>
          <t>Porta-Brochure A Zig-Zag Alluminio Pieghevole</t>
        </is>
      </c>
      <c r="C1023" s="207" t="n">
        <v>1</v>
      </c>
      <c r="D1023" s="960" t="n">
        <v>156.56</v>
      </c>
      <c r="E1023" s="214" t="n"/>
      <c r="F1023" s="262" t="n">
        <v>115371</v>
      </c>
      <c r="G1023" s="263" t="inlineStr">
        <is>
          <t>Kit di 2 cornici a scatto per asta formato 420x594 mm.</t>
        </is>
      </c>
      <c r="H1023" s="264" t="n">
        <v>1</v>
      </c>
      <c r="I1023" s="268" t="n">
        <v>52.812</v>
      </c>
      <c r="J1023" s="214" t="n"/>
      <c r="K1023" s="208" t="n"/>
      <c r="L1023" s="424" t="n"/>
      <c r="M1023" s="961" t="n"/>
      <c r="N1023" s="214" t="n"/>
    </row>
    <row r="1024">
      <c r="A1024" s="207" t="n">
        <v>797335</v>
      </c>
      <c r="B1024" s="209" t="inlineStr">
        <is>
          <t>Porta Brochure Murale 1/3 A4</t>
        </is>
      </c>
      <c r="C1024" s="207" t="n">
        <v>10</v>
      </c>
      <c r="D1024" s="960" t="n">
        <v>1.1845</v>
      </c>
      <c r="E1024" s="214" t="n"/>
      <c r="F1024" s="262" t="n">
        <v>115372</v>
      </c>
      <c r="G1024" s="263" t="inlineStr">
        <is>
          <t>Cornice a scatto per asta formato 594x841 mm.</t>
        </is>
      </c>
      <c r="H1024" s="264" t="n">
        <v>1</v>
      </c>
      <c r="I1024" s="268" t="n">
        <v>28.761</v>
      </c>
      <c r="J1024" s="214" t="n"/>
      <c r="K1024" s="208" t="n"/>
      <c r="L1024" s="424" t="n"/>
      <c r="M1024" s="961" t="n"/>
      <c r="N1024" s="214" t="n"/>
    </row>
    <row r="1025">
      <c r="A1025" s="207" t="n">
        <v>797337</v>
      </c>
      <c r="B1025" s="209" t="inlineStr">
        <is>
          <t>Porta Brochures Murale A5</t>
        </is>
      </c>
      <c r="C1025" s="207" t="n">
        <v>10</v>
      </c>
      <c r="D1025" s="960" t="n">
        <v>1.45</v>
      </c>
      <c r="E1025" s="214" t="n"/>
      <c r="F1025" s="262" t="n">
        <v>115373</v>
      </c>
      <c r="G1025" s="263" t="inlineStr">
        <is>
          <t>Kit di 2 cornici a scatto per asta formato 594x841 mm.</t>
        </is>
      </c>
      <c r="H1025" s="264" t="n">
        <v>1</v>
      </c>
      <c r="I1025" s="268" t="n">
        <v>75.51000000000001</v>
      </c>
      <c r="J1025" s="214" t="n"/>
      <c r="K1025" s="208" t="n"/>
      <c r="L1025" s="424" t="n"/>
      <c r="M1025" s="961" t="n"/>
      <c r="N1025" s="214" t="n"/>
    </row>
    <row r="1026">
      <c r="A1026" s="207" t="n">
        <v>797339</v>
      </c>
      <c r="B1026" s="209" t="inlineStr">
        <is>
          <t>Porta Brochures Murale A4</t>
        </is>
      </c>
      <c r="C1026" s="207" t="n">
        <v>10</v>
      </c>
      <c r="D1026" s="960" t="n">
        <v>2.7089</v>
      </c>
      <c r="E1026" s="214" t="n"/>
      <c r="F1026" s="262" t="n">
        <v>115374</v>
      </c>
      <c r="G1026" s="263" t="inlineStr">
        <is>
          <t>Cornice a scatto per asta formato 500x700 mm.</t>
        </is>
      </c>
      <c r="H1026" s="264" t="n">
        <v>1</v>
      </c>
      <c r="I1026" s="268" t="n">
        <v>32.841</v>
      </c>
      <c r="J1026" s="214" t="n"/>
      <c r="K1026" s="208" t="n"/>
      <c r="L1026" s="424" t="n"/>
      <c r="M1026" s="961" t="n"/>
      <c r="N1026" s="214" t="n"/>
    </row>
    <row r="1027">
      <c r="A1027" s="207" t="n">
        <v>797331</v>
      </c>
      <c r="B1027" s="209" t="inlineStr">
        <is>
          <t>Piede Per Porta Brochure</t>
        </is>
      </c>
      <c r="C1027" s="207" t="n">
        <v>10</v>
      </c>
      <c r="D1027" s="960" t="n">
        <v>2.1721</v>
      </c>
      <c r="E1027" s="214" t="n"/>
      <c r="F1027" s="262" t="n">
        <v>115375</v>
      </c>
      <c r="G1027" s="263" t="inlineStr">
        <is>
          <t>Kit di 2 cornici a scatto per asta formato 500x700 mm.</t>
        </is>
      </c>
      <c r="H1027" s="264" t="n">
        <v>1</v>
      </c>
      <c r="I1027" s="268" t="n">
        <v>65.681</v>
      </c>
      <c r="J1027" s="214" t="n"/>
      <c r="K1027" s="208" t="n"/>
      <c r="L1027" s="424" t="n"/>
      <c r="M1027" s="961" t="n"/>
      <c r="N1027" s="214" t="n"/>
    </row>
    <row r="1028">
      <c r="A1028" s="207" t="n">
        <v>797341</v>
      </c>
      <c r="B1028" s="209" t="inlineStr">
        <is>
          <t>Porta Brochure Per Ripiani 1/3 A4</t>
        </is>
      </c>
      <c r="C1028" s="207" t="n">
        <v>50</v>
      </c>
      <c r="D1028" s="960" t="n">
        <v>0.6077</v>
      </c>
      <c r="E1028" s="214" t="n"/>
      <c r="F1028" s="262" t="n">
        <v>115376</v>
      </c>
      <c r="G1028" s="263" t="inlineStr">
        <is>
          <t>Cornice a scatto per asta formato 700x1000 mm.</t>
        </is>
      </c>
      <c r="H1028" s="264" t="n">
        <v>1</v>
      </c>
      <c r="I1028" s="268" t="n">
        <v>43.021</v>
      </c>
      <c r="J1028" s="214" t="n"/>
      <c r="K1028" s="208" t="n"/>
      <c r="L1028" s="424" t="n"/>
      <c r="M1028" s="961" t="n"/>
      <c r="N1028" s="214" t="n"/>
    </row>
    <row r="1029">
      <c r="A1029" s="207" t="n">
        <v>797298</v>
      </c>
      <c r="B1029" s="209" t="inlineStr">
        <is>
          <t>Porta Carte Da Visita</t>
        </is>
      </c>
      <c r="C1029" s="207" t="n">
        <v>10</v>
      </c>
      <c r="D1029" s="960" t="n">
        <v>1.4935</v>
      </c>
      <c r="E1029" s="214" t="n"/>
      <c r="F1029" s="262" t="n">
        <v>115377</v>
      </c>
      <c r="G1029" s="263" t="inlineStr">
        <is>
          <t>Kit di 2 cornici a scatto per asta formato 700x1000 mm.</t>
        </is>
      </c>
      <c r="H1029" s="264" t="n">
        <v>1</v>
      </c>
      <c r="I1029" s="268" t="n">
        <v>86.042</v>
      </c>
      <c r="J1029" s="214" t="n"/>
      <c r="K1029" s="208" t="n"/>
      <c r="L1029" s="424" t="n"/>
      <c r="M1029" s="961" t="n"/>
      <c r="N1029" s="214" t="n"/>
    </row>
    <row r="1030">
      <c r="A1030" s="207" t="n">
        <v>797325</v>
      </c>
      <c r="B1030" s="209" t="inlineStr">
        <is>
          <t>Porta Brochure 1/3 A4</t>
        </is>
      </c>
      <c r="C1030" s="209" t="n">
        <v>10</v>
      </c>
      <c r="D1030" s="960" t="n">
        <v>1.5377</v>
      </c>
      <c r="E1030" s="215" t="n"/>
      <c r="F1030" s="262" t="n">
        <v>115390</v>
      </c>
      <c r="G1030" s="263" t="inlineStr">
        <is>
          <t>Asta con 2 scanalature e base pesante</t>
        </is>
      </c>
      <c r="H1030" s="264" t="n">
        <v>1</v>
      </c>
      <c r="I1030" s="268" t="n">
        <v>114.599</v>
      </c>
      <c r="J1030" s="215" t="n"/>
      <c r="K1030" s="209" t="n"/>
      <c r="L1030" s="425" t="n"/>
      <c r="M1030" s="962" t="n"/>
      <c r="N1030" s="215" t="n"/>
    </row>
    <row r="1031">
      <c r="A1031" s="207" t="n">
        <v>797327</v>
      </c>
      <c r="B1031" s="209" t="inlineStr">
        <is>
          <t>Porta Brochure A5</t>
        </is>
      </c>
      <c r="C1031" s="207" t="n">
        <v>10</v>
      </c>
      <c r="D1031" s="960" t="n">
        <v>1.8907</v>
      </c>
      <c r="E1031" s="214" t="n"/>
      <c r="F1031" s="262" t="n">
        <v>115391</v>
      </c>
      <c r="G1031" s="263" t="inlineStr">
        <is>
          <t>Ripiano porta volantini in acciaio per asta</t>
        </is>
      </c>
      <c r="H1031" s="264" t="n">
        <v>1</v>
      </c>
      <c r="I1031" s="268" t="n">
        <v>28.331</v>
      </c>
      <c r="J1031" s="214" t="n"/>
      <c r="K1031" s="208" t="n"/>
      <c r="L1031" s="424" t="n"/>
      <c r="M1031" s="961" t="n"/>
      <c r="N1031" s="214" t="n"/>
    </row>
    <row r="1032">
      <c r="A1032" s="207" t="n">
        <v>797329</v>
      </c>
      <c r="B1032" s="209" t="inlineStr">
        <is>
          <t>Porta Brochure A4</t>
        </is>
      </c>
      <c r="C1032" s="207" t="n">
        <v>10</v>
      </c>
      <c r="D1032" s="960" t="n">
        <v>3.4618</v>
      </c>
      <c r="E1032" s="214" t="n"/>
      <c r="F1032" s="262" t="n">
        <v>115392</v>
      </c>
      <c r="G1032" s="263" t="inlineStr">
        <is>
          <t>Ripiano porta volantini in plastica trasparente per asta</t>
        </is>
      </c>
      <c r="H1032" s="264" t="n">
        <v>1</v>
      </c>
      <c r="I1032" s="268" t="n">
        <v>32.829</v>
      </c>
      <c r="J1032" s="214" t="n"/>
      <c r="K1032" s="208" t="n"/>
      <c r="L1032" s="424" t="n"/>
      <c r="M1032" s="961" t="n"/>
      <c r="N1032" s="214" t="n"/>
    </row>
    <row r="1033">
      <c r="A1033" s="207" t="n">
        <v>797326</v>
      </c>
      <c r="B1033" s="209" t="inlineStr">
        <is>
          <t>Porta-Brochure Da Ripiano Formato 1/3 A4 - 3 Ripiani</t>
        </is>
      </c>
      <c r="C1033" s="207" t="n">
        <v>12</v>
      </c>
      <c r="D1033" s="960" t="n">
        <v>4.017</v>
      </c>
      <c r="E1033" s="214" t="n"/>
      <c r="F1033" s="262" t="n">
        <v>115393</v>
      </c>
      <c r="G1033" s="263" t="inlineStr">
        <is>
          <t>Ripiano tondo porta oggetti in metallo per asta</t>
        </is>
      </c>
      <c r="H1033" s="264" t="n">
        <v>1</v>
      </c>
      <c r="I1033" s="268" t="n">
        <v>18.114</v>
      </c>
      <c r="J1033" s="214" t="n"/>
      <c r="K1033" s="208" t="n"/>
      <c r="L1033" s="424" t="n"/>
      <c r="M1033" s="961" t="n"/>
      <c r="N1033" s="214" t="n"/>
    </row>
    <row r="1034">
      <c r="A1034" s="207" t="n">
        <v>797322</v>
      </c>
      <c r="B1034" s="209" t="inlineStr">
        <is>
          <t>Porta-Brochure Da Ripiano Formato A5 - 3 Ripiani</t>
        </is>
      </c>
      <c r="C1034" s="207" t="n">
        <v>6</v>
      </c>
      <c r="D1034" s="960" t="n">
        <v>5.3045</v>
      </c>
      <c r="E1034" s="214" t="n"/>
      <c r="F1034" s="262" t="n">
        <v>115394</v>
      </c>
      <c r="G1034" s="263" t="inlineStr">
        <is>
          <t>Porta brochures per asta formato A4</t>
        </is>
      </c>
      <c r="H1034" s="264" t="n">
        <v>1</v>
      </c>
      <c r="I1034" s="268" t="n">
        <v>13.388</v>
      </c>
      <c r="J1034" s="214" t="n"/>
      <c r="K1034" s="208" t="n"/>
      <c r="L1034" s="424" t="n"/>
      <c r="M1034" s="961" t="n"/>
      <c r="N1034" s="214" t="n"/>
    </row>
    <row r="1035">
      <c r="A1035" s="207" t="n">
        <v>797324</v>
      </c>
      <c r="B1035" s="209" t="inlineStr">
        <is>
          <t>Porta-Brochure Da Ripiano Formato A4 - 3 Ripiani</t>
        </is>
      </c>
      <c r="C1035" s="207" t="n">
        <v>2</v>
      </c>
      <c r="D1035" s="960" t="n">
        <v>7.5705</v>
      </c>
      <c r="E1035" s="214" t="n"/>
      <c r="F1035" s="262" t="n">
        <v>115395</v>
      </c>
      <c r="G1035" s="263" t="inlineStr">
        <is>
          <t>Porta brochures per asta formato A5</t>
        </is>
      </c>
      <c r="H1035" s="264" t="n">
        <v>1</v>
      </c>
      <c r="I1035" s="268" t="n">
        <v>10.694</v>
      </c>
      <c r="J1035" s="214" t="n"/>
      <c r="K1035" s="208" t="n"/>
      <c r="L1035" s="424" t="n"/>
      <c r="M1035" s="961" t="n"/>
      <c r="N1035" s="214" t="n"/>
    </row>
    <row r="1036">
      <c r="A1036" s="207" t="n">
        <v>797342</v>
      </c>
      <c r="B1036" s="209" t="inlineStr">
        <is>
          <t>Porta-Brochure Da Ripiano Formato 1/3 A4 - 4 Ripiani</t>
        </is>
      </c>
      <c r="C1036" s="207" t="n">
        <v>4</v>
      </c>
      <c r="D1036" s="960" t="n">
        <v>5.562</v>
      </c>
      <c r="E1036" s="214" t="n"/>
      <c r="F1036" s="262" t="n">
        <v>115396</v>
      </c>
      <c r="G1036" s="263" t="inlineStr">
        <is>
          <t>Porta brochures per asta formato 1/3 A4</t>
        </is>
      </c>
      <c r="H1036" s="264" t="n">
        <v>1</v>
      </c>
      <c r="I1036" s="268" t="n">
        <v>9.347</v>
      </c>
      <c r="J1036" s="214" t="n"/>
      <c r="K1036" s="208" t="n"/>
      <c r="L1036" s="424" t="n"/>
      <c r="M1036" s="961" t="n"/>
      <c r="N1036" s="214" t="n"/>
    </row>
    <row r="1037">
      <c r="A1037" s="207" t="n">
        <v>797343</v>
      </c>
      <c r="B1037" s="209" t="inlineStr">
        <is>
          <t>Porta-Brochure Da Ripiano Formato A5 - 4 Ripiani</t>
        </is>
      </c>
      <c r="C1037" s="207" t="n">
        <v>4</v>
      </c>
      <c r="D1037" s="960" t="n">
        <v>6.1285</v>
      </c>
      <c r="E1037" s="214" t="n"/>
      <c r="F1037" s="262" t="n">
        <v>115640</v>
      </c>
      <c r="G1037" s="263" t="inlineStr">
        <is>
          <t>Supporto per ripiani mm 400 bianco</t>
        </is>
      </c>
      <c r="H1037" s="264" t="n">
        <v>50</v>
      </c>
      <c r="I1037" s="268" t="n">
        <v>2.178</v>
      </c>
      <c r="J1037" s="214" t="n"/>
      <c r="K1037" s="208" t="n"/>
      <c r="L1037" s="424" t="n"/>
      <c r="M1037" s="961" t="n"/>
      <c r="N1037" s="214" t="n"/>
    </row>
    <row r="1038">
      <c r="A1038" s="207" t="n">
        <v>797344</v>
      </c>
      <c r="B1038" s="209" t="inlineStr">
        <is>
          <t>Porta-Brochure Da Ripiano Formato A4 - 4 Ripiani</t>
        </is>
      </c>
      <c r="C1038" s="207" t="n">
        <v>2</v>
      </c>
      <c r="D1038" s="960" t="n">
        <v>13.184</v>
      </c>
      <c r="E1038" s="214" t="n"/>
      <c r="F1038" s="262" t="n">
        <v>115641</v>
      </c>
      <c r="G1038" s="263" t="inlineStr">
        <is>
          <t>Supporto per ripiani mm 400 nero</t>
        </is>
      </c>
      <c r="H1038" s="264" t="n">
        <v>50</v>
      </c>
      <c r="I1038" s="268" t="n">
        <v>2.178</v>
      </c>
      <c r="J1038" s="214" t="n"/>
      <c r="K1038" s="208" t="n"/>
      <c r="L1038" s="424" t="n"/>
      <c r="M1038" s="961" t="n"/>
      <c r="N1038" s="214" t="n"/>
    </row>
    <row r="1039">
      <c r="A1039" s="207" t="n">
        <v>164020</v>
      </c>
      <c r="B1039" s="209" t="inlineStr">
        <is>
          <t>Pinza A Clip In Metallo A Molla</t>
        </is>
      </c>
      <c r="C1039" s="207" t="n">
        <v>100</v>
      </c>
      <c r="D1039" s="960" t="n">
        <v>0.1545</v>
      </c>
      <c r="E1039" s="214" t="n"/>
      <c r="F1039" s="262" t="n">
        <v>115650</v>
      </c>
      <c r="G1039" s="263" t="inlineStr">
        <is>
          <t>Supporto per ripiani mm 600 bianco</t>
        </is>
      </c>
      <c r="H1039" s="264" t="n">
        <v>50</v>
      </c>
      <c r="I1039" s="268" t="n">
        <v>2.97</v>
      </c>
      <c r="J1039" s="214" t="n"/>
      <c r="K1039" s="208" t="n"/>
      <c r="L1039" s="424" t="n"/>
      <c r="M1039" s="961" t="n"/>
      <c r="N1039" s="214" t="n"/>
    </row>
    <row r="1040">
      <c r="A1040" s="207" t="n">
        <v>950586</v>
      </c>
      <c r="B1040" s="209" t="inlineStr">
        <is>
          <t>Pinza-Cartellino</t>
        </is>
      </c>
      <c r="C1040" s="207" t="n">
        <v>10</v>
      </c>
      <c r="D1040" s="960" t="n">
        <v>1.6377</v>
      </c>
      <c r="E1040" s="214" t="n"/>
      <c r="F1040" s="262" t="n">
        <v>115651</v>
      </c>
      <c r="G1040" s="263" t="inlineStr">
        <is>
          <t>Supporto per ripiani mm 600 nero</t>
        </is>
      </c>
      <c r="H1040" s="264" t="n">
        <v>50</v>
      </c>
      <c r="I1040" s="268" t="n">
        <v>2.97</v>
      </c>
      <c r="J1040" s="214" t="n"/>
      <c r="K1040" s="208" t="n"/>
      <c r="L1040" s="424" t="n"/>
      <c r="M1040" s="961" t="n"/>
      <c r="N1040" s="214" t="n"/>
    </row>
    <row r="1041">
      <c r="A1041" s="207" t="n">
        <v>950587</v>
      </c>
      <c r="B1041" s="209" t="inlineStr">
        <is>
          <t>SuPPorto Per Badge 13X45mm</t>
        </is>
      </c>
      <c r="C1041" s="207" t="n">
        <v>100</v>
      </c>
      <c r="D1041" s="960" t="n">
        <v>0.8858</v>
      </c>
      <c r="E1041" s="214" t="n"/>
      <c r="F1041" s="262" t="n">
        <v>115700</v>
      </c>
      <c r="G1041" s="263" t="inlineStr">
        <is>
          <t>Base girevole diametro mm. 100 bianca</t>
        </is>
      </c>
      <c r="H1041" s="264" t="n">
        <v>50</v>
      </c>
      <c r="I1041" s="268" t="n">
        <v>2.114</v>
      </c>
      <c r="J1041" s="214" t="n"/>
      <c r="K1041" s="208" t="n"/>
      <c r="L1041" s="424" t="n"/>
      <c r="M1041" s="961" t="n"/>
      <c r="N1041" s="214" t="n"/>
    </row>
    <row r="1042">
      <c r="A1042" s="207" t="n">
        <v>950588</v>
      </c>
      <c r="B1042" s="209" t="inlineStr">
        <is>
          <t>SuPPorto Per Badge Magnetico Ø 17mm</t>
        </is>
      </c>
      <c r="C1042" s="207" t="n">
        <v>100</v>
      </c>
      <c r="D1042" s="960" t="n">
        <v>0.6798</v>
      </c>
      <c r="E1042" s="214" t="n"/>
      <c r="F1042" s="262" t="n">
        <v>115701</v>
      </c>
      <c r="G1042" s="263" t="inlineStr">
        <is>
          <t>Base girevole diametro mm. 140 bianca</t>
        </is>
      </c>
      <c r="H1042" s="264" t="n">
        <v>50</v>
      </c>
      <c r="I1042" s="268" t="n">
        <v>2.378</v>
      </c>
      <c r="J1042" s="214" t="n"/>
      <c r="K1042" s="208" t="n"/>
      <c r="L1042" s="424" t="n"/>
      <c r="M1042" s="961" t="n"/>
      <c r="N1042" s="214" t="n"/>
    </row>
    <row r="1043">
      <c r="A1043" s="207" t="n">
        <v>184270</v>
      </c>
      <c r="B1043" s="209" t="inlineStr">
        <is>
          <t>Pinza Per Badge Adesivo 24mmx14mm</t>
        </is>
      </c>
      <c r="C1043" s="207" t="n">
        <v>100</v>
      </c>
      <c r="D1043" s="960" t="n">
        <v>0.1782</v>
      </c>
      <c r="E1043" s="214" t="n"/>
      <c r="F1043" s="262" t="n">
        <v>115702</v>
      </c>
      <c r="G1043" s="263" t="inlineStr">
        <is>
          <t>Base girevole diametro mm. 200 bianca</t>
        </is>
      </c>
      <c r="H1043" s="264" t="n">
        <v>50</v>
      </c>
      <c r="I1043" s="268" t="n">
        <v>2.85</v>
      </c>
      <c r="J1043" s="214" t="n"/>
      <c r="K1043" s="208" t="n"/>
      <c r="L1043" s="424" t="n"/>
      <c r="M1043" s="961" t="n"/>
      <c r="N1043" s="214" t="n"/>
    </row>
    <row r="1044">
      <c r="A1044" s="207" t="n">
        <v>950589</v>
      </c>
      <c r="B1044" s="209" t="inlineStr">
        <is>
          <t>Pinza Per Badge Adesivo 23mmx19mm</t>
        </is>
      </c>
      <c r="C1044" s="207" t="n">
        <v>100</v>
      </c>
      <c r="D1044" s="960" t="n">
        <v>0.17</v>
      </c>
      <c r="E1044" s="214" t="n"/>
      <c r="F1044" s="262" t="n">
        <v>115703</v>
      </c>
      <c r="G1044" s="263" t="inlineStr">
        <is>
          <t>Base girevole diametro mm. 100 nera</t>
        </is>
      </c>
      <c r="H1044" s="264" t="n">
        <v>50</v>
      </c>
      <c r="I1044" s="268" t="n">
        <v>2.114</v>
      </c>
      <c r="J1044" s="214" t="n"/>
      <c r="K1044" s="208" t="n"/>
      <c r="L1044" s="424" t="n"/>
      <c r="M1044" s="961" t="n"/>
      <c r="N1044" s="214" t="n"/>
    </row>
    <row r="1045">
      <c r="A1045" s="207" t="n">
        <v>950590</v>
      </c>
      <c r="B1045" s="209" t="inlineStr">
        <is>
          <t>Pinza Con Spilla 8mmx38mm</t>
        </is>
      </c>
      <c r="C1045" s="207" t="n">
        <v>100</v>
      </c>
      <c r="D1045" s="960" t="n">
        <v>0.0917</v>
      </c>
      <c r="E1045" s="214" t="n"/>
      <c r="F1045" s="262" t="n">
        <v>115704</v>
      </c>
      <c r="G1045" s="263" t="inlineStr">
        <is>
          <t>Base girevole diametro mm. 140 nera</t>
        </is>
      </c>
      <c r="H1045" s="264" t="n">
        <v>50</v>
      </c>
      <c r="I1045" s="268" t="n">
        <v>2.378</v>
      </c>
      <c r="J1045" s="214" t="n"/>
      <c r="K1045" s="208" t="n"/>
      <c r="L1045" s="424" t="n"/>
      <c r="M1045" s="961" t="n"/>
      <c r="N1045" s="214" t="n"/>
    </row>
    <row r="1046">
      <c r="A1046" s="207" t="n">
        <v>950591</v>
      </c>
      <c r="B1046" s="209" t="inlineStr">
        <is>
          <t>Pinza-Cartellino A Clip</t>
        </is>
      </c>
      <c r="C1046" s="207" t="n">
        <v>25</v>
      </c>
      <c r="D1046" s="960" t="n">
        <v>0.1278</v>
      </c>
      <c r="E1046" s="214" t="n"/>
      <c r="F1046" s="262" t="n">
        <v>115705</v>
      </c>
      <c r="G1046" s="263" t="inlineStr">
        <is>
          <t>Base girevole diametro mm. 200 nera</t>
        </is>
      </c>
      <c r="H1046" s="264" t="n">
        <v>50</v>
      </c>
      <c r="I1046" s="268" t="n">
        <v>2.85</v>
      </c>
      <c r="J1046" s="214" t="n"/>
      <c r="K1046" s="208" t="n"/>
      <c r="L1046" s="424" t="n"/>
      <c r="M1046" s="961" t="n"/>
      <c r="N1046" s="214" t="n"/>
    </row>
    <row r="1047">
      <c r="A1047" s="207" t="n">
        <v>950592</v>
      </c>
      <c r="B1047" s="209" t="inlineStr">
        <is>
          <t>Badge In Pvc Adesivo</t>
        </is>
      </c>
      <c r="C1047" s="207" t="n">
        <v>100</v>
      </c>
      <c r="D1047" s="960" t="n">
        <v>0.1133</v>
      </c>
      <c r="E1047" s="214" t="n"/>
      <c r="F1047" s="262" t="n">
        <v>115706</v>
      </c>
      <c r="G1047" s="263" t="inlineStr">
        <is>
          <t>Base girevole diametro mm. 100 trasparente</t>
        </is>
      </c>
      <c r="H1047" s="264" t="n">
        <v>50</v>
      </c>
      <c r="I1047" s="268" t="n">
        <v>2.311</v>
      </c>
      <c r="J1047" s="214" t="n"/>
      <c r="K1047" s="208" t="n"/>
      <c r="L1047" s="424" t="n"/>
      <c r="M1047" s="961" t="n"/>
      <c r="N1047" s="214" t="n"/>
    </row>
    <row r="1048">
      <c r="A1048" s="207" t="n">
        <v>950593</v>
      </c>
      <c r="B1048" s="209" t="inlineStr">
        <is>
          <t>Badge In Pvc Adesivo Con Un Foro Per Il Pollice</t>
        </is>
      </c>
      <c r="C1048" s="207" t="n">
        <v>100</v>
      </c>
      <c r="D1048" s="960" t="n">
        <v>0.1247</v>
      </c>
      <c r="E1048" s="214" t="n"/>
      <c r="F1048" s="262" t="n">
        <v>115707</v>
      </c>
      <c r="G1048" s="263" t="inlineStr">
        <is>
          <t>Base girevole diametro mm. 140 trasparente</t>
        </is>
      </c>
      <c r="H1048" s="264" t="n">
        <v>50</v>
      </c>
      <c r="I1048" s="268" t="n">
        <v>2.714</v>
      </c>
      <c r="J1048" s="214" t="n"/>
      <c r="K1048" s="208" t="n"/>
      <c r="L1048" s="424" t="n"/>
      <c r="M1048" s="961" t="n"/>
      <c r="N1048" s="214" t="n"/>
    </row>
    <row r="1049">
      <c r="A1049" s="207" t="n">
        <v>950594</v>
      </c>
      <c r="B1049" s="209" t="inlineStr">
        <is>
          <t>Badge In Pvc Magnetico</t>
        </is>
      </c>
      <c r="C1049" s="207" t="n">
        <v>50</v>
      </c>
      <c r="D1049" s="960" t="n">
        <v>0.9785</v>
      </c>
      <c r="E1049" s="214" t="n"/>
      <c r="F1049" s="262" t="n">
        <v>115708</v>
      </c>
      <c r="G1049" s="263" t="inlineStr">
        <is>
          <t>Base girevole diametro mm. 200 trasparente</t>
        </is>
      </c>
      <c r="H1049" s="264" t="n">
        <v>50</v>
      </c>
      <c r="I1049" s="268" t="n">
        <v>3.456</v>
      </c>
      <c r="J1049" s="214" t="n"/>
      <c r="K1049" s="208" t="n"/>
      <c r="L1049" s="424" t="n"/>
      <c r="M1049" s="961" t="n"/>
      <c r="N1049" s="214" t="n"/>
    </row>
    <row r="1050">
      <c r="A1050" s="207" t="n">
        <v>950582</v>
      </c>
      <c r="B1050" s="209" t="inlineStr">
        <is>
          <t>Badge Pvc Con Pinza A Clip</t>
        </is>
      </c>
      <c r="C1050" s="207" t="n">
        <v>50</v>
      </c>
      <c r="D1050" s="960" t="n">
        <v>0.2266</v>
      </c>
      <c r="E1050" s="214" t="n"/>
      <c r="F1050" s="262" t="n">
        <v>115720</v>
      </c>
      <c r="G1050" s="263" t="inlineStr">
        <is>
          <t>Meccanismo a cuscinetti diametro mm. 94 trasparente</t>
        </is>
      </c>
      <c r="H1050" s="264" t="n">
        <v>50</v>
      </c>
      <c r="I1050" s="268" t="n">
        <v>0.82</v>
      </c>
      <c r="J1050" s="214" t="n"/>
      <c r="K1050" s="208" t="n"/>
      <c r="L1050" s="424" t="n"/>
      <c r="M1050" s="961" t="n"/>
      <c r="N1050" s="214" t="n"/>
    </row>
    <row r="1051">
      <c r="A1051" s="207" t="n">
        <v>950584</v>
      </c>
      <c r="B1051" s="209" t="inlineStr">
        <is>
          <t>Badge In Policarbonato</t>
        </is>
      </c>
      <c r="C1051" s="207" t="n">
        <v>50</v>
      </c>
      <c r="D1051" s="960" t="n">
        <v>1.1794</v>
      </c>
      <c r="E1051" s="214" t="n"/>
      <c r="F1051" s="262" t="n">
        <v>115724</v>
      </c>
      <c r="G1051" s="263" t="inlineStr">
        <is>
          <t>Meccanismo a cuscinetti diametro mm. 134 trasparente</t>
        </is>
      </c>
      <c r="H1051" s="264" t="n">
        <v>50</v>
      </c>
      <c r="I1051" s="268" t="n">
        <v>0.901</v>
      </c>
      <c r="J1051" s="214" t="n"/>
      <c r="K1051" s="208" t="n"/>
      <c r="L1051" s="424" t="n"/>
      <c r="M1051" s="961" t="n"/>
      <c r="N1051" s="214" t="n"/>
    </row>
    <row r="1052">
      <c r="A1052" s="207" t="n">
        <v>950595</v>
      </c>
      <c r="B1052" s="209" t="inlineStr">
        <is>
          <t>Badge Pvc Con Pinza-Cartellino</t>
        </is>
      </c>
      <c r="C1052" s="207" t="n">
        <v>100</v>
      </c>
      <c r="D1052" s="960" t="n">
        <v>1.0764</v>
      </c>
      <c r="E1052" s="214" t="n"/>
      <c r="F1052" s="262" t="n">
        <v>115728</v>
      </c>
      <c r="G1052" s="263" t="inlineStr">
        <is>
          <t>Meccanismo a cuscinetti diametro mm. 194,4 trasparente</t>
        </is>
      </c>
      <c r="H1052" s="264" t="n">
        <v>50</v>
      </c>
      <c r="I1052" s="268" t="n">
        <v>1.073</v>
      </c>
      <c r="J1052" s="214" t="n"/>
      <c r="K1052" s="208" t="n"/>
      <c r="L1052" s="424" t="n"/>
      <c r="M1052" s="961" t="n"/>
      <c r="N1052" s="214" t="n"/>
    </row>
    <row r="1053">
      <c r="A1053" s="207" t="n">
        <v>145120</v>
      </c>
      <c r="B1053" s="209" t="inlineStr">
        <is>
          <t>Urna Grande Senza Porta-Visual</t>
        </is>
      </c>
      <c r="C1053" s="207" t="n">
        <v>1</v>
      </c>
      <c r="D1053" s="960" t="n">
        <v>47.38</v>
      </c>
      <c r="E1053" s="214" t="n"/>
      <c r="F1053" s="262" t="n">
        <v>115740</v>
      </c>
      <c r="G1053" s="263" t="inlineStr">
        <is>
          <t>Mini base girevole senza adesivo mm 22</t>
        </is>
      </c>
      <c r="H1053" s="264" t="n">
        <v>10</v>
      </c>
      <c r="I1053" s="268" t="n">
        <v>1.035</v>
      </c>
      <c r="J1053" s="214" t="n"/>
      <c r="K1053" s="208" t="n"/>
      <c r="L1053" s="424" t="n"/>
      <c r="M1053" s="961" t="n"/>
      <c r="N1053" s="214" t="n"/>
    </row>
    <row r="1054">
      <c r="A1054" s="207" t="n">
        <v>145121</v>
      </c>
      <c r="B1054" s="209" t="inlineStr">
        <is>
          <t>Urna Grande Con Porta-Visual</t>
        </is>
      </c>
      <c r="C1054" s="207" t="n">
        <v>1</v>
      </c>
      <c r="D1054" s="960" t="n">
        <v>66.95</v>
      </c>
      <c r="E1054" s="214" t="n"/>
      <c r="F1054" s="262" t="n">
        <v>115741</v>
      </c>
      <c r="G1054" s="263" t="inlineStr">
        <is>
          <t>Mini base girevole con adesivo mm 22</t>
        </is>
      </c>
      <c r="H1054" s="264" t="n">
        <v>10</v>
      </c>
      <c r="I1054" s="268" t="n">
        <v>1.997</v>
      </c>
      <c r="J1054" s="214" t="n"/>
      <c r="K1054" s="208" t="n"/>
      <c r="L1054" s="424" t="n"/>
      <c r="M1054" s="961" t="n"/>
      <c r="N1054" s="214" t="n"/>
    </row>
    <row r="1055">
      <c r="A1055" s="207" t="n">
        <v>145123</v>
      </c>
      <c r="B1055" s="209" t="inlineStr">
        <is>
          <t>Urna Piccola Senza Porta-Visual</t>
        </is>
      </c>
      <c r="C1055" s="207" t="n">
        <v>1</v>
      </c>
      <c r="D1055" s="960" t="n">
        <v>39.14</v>
      </c>
      <c r="E1055" s="214" t="n"/>
      <c r="F1055" s="262" t="n">
        <v>115980</v>
      </c>
      <c r="G1055" s="263" t="inlineStr">
        <is>
          <t>Clip bianca per ripiani in cartone verticali 45x57</t>
        </is>
      </c>
      <c r="H1055" s="264" t="n">
        <v>100</v>
      </c>
      <c r="I1055" s="265" t="n">
        <v>0.127</v>
      </c>
      <c r="J1055" s="214" t="n"/>
      <c r="K1055" s="208" t="n"/>
      <c r="L1055" s="424" t="n"/>
      <c r="M1055" s="961" t="n"/>
      <c r="N1055" s="214" t="n"/>
    </row>
    <row r="1056">
      <c r="A1056" s="207" t="n">
        <v>145122</v>
      </c>
      <c r="B1056" s="209" t="inlineStr">
        <is>
          <t>Urna Piccola Con Porta-Visual</t>
        </is>
      </c>
      <c r="C1056" s="207" t="n">
        <v>1</v>
      </c>
      <c r="D1056" s="960" t="n">
        <v>47.277</v>
      </c>
      <c r="E1056" s="214" t="n"/>
      <c r="F1056" s="262" t="n">
        <v>115981</v>
      </c>
      <c r="G1056" s="263" t="inlineStr">
        <is>
          <t>Clip verticale nera mm. 57 x 45</t>
        </is>
      </c>
      <c r="H1056" s="264" t="n">
        <v>100</v>
      </c>
      <c r="I1056" s="265" t="n">
        <v>0.095</v>
      </c>
      <c r="J1056" s="214" t="n"/>
      <c r="K1056" s="208" t="n"/>
      <c r="L1056" s="424" t="n"/>
      <c r="M1056" s="961" t="n"/>
      <c r="N1056" s="214" t="n"/>
    </row>
    <row r="1057">
      <c r="A1057" s="207" t="n">
        <v>145124</v>
      </c>
      <c r="B1057" s="209" t="inlineStr">
        <is>
          <t>Espositore Trasparente</t>
        </is>
      </c>
      <c r="C1057" s="207" t="n">
        <v>10</v>
      </c>
      <c r="D1057" s="960" t="n">
        <v>1.8437</v>
      </c>
      <c r="E1057" s="214" t="n"/>
      <c r="F1057" s="262" t="n">
        <v>115982</v>
      </c>
      <c r="G1057" s="263" t="inlineStr">
        <is>
          <t>Clip trasparente per ripiani in cartone verticali 45x57</t>
        </is>
      </c>
      <c r="H1057" s="264" t="n">
        <v>100</v>
      </c>
      <c r="I1057" s="265" t="n">
        <v>0.132</v>
      </c>
      <c r="J1057" s="214" t="n"/>
      <c r="K1057" s="208" t="n"/>
      <c r="L1057" s="424" t="n"/>
      <c r="M1057" s="961" t="n"/>
      <c r="N1057" s="214" t="n"/>
    </row>
    <row r="1058">
      <c r="A1058" s="207" t="n">
        <v>795060</v>
      </c>
      <c r="B1058" s="209" t="inlineStr">
        <is>
          <t>Attacchi A Delta Rigido 380µ Pieghevole</t>
        </is>
      </c>
      <c r="C1058" s="207" t="n">
        <v>1000</v>
      </c>
      <c r="D1058" s="960" t="n">
        <v>0.033</v>
      </c>
      <c r="E1058" s="214" t="n"/>
      <c r="F1058" s="262" t="n">
        <v>115983</v>
      </c>
      <c r="G1058" s="263" t="inlineStr">
        <is>
          <t>Clip bianca per ripiani in cartone verticali 45x57 compostabile</t>
        </is>
      </c>
      <c r="H1058" s="264" t="n">
        <v>100</v>
      </c>
      <c r="I1058" s="265" t="n">
        <v>0.214</v>
      </c>
      <c r="J1058" s="214" t="n"/>
      <c r="K1058" s="208" t="n"/>
      <c r="L1058" s="424" t="n"/>
      <c r="M1058" s="961" t="n"/>
      <c r="N1058" s="214" t="n"/>
    </row>
    <row r="1059">
      <c r="A1059" s="207" t="n">
        <v>795019</v>
      </c>
      <c r="B1059" s="209" t="inlineStr">
        <is>
          <t>Attacchi A Delta Rigido 380µ Non Pieghevole</t>
        </is>
      </c>
      <c r="C1059" s="207" t="n">
        <v>1000</v>
      </c>
      <c r="D1059" s="960" t="n">
        <v>0.0402</v>
      </c>
      <c r="E1059" s="214" t="n"/>
      <c r="F1059" s="262" t="n">
        <v>115984</v>
      </c>
      <c r="G1059" s="263" t="inlineStr">
        <is>
          <t>Clip bianca per ripiani in cartone verticali 45x57 "second life" polypro</t>
        </is>
      </c>
      <c r="H1059" s="264" t="n">
        <v>100</v>
      </c>
      <c r="I1059" s="265" t="n">
        <v>0.113</v>
      </c>
      <c r="J1059" s="214" t="n"/>
      <c r="K1059" s="208" t="n"/>
      <c r="L1059" s="424" t="n"/>
      <c r="M1059" s="961" t="n"/>
      <c r="N1059" s="214" t="n"/>
    </row>
    <row r="1060">
      <c r="A1060" s="207" t="n">
        <v>795062</v>
      </c>
      <c r="B1060" s="209" t="inlineStr">
        <is>
          <t>Attacchi A Delta Flessibile 250µ Pieghevole - Set Da 100</t>
        </is>
      </c>
      <c r="C1060" s="207" t="n">
        <v>100</v>
      </c>
      <c r="D1060" s="960" t="n">
        <v>0.0639</v>
      </c>
      <c r="E1060" s="214" t="n"/>
      <c r="F1060" s="262" t="n">
        <v>115990</v>
      </c>
      <c r="G1060" s="263" t="inlineStr">
        <is>
          <t>Clip bianca per ripiani in cartone orizzontali  45x57</t>
        </is>
      </c>
      <c r="H1060" s="264" t="n">
        <v>100</v>
      </c>
      <c r="I1060" s="265" t="n">
        <v>0.136</v>
      </c>
      <c r="J1060" s="214" t="n"/>
      <c r="K1060" s="208" t="n"/>
      <c r="L1060" s="424" t="n"/>
      <c r="M1060" s="961" t="n"/>
      <c r="N1060" s="214" t="n"/>
    </row>
    <row r="1061">
      <c r="A1061" s="207" t="n">
        <v>795063</v>
      </c>
      <c r="B1061" s="209" t="inlineStr">
        <is>
          <t>Attacchi A Delta Flessibile 250µ Pieghevole - Set Da 1000</t>
        </is>
      </c>
      <c r="C1061" s="207" t="n">
        <v>1000</v>
      </c>
      <c r="D1061" s="960" t="n">
        <v>0.0412</v>
      </c>
      <c r="E1061" s="214" t="n"/>
      <c r="F1061" s="262" t="n">
        <v>115991</v>
      </c>
      <c r="G1061" s="263" t="inlineStr">
        <is>
          <t>Clip orizzontale nera mm. 57 x 45</t>
        </is>
      </c>
      <c r="H1061" s="264" t="n">
        <v>100</v>
      </c>
      <c r="I1061" s="265" t="n">
        <v>0.105</v>
      </c>
      <c r="J1061" s="214" t="n"/>
      <c r="K1061" s="208" t="n"/>
      <c r="L1061" s="424" t="n"/>
      <c r="M1061" s="961" t="n"/>
      <c r="N1061" s="214" t="n"/>
    </row>
    <row r="1062">
      <c r="A1062" s="207" t="n">
        <v>795070</v>
      </c>
      <c r="B1062" s="209" t="inlineStr">
        <is>
          <t>Attachi Euroslot Rigido 380µ Non Pieghevole - 50X50mm</t>
        </is>
      </c>
      <c r="C1062" s="207" t="n">
        <v>1000</v>
      </c>
      <c r="D1062" s="960" t="n">
        <v>0.07729999999999999</v>
      </c>
      <c r="E1062" s="214" t="n"/>
      <c r="F1062" s="262" t="n">
        <v>115992</v>
      </c>
      <c r="G1062" s="263" t="inlineStr">
        <is>
          <t>Clip trasparente per ripiani in cartone orizzontali 45x57</t>
        </is>
      </c>
      <c r="H1062" s="264" t="n">
        <v>100</v>
      </c>
      <c r="I1062" s="265" t="n">
        <v>0.134</v>
      </c>
      <c r="J1062" s="214" t="n"/>
      <c r="K1062" s="208" t="n"/>
      <c r="L1062" s="424" t="n"/>
      <c r="M1062" s="961" t="n"/>
      <c r="N1062" s="214" t="n"/>
    </row>
    <row r="1063">
      <c r="A1063" s="207" t="n">
        <v>795071</v>
      </c>
      <c r="B1063" s="209" t="inlineStr">
        <is>
          <t>Attachi Euroslot Rigido 380µ Non Pieghevole - 40X34mm</t>
        </is>
      </c>
      <c r="C1063" s="207" t="n">
        <v>1000</v>
      </c>
      <c r="D1063" s="960" t="n">
        <v>0.0325</v>
      </c>
      <c r="E1063" s="214" t="n"/>
      <c r="F1063" s="262" t="n">
        <v>116000</v>
      </c>
      <c r="G1063" s="263" t="inlineStr">
        <is>
          <t>Aletta bianca porta messaggio</t>
        </is>
      </c>
      <c r="H1063" s="264" t="n">
        <v>100</v>
      </c>
      <c r="I1063" s="265" t="n">
        <v>0.135</v>
      </c>
      <c r="J1063" s="214" t="n"/>
      <c r="K1063" s="208" t="n"/>
      <c r="L1063" s="424" t="n"/>
      <c r="M1063" s="961" t="n"/>
      <c r="N1063" s="214" t="n"/>
    </row>
    <row r="1064">
      <c r="A1064" s="207" t="n">
        <v>795072</v>
      </c>
      <c r="B1064" s="209" t="inlineStr">
        <is>
          <t>Attachi Euroslot Rigido 380µ Non Pieghevole - 42X40mm</t>
        </is>
      </c>
      <c r="C1064" s="207" t="n">
        <v>1000</v>
      </c>
      <c r="D1064" s="960" t="n">
        <v>0.0304</v>
      </c>
      <c r="E1064" s="214" t="n"/>
      <c r="F1064" s="262" t="n">
        <v>116002</v>
      </c>
      <c r="G1064" s="263" t="inlineStr">
        <is>
          <t>Clip porta ripiano mm. 3/3</t>
        </is>
      </c>
      <c r="H1064" s="264" t="n">
        <v>100</v>
      </c>
      <c r="I1064" s="265" t="n">
        <v>0.257</v>
      </c>
      <c r="J1064" s="214" t="n"/>
      <c r="K1064" s="208" t="n"/>
      <c r="L1064" s="424" t="n"/>
      <c r="M1064" s="961" t="n"/>
      <c r="N1064" s="214" t="n"/>
    </row>
    <row r="1065" ht="18" customHeight="1">
      <c r="A1065" s="207" t="n">
        <v>795080</v>
      </c>
      <c r="B1065" s="209" t="inlineStr">
        <is>
          <t>Attacchi Euroslot Flessibile 250µ Pieghevole - Set Da 100 - Adesivo 28mm</t>
        </is>
      </c>
      <c r="C1065" s="207" t="n">
        <v>1000</v>
      </c>
      <c r="D1065" s="960" t="inlineStr">
        <is>
          <t>DA CONFERMARE</t>
        </is>
      </c>
      <c r="E1065" s="214" t="n"/>
      <c r="F1065" s="262" t="n">
        <v>116003</v>
      </c>
      <c r="G1065" s="263" t="inlineStr">
        <is>
          <t>Clip porta ripiano mm. 3/6</t>
        </is>
      </c>
      <c r="H1065" s="264" t="n">
        <v>100</v>
      </c>
      <c r="I1065" s="265" t="n">
        <v>0.251</v>
      </c>
      <c r="J1065" s="214" t="n"/>
      <c r="K1065" s="208" t="n"/>
      <c r="L1065" s="424" t="n"/>
      <c r="M1065" s="961" t="n"/>
      <c r="N1065" s="214" t="n"/>
    </row>
    <row r="1066">
      <c r="A1066" s="207" t="n">
        <v>795025</v>
      </c>
      <c r="B1066" s="209" t="inlineStr">
        <is>
          <t>Attacchi Euroslot Flessibile 250µ Pieghevole - Set Da 1000 - Adesivo 28mm</t>
        </is>
      </c>
      <c r="C1066" s="207" t="n">
        <v>100</v>
      </c>
      <c r="D1066" s="960" t="n">
        <v>0.0515</v>
      </c>
      <c r="E1066" s="214" t="n"/>
      <c r="F1066" s="262" t="n">
        <v>116004</v>
      </c>
      <c r="G1066" s="263" t="inlineStr">
        <is>
          <t>Strong clip porta ripiano mm. 3/3</t>
        </is>
      </c>
      <c r="H1066" s="264" t="n">
        <v>100</v>
      </c>
      <c r="I1066" s="265" t="n">
        <v>0.348</v>
      </c>
      <c r="J1066" s="214" t="n"/>
      <c r="K1066" s="208" t="n"/>
      <c r="L1066" s="424" t="n"/>
      <c r="M1066" s="961" t="n"/>
      <c r="N1066" s="214" t="n"/>
    </row>
    <row r="1067">
      <c r="A1067" s="207" t="n">
        <v>795018</v>
      </c>
      <c r="B1067" s="209" t="inlineStr">
        <is>
          <t>Attacchi Euroslot Flessibile 250µ Pieghevole - Set Da 1000 - Adesivo 27mm</t>
        </is>
      </c>
      <c r="C1067" s="207" t="n">
        <v>1000</v>
      </c>
      <c r="D1067" s="960" t="n">
        <v>48.41</v>
      </c>
      <c r="E1067" s="214" t="n"/>
      <c r="F1067" s="262" t="n">
        <v>116005</v>
      </c>
      <c r="G1067" s="263" t="inlineStr">
        <is>
          <t>Strong clip porta ripiano mm. 3/6</t>
        </is>
      </c>
      <c r="H1067" s="264" t="n">
        <v>100</v>
      </c>
      <c r="I1067" s="265" t="n">
        <v>0.38</v>
      </c>
      <c r="J1067" s="214" t="n"/>
      <c r="K1067" s="208" t="n"/>
      <c r="L1067" s="424" t="n"/>
      <c r="M1067" s="961" t="n"/>
      <c r="N1067" s="214" t="n"/>
    </row>
    <row r="1068">
      <c r="A1068" s="207" t="n">
        <v>795083</v>
      </c>
      <c r="B1068" s="209" t="inlineStr">
        <is>
          <t>Attacchi Euroslot Flessibile 250µ Pieghevole - Set Da 1000 - Adesivo 16mm</t>
        </is>
      </c>
      <c r="C1068" s="207" t="n">
        <v>1000</v>
      </c>
      <c r="D1068" s="960" t="n">
        <v>0.0237</v>
      </c>
      <c r="E1068" s="214" t="n"/>
      <c r="F1068" s="262" t="n">
        <v>116020</v>
      </c>
      <c r="G1068" s="263" t="inlineStr">
        <is>
          <t>Profilo ad U per spessori mm. 5 lunghezza mm. 2100</t>
        </is>
      </c>
      <c r="H1068" s="264" t="n">
        <v>30</v>
      </c>
      <c r="I1068" s="265" t="n">
        <v>2.337</v>
      </c>
      <c r="J1068" s="214" t="n"/>
      <c r="K1068" s="208" t="n"/>
      <c r="L1068" s="424" t="n"/>
      <c r="M1068" s="961" t="n"/>
      <c r="N1068" s="214" t="n"/>
    </row>
    <row r="1069">
      <c r="A1069" s="207" t="n">
        <v>795090</v>
      </c>
      <c r="B1069" s="209" t="inlineStr">
        <is>
          <t>Attacchi DoPPio Euroslot Flessibile 250µ Pieghevole - Set Da 1000 - Adesivo 15M</t>
        </is>
      </c>
      <c r="C1069" s="207" t="n">
        <v>1200</v>
      </c>
      <c r="D1069" s="960" t="n">
        <v>0.0217</v>
      </c>
      <c r="E1069" s="214" t="n"/>
      <c r="F1069" s="262" t="n">
        <v>116021</v>
      </c>
      <c r="G1069" s="263" t="inlineStr">
        <is>
          <t>Profilo ad U per spessori mm. 7 lunghezza mm. 2100</t>
        </is>
      </c>
      <c r="H1069" s="264" t="n">
        <v>30</v>
      </c>
      <c r="I1069" s="265" t="n">
        <v>2.558</v>
      </c>
      <c r="J1069" s="214" t="n"/>
      <c r="K1069" s="208" t="n"/>
      <c r="L1069" s="424" t="n"/>
      <c r="M1069" s="961" t="n"/>
      <c r="N1069" s="214" t="n"/>
    </row>
    <row r="1070">
      <c r="A1070" s="207" t="n">
        <v>795020</v>
      </c>
      <c r="B1070" s="209" t="inlineStr">
        <is>
          <t>Attacchi Rotondi Rigido 250µ Pieghevole</t>
        </is>
      </c>
      <c r="C1070" s="207" t="n">
        <v>1000</v>
      </c>
      <c r="D1070" s="960" t="n">
        <v>0.033</v>
      </c>
      <c r="E1070" s="214" t="n"/>
      <c r="F1070" s="262" t="n">
        <v>116022</v>
      </c>
      <c r="G1070" s="263" t="inlineStr">
        <is>
          <t>Profilo ad U per spessori mm. 9 lunghezza mm. 2100</t>
        </is>
      </c>
      <c r="H1070" s="264" t="n">
        <v>30</v>
      </c>
      <c r="I1070" s="265" t="n">
        <v>3.175</v>
      </c>
      <c r="J1070" s="214" t="n"/>
      <c r="K1070" s="208" t="n"/>
      <c r="L1070" s="424" t="n"/>
      <c r="M1070" s="961" t="n"/>
      <c r="N1070" s="214" t="n"/>
    </row>
    <row r="1071">
      <c r="A1071" s="207" t="n">
        <v>795093</v>
      </c>
      <c r="B1071" s="209" t="inlineStr">
        <is>
          <t>Banda Flessibile Trasparente  200X15mm</t>
        </is>
      </c>
      <c r="C1071" s="207" t="n">
        <v>1000</v>
      </c>
      <c r="D1071" s="960" t="n">
        <v>0.0258</v>
      </c>
      <c r="E1071" s="214" t="n"/>
      <c r="F1071" s="262" t="n">
        <v>116023</v>
      </c>
      <c r="G1071" s="263" t="inlineStr">
        <is>
          <t>Profilo ad U per spessori mm. 10 lunghezza mm. 2100</t>
        </is>
      </c>
      <c r="H1071" s="264" t="n">
        <v>30</v>
      </c>
      <c r="I1071" s="265" t="n">
        <v>3.175</v>
      </c>
      <c r="J1071" s="214" t="n"/>
      <c r="K1071" s="208" t="n"/>
      <c r="L1071" s="424" t="n"/>
      <c r="M1071" s="961" t="n"/>
      <c r="N1071" s="214" t="n"/>
    </row>
    <row r="1072">
      <c r="A1072" s="207" t="n">
        <v>795092</v>
      </c>
      <c r="B1072" s="209" t="inlineStr">
        <is>
          <t>Attacchi Rotondi Rigido 500µ</t>
        </is>
      </c>
      <c r="C1072" s="207" t="n">
        <v>1000</v>
      </c>
      <c r="D1072" s="960" t="n">
        <v>0.0289</v>
      </c>
      <c r="E1072" s="214" t="n"/>
      <c r="F1072" s="262" t="n">
        <v>116024</v>
      </c>
      <c r="G1072" s="263" t="inlineStr">
        <is>
          <t>Profilo ad U per spessori mm. 17 lunghezza mm. 2100</t>
        </is>
      </c>
      <c r="H1072" s="264" t="n">
        <v>30</v>
      </c>
      <c r="I1072" s="265" t="n">
        <v>3.616</v>
      </c>
      <c r="J1072" s="214" t="n"/>
      <c r="K1072" s="208" t="n"/>
      <c r="L1072" s="424" t="n"/>
      <c r="M1072" s="961" t="n"/>
      <c r="N1072" s="214" t="n"/>
    </row>
    <row r="1073">
      <c r="A1073" s="207" t="n">
        <v>795101</v>
      </c>
      <c r="B1073" s="209" t="inlineStr">
        <is>
          <t>Attacchi A U Delta Rigido 250µ Pieghevole</t>
        </is>
      </c>
      <c r="C1073" s="207" t="n">
        <v>1000</v>
      </c>
      <c r="D1073" s="960" t="n">
        <v>0.067</v>
      </c>
      <c r="E1073" s="214" t="n"/>
      <c r="F1073" s="262" t="n">
        <v>116025</v>
      </c>
      <c r="G1073" s="263" t="inlineStr">
        <is>
          <t>Profilo ad U per spessori mm. 22 lunghezza mm. 2100</t>
        </is>
      </c>
      <c r="H1073" s="264" t="n">
        <v>30</v>
      </c>
      <c r="I1073" s="265" t="n">
        <v>6.042</v>
      </c>
      <c r="J1073" s="214" t="n"/>
      <c r="K1073" s="208" t="n"/>
      <c r="L1073" s="424" t="n"/>
      <c r="M1073" s="961" t="n"/>
      <c r="N1073" s="214" t="n"/>
    </row>
    <row r="1074">
      <c r="A1074" s="207" t="n">
        <v>795102</v>
      </c>
      <c r="B1074" s="209" t="inlineStr">
        <is>
          <t>Attacchi A U Euroslot Rigido 250µ Pieghevole</t>
        </is>
      </c>
      <c r="C1074" s="207" t="n">
        <v>1000</v>
      </c>
      <c r="D1074" s="960" t="n">
        <v>0.0567</v>
      </c>
      <c r="E1074" s="214" t="n"/>
      <c r="F1074" s="262" t="n">
        <v>116026</v>
      </c>
      <c r="G1074" s="263" t="inlineStr">
        <is>
          <t>Profilo ad U per spessori mm. 27 lunghezza mm. 2100</t>
        </is>
      </c>
      <c r="H1074" s="264" t="n">
        <v>30</v>
      </c>
      <c r="I1074" s="265" t="n">
        <v>6.042</v>
      </c>
      <c r="J1074" s="214" t="n"/>
      <c r="K1074" s="208" t="n"/>
      <c r="L1074" s="424" t="n"/>
      <c r="M1074" s="961" t="n"/>
      <c r="N1074" s="214" t="n"/>
    </row>
    <row r="1075">
      <c r="A1075" s="207" t="n">
        <v>795103</v>
      </c>
      <c r="B1075" s="209" t="inlineStr">
        <is>
          <t>Attacchi A U Rigido 5000µ Pieghevole</t>
        </is>
      </c>
      <c r="C1075" s="207" t="n">
        <v>1000</v>
      </c>
      <c r="D1075" s="960" t="n">
        <v>0.0649</v>
      </c>
      <c r="E1075" s="214" t="n"/>
      <c r="F1075" s="262" t="n">
        <v>116030</v>
      </c>
      <c r="G1075" s="263" t="inlineStr">
        <is>
          <t>Profilo ad H per spessori mm. 4 lunghezza mm. 3000</t>
        </is>
      </c>
      <c r="H1075" s="264" t="n">
        <v>30</v>
      </c>
      <c r="I1075" s="265" t="n">
        <v>8.02</v>
      </c>
      <c r="J1075" s="214" t="n"/>
      <c r="K1075" s="208" t="n"/>
      <c r="L1075" s="424" t="n"/>
      <c r="M1075" s="961" t="n"/>
      <c r="N1075" s="214" t="n"/>
    </row>
    <row r="1076">
      <c r="A1076" s="207" t="n">
        <v>795120</v>
      </c>
      <c r="B1076" s="209" t="inlineStr">
        <is>
          <t>Attacchi A Gancio Rigido 380µ Pieghevole</t>
        </is>
      </c>
      <c r="C1076" s="207" t="n">
        <v>1000</v>
      </c>
      <c r="D1076" s="960" t="n">
        <v>0.0536</v>
      </c>
      <c r="E1076" s="214" t="n"/>
      <c r="F1076" s="262" t="n">
        <v>116031</v>
      </c>
      <c r="G1076" s="263" t="inlineStr">
        <is>
          <t>Profilo ad H per spessori mm. 7 lunghezza mm. 3000</t>
        </is>
      </c>
      <c r="H1076" s="264" t="n">
        <v>30</v>
      </c>
      <c r="I1076" s="265" t="n">
        <v>10.354</v>
      </c>
      <c r="J1076" s="214" t="n"/>
      <c r="K1076" s="208" t="n"/>
      <c r="L1076" s="424" t="n"/>
      <c r="M1076" s="961" t="n"/>
      <c r="N1076" s="214" t="n"/>
    </row>
    <row r="1077">
      <c r="A1077" s="207" t="n">
        <v>795121</v>
      </c>
      <c r="B1077" s="209" t="inlineStr">
        <is>
          <t>Attacchi A Gancio Rigido 500µ</t>
        </is>
      </c>
      <c r="C1077" s="207" t="n">
        <v>1000</v>
      </c>
      <c r="D1077" s="960" t="n">
        <v>0.0608</v>
      </c>
      <c r="E1077" s="214" t="n"/>
      <c r="F1077" s="262" t="n">
        <v>116032</v>
      </c>
      <c r="G1077" s="263" t="inlineStr">
        <is>
          <t>Profilo ad H per spessori mm. 9 lunghezza mm. 3000</t>
        </is>
      </c>
      <c r="H1077" s="264" t="n">
        <v>30</v>
      </c>
      <c r="I1077" s="265" t="n">
        <v>12.09</v>
      </c>
      <c r="J1077" s="214" t="n"/>
      <c r="K1077" s="208" t="n"/>
      <c r="L1077" s="424" t="n"/>
      <c r="M1077" s="961" t="n"/>
      <c r="N1077" s="214" t="n"/>
    </row>
    <row r="1078">
      <c r="A1078" s="207" t="n">
        <v>795122</v>
      </c>
      <c r="B1078" s="209" t="inlineStr">
        <is>
          <t>Attacchi A Gancio Rigido 500µ Pieghevole - 28X36mm</t>
        </is>
      </c>
      <c r="C1078" s="207" t="n">
        <v>1000</v>
      </c>
      <c r="D1078" s="960" t="n">
        <v>66.95</v>
      </c>
      <c r="E1078" s="214" t="n"/>
      <c r="F1078" s="262" t="n">
        <v>116033</v>
      </c>
      <c r="G1078" s="263" t="inlineStr">
        <is>
          <t>Profilo ad H per spessori mm. 11 lunghezza mm. 3000</t>
        </is>
      </c>
      <c r="H1078" s="264" t="n">
        <v>30</v>
      </c>
      <c r="I1078" s="265" t="n">
        <v>12.748</v>
      </c>
      <c r="J1078" s="214" t="n"/>
      <c r="K1078" s="208" t="n"/>
      <c r="L1078" s="424" t="n"/>
      <c r="M1078" s="961" t="n"/>
      <c r="N1078" s="214" t="n"/>
    </row>
    <row r="1079">
      <c r="A1079" s="207" t="n">
        <v>795123</v>
      </c>
      <c r="B1079" s="209" t="inlineStr">
        <is>
          <t>Attacchi A Gancio Rigido 500µ Pieghevole -  28X45mm</t>
        </is>
      </c>
      <c r="C1079" s="207" t="n">
        <v>1000</v>
      </c>
      <c r="D1079" s="960" t="n">
        <v>0.08550000000000001</v>
      </c>
      <c r="E1079" s="214" t="n"/>
      <c r="F1079" s="262" t="n">
        <v>116034</v>
      </c>
      <c r="G1079" s="263" t="inlineStr">
        <is>
          <t>Profilo ad H per spessori mm. 17 lunghezza mm. 3000</t>
        </is>
      </c>
      <c r="H1079" s="264" t="n">
        <v>30</v>
      </c>
      <c r="I1079" s="265" t="n">
        <v>18.135</v>
      </c>
      <c r="J1079" s="214" t="n"/>
      <c r="K1079" s="208" t="n"/>
      <c r="L1079" s="424" t="n"/>
      <c r="M1079" s="961" t="n"/>
      <c r="N1079" s="214" t="n"/>
    </row>
    <row r="1080">
      <c r="A1080" s="207" t="n">
        <v>795124</v>
      </c>
      <c r="B1080" s="209" t="inlineStr">
        <is>
          <t>Attacchi A Gancio Flessibile 500µ Pieghevole</t>
        </is>
      </c>
      <c r="C1080" s="207" t="n">
        <v>1000</v>
      </c>
      <c r="D1080" s="960" t="n">
        <v>0.0526</v>
      </c>
      <c r="E1080" s="214" t="n"/>
      <c r="F1080" s="262" t="n">
        <v>116035</v>
      </c>
      <c r="G1080" s="263" t="inlineStr">
        <is>
          <t>Profilo ad H per spessori mm. 20 lunghezza mm. 3000</t>
        </is>
      </c>
      <c r="H1080" s="264" t="n">
        <v>30</v>
      </c>
      <c r="I1080" s="265" t="n">
        <v>21.546</v>
      </c>
      <c r="J1080" s="214" t="n"/>
      <c r="K1080" s="208" t="n"/>
      <c r="L1080" s="424" t="n"/>
      <c r="M1080" s="961" t="n"/>
      <c r="N1080" s="214" t="n"/>
    </row>
    <row r="1081">
      <c r="A1081" s="207" t="n">
        <v>795125</v>
      </c>
      <c r="B1081" s="209" t="inlineStr">
        <is>
          <t>Attacchi A Gancio Iniettati Pieghevole - Largh:18mm</t>
        </is>
      </c>
      <c r="C1081" s="207" t="n">
        <v>1000</v>
      </c>
      <c r="D1081" s="960" t="n">
        <v>0.0536</v>
      </c>
      <c r="E1081" s="214" t="n"/>
      <c r="F1081" s="262" t="n">
        <v>116036</v>
      </c>
      <c r="G1081" s="263" t="inlineStr">
        <is>
          <t>Profilo ad H per spessori mm. 26 lunghezza mm. 3000</t>
        </is>
      </c>
      <c r="H1081" s="264" t="n">
        <v>30</v>
      </c>
      <c r="I1081" s="265" t="n">
        <v>24.898</v>
      </c>
      <c r="J1081" s="214" t="n"/>
      <c r="K1081" s="208" t="n"/>
      <c r="L1081" s="424" t="n"/>
      <c r="M1081" s="961" t="n"/>
      <c r="N1081" s="214" t="n"/>
    </row>
    <row r="1082">
      <c r="A1082" s="207" t="n">
        <v>795126</v>
      </c>
      <c r="B1082" s="209" t="inlineStr">
        <is>
          <t>Attacchi A Gancio Iniettati - Largh:36mm</t>
        </is>
      </c>
      <c r="C1082" s="207" t="n">
        <v>1000</v>
      </c>
      <c r="D1082" s="960" t="n">
        <v>0.0588</v>
      </c>
      <c r="E1082" s="214" t="n"/>
      <c r="F1082" s="262" t="n">
        <v>116037</v>
      </c>
      <c r="G1082" s="263" t="inlineStr">
        <is>
          <t>Vite per rilegatura in plastica bianca testa diametro mm. 12 per spessori di mm. 3,</t>
        </is>
      </c>
      <c r="H1082" s="264" t="n">
        <v>100</v>
      </c>
      <c r="I1082" s="265" t="n">
        <v>0.165</v>
      </c>
      <c r="J1082" s="214" t="n"/>
      <c r="K1082" s="208" t="n"/>
      <c r="L1082" s="424" t="n"/>
      <c r="M1082" s="961" t="n"/>
      <c r="N1082" s="214" t="n"/>
    </row>
    <row r="1083">
      <c r="A1083" s="207" t="n">
        <v>795127</v>
      </c>
      <c r="B1083" s="209" t="inlineStr">
        <is>
          <t>Attacchi A Gancio Iniettati - Largh:50mm</t>
        </is>
      </c>
      <c r="C1083" s="207" t="n">
        <v>1000</v>
      </c>
      <c r="D1083" s="960" t="n">
        <v>0.0639</v>
      </c>
      <c r="E1083" s="214" t="n"/>
      <c r="F1083" s="262" t="n">
        <v>116038</v>
      </c>
      <c r="G1083" s="263" t="inlineStr">
        <is>
          <t>Vite per rilegatura in plastica nera testa diametro mm. 12 per spessori di mm. 3,5</t>
        </is>
      </c>
      <c r="H1083" s="264" t="n">
        <v>100</v>
      </c>
      <c r="I1083" s="265" t="n">
        <v>0.165</v>
      </c>
      <c r="J1083" s="214" t="n"/>
      <c r="K1083" s="208" t="n"/>
      <c r="L1083" s="424" t="n"/>
      <c r="M1083" s="961" t="n"/>
      <c r="N1083" s="214" t="n"/>
    </row>
    <row r="1084">
      <c r="A1084" s="207" t="n">
        <v>795128</v>
      </c>
      <c r="B1084" s="209" t="inlineStr">
        <is>
          <t>Attacchi A Gancio Iniettati - Largh:65mm</t>
        </is>
      </c>
      <c r="C1084" s="207" t="n">
        <v>1000</v>
      </c>
      <c r="D1084" s="960" t="n">
        <v>0.06909999999999999</v>
      </c>
      <c r="E1084" s="214" t="n"/>
      <c r="F1084" s="262" t="n">
        <v>116039</v>
      </c>
      <c r="G1084" s="263" t="inlineStr">
        <is>
          <t>Vite per rilegatura in plastica bianca testa diametro mm. 12 per spessori di mm. 5</t>
        </is>
      </c>
      <c r="H1084" s="264" t="n">
        <v>100</v>
      </c>
      <c r="I1084" s="265" t="n">
        <v>0.165</v>
      </c>
      <c r="J1084" s="214" t="n"/>
      <c r="K1084" s="208" t="n"/>
      <c r="L1084" s="424" t="n"/>
      <c r="M1084" s="961" t="n"/>
      <c r="N1084" s="214" t="n"/>
    </row>
    <row r="1085">
      <c r="A1085" s="207" t="n">
        <v>795022</v>
      </c>
      <c r="B1085" s="209" t="inlineStr">
        <is>
          <t>Banda Flessibile Trasparente  200X15mm</t>
        </is>
      </c>
      <c r="C1085" s="207" t="n">
        <v>1000</v>
      </c>
      <c r="D1085" s="960" t="n">
        <v>0.0309</v>
      </c>
      <c r="E1085" s="214" t="n"/>
      <c r="F1085" s="262" t="n">
        <v>116040</v>
      </c>
      <c r="G1085" s="263" t="inlineStr">
        <is>
          <t>Vite per rilegatura in plastica nera testa diametro mm. 12 per spessori di mm. 5</t>
        </is>
      </c>
      <c r="H1085" s="264" t="n">
        <v>100</v>
      </c>
      <c r="I1085" s="265" t="n">
        <v>0.165</v>
      </c>
      <c r="J1085" s="214" t="n"/>
      <c r="K1085" s="208" t="n"/>
      <c r="L1085" s="424" t="n"/>
      <c r="M1085" s="961" t="n"/>
      <c r="N1085" s="214" t="n"/>
    </row>
    <row r="1086">
      <c r="A1086" s="207" t="n">
        <v>795111</v>
      </c>
      <c r="B1086" s="209" t="inlineStr">
        <is>
          <t>Rinforzo Delta</t>
        </is>
      </c>
      <c r="C1086" s="207" t="n">
        <v>1000</v>
      </c>
      <c r="D1086" s="960" t="n">
        <v>0.0397</v>
      </c>
      <c r="E1086" s="214" t="n"/>
      <c r="F1086" s="262" t="n">
        <v>116041</v>
      </c>
      <c r="G1086" s="263" t="inlineStr">
        <is>
          <t>Vite per rilegatura in plastica bianca testa diametro mm. 12 per spessori di mm. 7</t>
        </is>
      </c>
      <c r="H1086" s="264" t="n">
        <v>100</v>
      </c>
      <c r="I1086" s="265" t="n">
        <v>0.165</v>
      </c>
      <c r="J1086" s="214" t="n"/>
      <c r="K1086" s="208" t="n"/>
      <c r="L1086" s="424" t="n"/>
      <c r="M1086" s="961" t="n"/>
      <c r="N1086" s="214" t="n"/>
    </row>
    <row r="1087">
      <c r="A1087" s="207" t="n">
        <v>795112</v>
      </c>
      <c r="B1087" s="209" t="inlineStr">
        <is>
          <t>Rinforzo Euroslot</t>
        </is>
      </c>
      <c r="C1087" s="207" t="n">
        <v>1000</v>
      </c>
      <c r="D1087" s="960" t="n">
        <v>0.0361</v>
      </c>
      <c r="E1087" s="214" t="n"/>
      <c r="F1087" s="262" t="n">
        <v>116042</v>
      </c>
      <c r="G1087" s="263" t="inlineStr">
        <is>
          <t>Vite per rilegatura in plastica nera testa diametro mm. 12 per spessori di mm. 7</t>
        </is>
      </c>
      <c r="H1087" s="264" t="n">
        <v>100</v>
      </c>
      <c r="I1087" s="265" t="n">
        <v>0.165</v>
      </c>
      <c r="J1087" s="214" t="n"/>
      <c r="K1087" s="208" t="n"/>
      <c r="L1087" s="424" t="n"/>
      <c r="M1087" s="961" t="n"/>
      <c r="N1087" s="214" t="n"/>
    </row>
    <row r="1088">
      <c r="A1088" s="207" t="n">
        <v>795021</v>
      </c>
      <c r="B1088" s="209" t="inlineStr">
        <is>
          <t>Repar'Pack 41X28mm</t>
        </is>
      </c>
      <c r="C1088" s="207" t="n">
        <v>1008</v>
      </c>
      <c r="D1088" s="960" t="n">
        <v>0.0327</v>
      </c>
      <c r="E1088" s="214" t="n"/>
      <c r="F1088" s="262" t="n">
        <v>116043</v>
      </c>
      <c r="G1088" s="263" t="inlineStr">
        <is>
          <t>Vite per rilegatura in plastica bianca testa diametro mm. 12 per spessori di mm. 8</t>
        </is>
      </c>
      <c r="H1088" s="264" t="n">
        <v>100</v>
      </c>
      <c r="I1088" s="265" t="n">
        <v>0.165</v>
      </c>
      <c r="J1088" s="214" t="n"/>
      <c r="K1088" s="208" t="n"/>
      <c r="L1088" s="424" t="n"/>
      <c r="M1088" s="961" t="n"/>
      <c r="N1088" s="214" t="n"/>
    </row>
    <row r="1089">
      <c r="A1089" s="207" t="n"/>
      <c r="B1089" s="209" t="n"/>
      <c r="C1089" s="207" t="n"/>
      <c r="D1089" s="963" t="n"/>
      <c r="E1089" s="214" t="n"/>
      <c r="F1089" s="262" t="n">
        <v>116044</v>
      </c>
      <c r="G1089" s="263" t="inlineStr">
        <is>
          <t>Vite per rilegatura in plastica nera testa diametro mm. 12 per spessori di mm. 8</t>
        </is>
      </c>
      <c r="H1089" s="264" t="n">
        <v>100</v>
      </c>
      <c r="I1089" s="265" t="n">
        <v>0.165</v>
      </c>
      <c r="J1089" s="214" t="n"/>
      <c r="K1089" s="208" t="n"/>
      <c r="L1089" s="424" t="n"/>
      <c r="M1089" s="961" t="n"/>
      <c r="N1089" s="214" t="n"/>
    </row>
    <row r="1090">
      <c r="A1090" s="207" t="n"/>
      <c r="B1090" s="209" t="n"/>
      <c r="C1090" s="207" t="n"/>
      <c r="D1090" s="963" t="n"/>
      <c r="E1090" s="214" t="n"/>
      <c r="F1090" s="262" t="n">
        <v>116045</v>
      </c>
      <c r="G1090" s="263" t="inlineStr">
        <is>
          <t>Vite per rilegatura in plastica bianca testa diametro mm. 12 per spessori di mm. 13</t>
        </is>
      </c>
      <c r="H1090" s="264" t="n">
        <v>100</v>
      </c>
      <c r="I1090" s="265" t="n">
        <v>0.165</v>
      </c>
      <c r="J1090" s="214" t="n"/>
      <c r="K1090" s="208" t="n"/>
      <c r="L1090" s="424" t="n"/>
      <c r="M1090" s="961" t="n"/>
      <c r="N1090" s="214" t="n"/>
    </row>
    <row r="1091">
      <c r="A1091" s="207" t="n"/>
      <c r="B1091" s="209" t="n"/>
      <c r="C1091" s="207" t="n"/>
      <c r="D1091" s="963" t="n"/>
      <c r="E1091" s="214" t="n"/>
      <c r="F1091" s="262" t="n">
        <v>116046</v>
      </c>
      <c r="G1091" s="263" t="inlineStr">
        <is>
          <t>Vite per rilegatura in plastica nera testa diametro mm. 12 per spessori di mm. 13</t>
        </is>
      </c>
      <c r="H1091" s="264" t="n">
        <v>100</v>
      </c>
      <c r="I1091" s="265" t="n">
        <v>0.165</v>
      </c>
      <c r="J1091" s="214" t="n"/>
      <c r="K1091" s="208" t="n"/>
      <c r="L1091" s="424" t="n"/>
      <c r="M1091" s="961" t="n"/>
      <c r="N1091" s="214" t="n"/>
    </row>
    <row r="1092">
      <c r="A1092" s="207" t="n"/>
      <c r="B1092" s="209" t="n"/>
      <c r="C1092" s="207" t="n"/>
      <c r="D1092" s="963" t="n"/>
      <c r="E1092" s="214" t="n"/>
      <c r="F1092" s="262" t="n">
        <v>116047</v>
      </c>
      <c r="G1092" s="263" t="inlineStr">
        <is>
          <t>Vite per rilegatura in plastica bianca testa diametro mm. 12 per spessori di mm. 10</t>
        </is>
      </c>
      <c r="H1092" s="264" t="n">
        <v>100</v>
      </c>
      <c r="I1092" s="265" t="n">
        <v>0.165</v>
      </c>
      <c r="J1092" s="214" t="n"/>
      <c r="K1092" s="208" t="n"/>
      <c r="L1092" s="424" t="n"/>
      <c r="M1092" s="961" t="n"/>
      <c r="N1092" s="214" t="n"/>
    </row>
    <row r="1093">
      <c r="A1093" s="207" t="n"/>
      <c r="B1093" s="209" t="n"/>
      <c r="C1093" s="207" t="n"/>
      <c r="D1093" s="963" t="n"/>
      <c r="E1093" s="214" t="n"/>
      <c r="F1093" s="262" t="n">
        <v>116048</v>
      </c>
      <c r="G1093" s="263" t="inlineStr">
        <is>
          <t>Vite per rilegatura in plastica nera testa diametro mm. 12 per spessori di mm. 10</t>
        </is>
      </c>
      <c r="H1093" s="264" t="n">
        <v>100</v>
      </c>
      <c r="I1093" s="265" t="n">
        <v>0.165</v>
      </c>
      <c r="J1093" s="214" t="n"/>
      <c r="K1093" s="208" t="n"/>
      <c r="L1093" s="424" t="n"/>
      <c r="M1093" s="961" t="n"/>
      <c r="N1093" s="214" t="n"/>
    </row>
    <row r="1094">
      <c r="A1094" s="207" t="n"/>
      <c r="B1094" s="209" t="n"/>
      <c r="C1094" s="207" t="n"/>
      <c r="D1094" s="963" t="n"/>
      <c r="E1094" s="214" t="n"/>
      <c r="F1094" s="262" t="n">
        <v>116049</v>
      </c>
      <c r="G1094" s="263" t="inlineStr">
        <is>
          <t>Vite per rilegatura in plastica bianca testa diametro mm. 12 per spessori di mm. 20</t>
        </is>
      </c>
      <c r="H1094" s="264" t="n">
        <v>100</v>
      </c>
      <c r="I1094" s="265" t="n">
        <v>0.171</v>
      </c>
      <c r="J1094" s="214" t="n"/>
      <c r="K1094" s="208" t="n"/>
      <c r="L1094" s="424" t="n"/>
      <c r="M1094" s="961" t="n"/>
      <c r="N1094" s="214" t="n"/>
    </row>
    <row r="1095">
      <c r="A1095" s="207" t="n"/>
      <c r="B1095" s="209" t="n"/>
      <c r="C1095" s="207" t="n"/>
      <c r="D1095" s="963" t="n"/>
      <c r="E1095" s="214" t="n"/>
      <c r="F1095" s="262" t="n">
        <v>116050</v>
      </c>
      <c r="G1095" s="263" t="inlineStr">
        <is>
          <t>Vite per rilegatura in plastica nera testa diametro mm. 12 per spessori di mm. 20</t>
        </is>
      </c>
      <c r="H1095" s="264" t="n">
        <v>100</v>
      </c>
      <c r="I1095" s="265" t="n">
        <v>0.171</v>
      </c>
      <c r="J1095" s="214" t="n"/>
      <c r="K1095" s="208" t="n"/>
      <c r="L1095" s="424" t="n"/>
      <c r="M1095" s="961" t="n"/>
      <c r="N1095" s="214" t="n"/>
    </row>
    <row r="1096">
      <c r="A1096" s="207" t="n"/>
      <c r="B1096" s="209" t="n"/>
      <c r="C1096" s="207" t="n"/>
      <c r="D1096" s="963" t="n"/>
      <c r="E1096" s="214" t="n"/>
      <c r="F1096" s="262" t="n">
        <v>116051</v>
      </c>
      <c r="G1096" s="263" t="inlineStr">
        <is>
          <t>Vite per rilegatura in plastica bianca testa diametro mm. 12 per spessori di mm. 30</t>
        </is>
      </c>
      <c r="H1096" s="264" t="n">
        <v>100</v>
      </c>
      <c r="I1096" s="265" t="n">
        <v>0.171</v>
      </c>
      <c r="J1096" s="214" t="n"/>
      <c r="K1096" s="208" t="n"/>
      <c r="L1096" s="424" t="n"/>
      <c r="M1096" s="961" t="n"/>
      <c r="N1096" s="214" t="n"/>
    </row>
    <row r="1097">
      <c r="A1097" s="207" t="n"/>
      <c r="B1097" s="209" t="n"/>
      <c r="C1097" s="207" t="n"/>
      <c r="D1097" s="963" t="n"/>
      <c r="E1097" s="214" t="n"/>
      <c r="F1097" s="262" t="n">
        <v>116052</v>
      </c>
      <c r="G1097" s="263" t="inlineStr">
        <is>
          <t>Vite per rilegatura in plastica nera testa diametro mm. 12 per spessori di mm. 30</t>
        </is>
      </c>
      <c r="H1097" s="264" t="n">
        <v>100</v>
      </c>
      <c r="I1097" s="265" t="n">
        <v>0.171</v>
      </c>
      <c r="J1097" s="214" t="n"/>
      <c r="K1097" s="208" t="n"/>
      <c r="L1097" s="424" t="n"/>
      <c r="M1097" s="961" t="n"/>
      <c r="N1097" s="214" t="n"/>
    </row>
    <row r="1098">
      <c r="A1098" s="207" t="n"/>
      <c r="B1098" s="209" t="n"/>
      <c r="C1098" s="207" t="n"/>
      <c r="D1098" s="963" t="n"/>
      <c r="E1098" s="214" t="n"/>
      <c r="F1098" s="262" t="n">
        <v>116053</v>
      </c>
      <c r="G1098" s="263" t="inlineStr">
        <is>
          <t>Vite per rilegatura in plastica bianca testa diametro mm. 12 per spessori di mm. 16</t>
        </is>
      </c>
      <c r="H1098" s="264" t="n">
        <v>100</v>
      </c>
      <c r="I1098" s="265" t="n">
        <v>0.171</v>
      </c>
      <c r="J1098" s="214" t="n"/>
      <c r="K1098" s="208" t="n"/>
      <c r="L1098" s="424" t="n"/>
      <c r="M1098" s="961" t="n"/>
      <c r="N1098" s="214" t="n"/>
    </row>
    <row r="1099">
      <c r="A1099" s="207" t="n"/>
      <c r="B1099" s="209" t="n"/>
      <c r="C1099" s="207" t="n"/>
      <c r="D1099" s="963" t="n"/>
      <c r="E1099" s="214" t="n"/>
      <c r="F1099" s="262" t="n">
        <v>116054</v>
      </c>
      <c r="G1099" s="263" t="inlineStr">
        <is>
          <t>Vite per rilegatura in plastica nera testa diametro mm. 12 per spessori di mm. 16</t>
        </is>
      </c>
      <c r="H1099" s="264" t="n">
        <v>100</v>
      </c>
      <c r="I1099" s="265" t="n">
        <v>0.171</v>
      </c>
      <c r="J1099" s="214" t="n"/>
      <c r="K1099" s="208" t="n"/>
      <c r="L1099" s="424" t="n"/>
      <c r="M1099" s="961" t="n"/>
      <c r="N1099" s="214" t="n"/>
    </row>
    <row r="1100">
      <c r="A1100" s="207" t="n"/>
      <c r="B1100" s="209" t="n"/>
      <c r="C1100" s="207" t="n"/>
      <c r="D1100" s="963" t="n"/>
      <c r="E1100" s="214" t="n"/>
      <c r="F1100" s="262" t="n">
        <v>116055</v>
      </c>
      <c r="G1100" s="263" t="inlineStr">
        <is>
          <t>Vite per rilegatura in plastica bianca testa diametro mm. 12 per spessori di mm. 25</t>
        </is>
      </c>
      <c r="H1100" s="264" t="n">
        <v>100</v>
      </c>
      <c r="I1100" s="265" t="n">
        <v>0.171</v>
      </c>
      <c r="J1100" s="214" t="n"/>
      <c r="K1100" s="208" t="n"/>
      <c r="L1100" s="424" t="n"/>
      <c r="M1100" s="961" t="n"/>
      <c r="N1100" s="214" t="n"/>
    </row>
    <row r="1101">
      <c r="A1101" s="207" t="n"/>
      <c r="B1101" s="209" t="n"/>
      <c r="C1101" s="207" t="n"/>
      <c r="D1101" s="963" t="n"/>
      <c r="E1101" s="214" t="n"/>
      <c r="F1101" s="262" t="n">
        <v>116056</v>
      </c>
      <c r="G1101" s="263" t="inlineStr">
        <is>
          <t>Vite per rilegatura in plastica nera testa diametro mm. 12 per spessori di mm. 25</t>
        </is>
      </c>
      <c r="H1101" s="264" t="n">
        <v>100</v>
      </c>
      <c r="I1101" s="265" t="n">
        <v>0.171</v>
      </c>
      <c r="J1101" s="214" t="n"/>
      <c r="K1101" s="208" t="n"/>
      <c r="L1101" s="424" t="n"/>
      <c r="M1101" s="961" t="n"/>
      <c r="N1101" s="214" t="n"/>
    </row>
    <row r="1102">
      <c r="A1102" s="207" t="n"/>
      <c r="B1102" s="209" t="n"/>
      <c r="C1102" s="209" t="n"/>
      <c r="D1102" s="960" t="n"/>
      <c r="E1102" s="215" t="n"/>
      <c r="F1102" s="262" t="n">
        <v>116057</v>
      </c>
      <c r="G1102" s="263" t="inlineStr">
        <is>
          <t>Vite per rilegatura in plastica bianca testa diametro mm. 12 per spessori di mm. 35</t>
        </is>
      </c>
      <c r="H1102" s="264" t="n">
        <v>100</v>
      </c>
      <c r="I1102" s="265" t="n">
        <v>0.181</v>
      </c>
      <c r="J1102" s="215" t="n"/>
      <c r="K1102" s="209" t="n"/>
      <c r="L1102" s="425" t="n"/>
      <c r="M1102" s="962" t="n"/>
      <c r="N1102" s="215" t="n"/>
    </row>
    <row r="1103">
      <c r="A1103" s="207" t="n"/>
      <c r="B1103" s="209" t="n"/>
      <c r="C1103" s="207" t="n"/>
      <c r="D1103" s="963" t="n"/>
      <c r="E1103" s="214" t="n"/>
      <c r="F1103" s="262" t="n">
        <v>116058</v>
      </c>
      <c r="G1103" s="263" t="inlineStr">
        <is>
          <t>Vite per rilegatura in plastica nera testa diametro mm. 12 per spessori di mm. 35</t>
        </is>
      </c>
      <c r="H1103" s="264" t="n">
        <v>100</v>
      </c>
      <c r="I1103" s="265" t="n">
        <v>0.181</v>
      </c>
      <c r="J1103" s="214" t="n"/>
      <c r="K1103" s="208" t="n"/>
      <c r="L1103" s="424" t="n"/>
      <c r="M1103" s="961" t="n"/>
      <c r="N1103" s="214" t="n"/>
    </row>
    <row r="1104">
      <c r="A1104" s="207" t="n"/>
      <c r="B1104" s="209" t="n"/>
      <c r="C1104" s="207" t="n"/>
      <c r="D1104" s="963" t="n"/>
      <c r="E1104" s="214" t="n"/>
      <c r="F1104" s="262" t="n">
        <v>116059</v>
      </c>
      <c r="G1104" s="263" t="inlineStr">
        <is>
          <t>Vite per rilegatura in plastica bianca testa diametro mm. 12 per spessori di mm. 40</t>
        </is>
      </c>
      <c r="H1104" s="264" t="n">
        <v>100</v>
      </c>
      <c r="I1104" s="265" t="n">
        <v>0.181</v>
      </c>
      <c r="J1104" s="214" t="n"/>
      <c r="K1104" s="208" t="n"/>
      <c r="L1104" s="424" t="n"/>
      <c r="M1104" s="961" t="n"/>
      <c r="N1104" s="214" t="n"/>
    </row>
    <row r="1105">
      <c r="A1105" s="207" t="n"/>
      <c r="B1105" s="209" t="n"/>
      <c r="C1105" s="209" t="n"/>
      <c r="D1105" s="960" t="n"/>
      <c r="E1105" s="215" t="n"/>
      <c r="F1105" s="262" t="n">
        <v>116060</v>
      </c>
      <c r="G1105" s="263" t="inlineStr">
        <is>
          <t>Vite per rilegatura in plastica nera testa diametro mm. 12 per spessori di mm. 40</t>
        </is>
      </c>
      <c r="H1105" s="264" t="n">
        <v>100</v>
      </c>
      <c r="I1105" s="265" t="n">
        <v>0.181</v>
      </c>
      <c r="J1105" s="215" t="n"/>
      <c r="K1105" s="209" t="n"/>
      <c r="L1105" s="425" t="n"/>
      <c r="M1105" s="962" t="n"/>
      <c r="N1105" s="215" t="n"/>
    </row>
    <row r="1106">
      <c r="A1106" s="207" t="n"/>
      <c r="B1106" s="209" t="n"/>
      <c r="C1106" s="209" t="n"/>
      <c r="D1106" s="960" t="n"/>
      <c r="E1106" s="215" t="n"/>
      <c r="F1106" s="262" t="n">
        <v>116061</v>
      </c>
      <c r="G1106" s="263" t="inlineStr">
        <is>
          <t>Vite per rilegatura in plastica bianca testa diametro mm. 12 per spessori di mm. 45</t>
        </is>
      </c>
      <c r="H1106" s="264" t="n">
        <v>100</v>
      </c>
      <c r="I1106" s="265" t="n">
        <v>0.217</v>
      </c>
      <c r="J1106" s="215" t="n"/>
      <c r="K1106" s="209" t="n"/>
      <c r="L1106" s="425" t="n"/>
      <c r="M1106" s="962" t="n"/>
      <c r="N1106" s="215" t="n"/>
    </row>
    <row r="1107">
      <c r="A1107" s="207" t="n"/>
      <c r="B1107" s="209" t="n"/>
      <c r="C1107" s="209" t="n"/>
      <c r="D1107" s="960" t="n"/>
      <c r="E1107" s="215" t="n"/>
      <c r="F1107" s="262" t="n">
        <v>116062</v>
      </c>
      <c r="G1107" s="263" t="inlineStr">
        <is>
          <t>Vite per rilegatura in plastica nera testa diametro mm. 12 per spessori di mm. 45</t>
        </is>
      </c>
      <c r="H1107" s="264" t="n">
        <v>100</v>
      </c>
      <c r="I1107" s="265" t="n">
        <v>0.217</v>
      </c>
      <c r="J1107" s="215" t="n"/>
      <c r="K1107" s="209" t="n"/>
      <c r="L1107" s="425" t="n"/>
      <c r="M1107" s="962" t="n"/>
      <c r="N1107" s="215" t="n"/>
    </row>
    <row r="1108">
      <c r="A1108" s="207" t="n"/>
      <c r="B1108" s="209" t="n"/>
      <c r="C1108" s="209" t="n"/>
      <c r="D1108" s="960" t="n"/>
      <c r="E1108" s="215" t="n"/>
      <c r="F1108" s="262" t="n">
        <v>116063</v>
      </c>
      <c r="G1108" s="263" t="inlineStr">
        <is>
          <t>Vite per rilegatura in plastica bianca testa diametro mm. 12 per spessori di mm. 50</t>
        </is>
      </c>
      <c r="H1108" s="264" t="n">
        <v>100</v>
      </c>
      <c r="I1108" s="265" t="n">
        <v>0.217</v>
      </c>
      <c r="J1108" s="215" t="n"/>
      <c r="K1108" s="209" t="n"/>
      <c r="L1108" s="425" t="n"/>
      <c r="M1108" s="962" t="n"/>
      <c r="N1108" s="215" t="n"/>
    </row>
    <row r="1109">
      <c r="A1109" s="207" t="n"/>
      <c r="B1109" s="209" t="n"/>
      <c r="C1109" s="207" t="n"/>
      <c r="D1109" s="963" t="n"/>
      <c r="E1109" s="214" t="n"/>
      <c r="F1109" s="262" t="n">
        <v>116064</v>
      </c>
      <c r="G1109" s="263" t="inlineStr">
        <is>
          <t>Vite per rilegatura in plastica nera testa diametro mm. 12 per spessori di mm. 50</t>
        </is>
      </c>
      <c r="H1109" s="264" t="n">
        <v>100</v>
      </c>
      <c r="I1109" s="265" t="n">
        <v>0.217</v>
      </c>
      <c r="J1109" s="214" t="n"/>
      <c r="K1109" s="208" t="n"/>
      <c r="L1109" s="424" t="n"/>
      <c r="M1109" s="961" t="n"/>
      <c r="N1109" s="214" t="n"/>
    </row>
    <row r="1110">
      <c r="A1110" s="207" t="n"/>
      <c r="B1110" s="209" t="n"/>
      <c r="C1110" s="207" t="n"/>
      <c r="D1110" s="963" t="n"/>
      <c r="E1110" s="214" t="n"/>
      <c r="F1110" s="262" t="n">
        <v>116065</v>
      </c>
      <c r="G1110" s="263" t="inlineStr">
        <is>
          <t>Vite per rilegatura in plastica bianca testa diametro mm. 12 per spessori di mm. 60</t>
        </is>
      </c>
      <c r="H1110" s="264" t="n">
        <v>100</v>
      </c>
      <c r="I1110" s="265" t="n">
        <v>0.269</v>
      </c>
      <c r="J1110" s="214" t="n"/>
      <c r="K1110" s="208" t="n"/>
      <c r="L1110" s="424" t="n"/>
      <c r="M1110" s="961" t="n"/>
      <c r="N1110" s="214" t="n"/>
    </row>
    <row r="1111">
      <c r="A1111" s="207" t="n"/>
      <c r="B1111" s="209" t="n"/>
      <c r="C1111" s="207" t="n"/>
      <c r="D1111" s="963" t="n"/>
      <c r="E1111" s="214" t="n"/>
      <c r="F1111" s="262" t="n">
        <v>116066</v>
      </c>
      <c r="G1111" s="263" t="inlineStr">
        <is>
          <t>Vite per rilegatura in plastica nera testa diametro mm. 12 per spessori di mm. 60</t>
        </is>
      </c>
      <c r="H1111" s="264" t="n">
        <v>100</v>
      </c>
      <c r="I1111" s="265" t="n">
        <v>0.269</v>
      </c>
      <c r="J1111" s="214" t="n"/>
      <c r="K1111" s="208" t="n"/>
      <c r="L1111" s="424" t="n"/>
      <c r="M1111" s="961" t="n"/>
      <c r="N1111" s="214" t="n"/>
    </row>
    <row r="1112">
      <c r="A1112" s="207" t="n"/>
      <c r="B1112" s="209" t="n"/>
      <c r="C1112" s="207" t="n"/>
      <c r="D1112" s="963" t="n"/>
      <c r="E1112" s="214" t="n"/>
      <c r="F1112" s="262" t="n">
        <v>116074</v>
      </c>
      <c r="G1112" s="263" t="inlineStr">
        <is>
          <t>Vite per rilegatura nichelata testa diametro mm. 12 per spessore mm. 3,5</t>
        </is>
      </c>
      <c r="H1112" s="264" t="n">
        <v>100</v>
      </c>
      <c r="I1112" s="265" t="n">
        <v>0.246</v>
      </c>
      <c r="J1112" s="214" t="n"/>
      <c r="K1112" s="208" t="n"/>
      <c r="L1112" s="424" t="n"/>
      <c r="M1112" s="961" t="n"/>
      <c r="N1112" s="214" t="n"/>
    </row>
    <row r="1113">
      <c r="A1113" s="207" t="n"/>
      <c r="B1113" s="209" t="n"/>
      <c r="C1113" s="207" t="n"/>
      <c r="D1113" s="963" t="n"/>
      <c r="E1113" s="214" t="n"/>
      <c r="F1113" s="262" t="n">
        <v>116075</v>
      </c>
      <c r="G1113" s="263" t="inlineStr">
        <is>
          <t>Vite per rilegatura nichelata testa diametro mm. 12 per spessore mm. 5</t>
        </is>
      </c>
      <c r="H1113" s="264" t="n">
        <v>100</v>
      </c>
      <c r="I1113" s="265" t="n">
        <v>0.246</v>
      </c>
      <c r="J1113" s="214" t="n"/>
      <c r="K1113" s="208" t="n"/>
      <c r="L1113" s="424" t="n"/>
      <c r="M1113" s="961" t="n"/>
      <c r="N1113" s="214" t="n"/>
    </row>
    <row r="1114">
      <c r="A1114" s="207" t="n"/>
      <c r="B1114" s="209" t="n"/>
      <c r="C1114" s="207" t="n"/>
      <c r="D1114" s="963" t="n"/>
      <c r="E1114" s="214" t="n"/>
      <c r="F1114" s="262" t="n">
        <v>116076</v>
      </c>
      <c r="G1114" s="263" t="inlineStr">
        <is>
          <t>Vite per rilegatura nichelata testa diametro mm. 12 per spessore mm. 8</t>
        </is>
      </c>
      <c r="H1114" s="264" t="n">
        <v>100</v>
      </c>
      <c r="I1114" s="265" t="n">
        <v>0.252</v>
      </c>
      <c r="J1114" s="214" t="n"/>
      <c r="K1114" s="208" t="n"/>
      <c r="L1114" s="424" t="n"/>
      <c r="M1114" s="961" t="n"/>
      <c r="N1114" s="214" t="n"/>
    </row>
    <row r="1115">
      <c r="A1115" s="207" t="n"/>
      <c r="B1115" s="209" t="n"/>
      <c r="C1115" s="207" t="n"/>
      <c r="D1115" s="963" t="n"/>
      <c r="E1115" s="214" t="n"/>
      <c r="F1115" s="262" t="n">
        <v>116077</v>
      </c>
      <c r="G1115" s="263" t="inlineStr">
        <is>
          <t>Vite per rilegatura nichelata testa diametro mm. 12 per spessore mm. 10</t>
        </is>
      </c>
      <c r="H1115" s="264" t="n">
        <v>100</v>
      </c>
      <c r="I1115" s="265" t="n">
        <v>0.255</v>
      </c>
      <c r="J1115" s="214" t="n"/>
      <c r="K1115" s="208" t="n"/>
      <c r="L1115" s="424" t="n"/>
      <c r="M1115" s="961" t="n"/>
      <c r="N1115" s="214" t="n"/>
    </row>
    <row r="1116">
      <c r="A1116" s="207" t="n"/>
      <c r="B1116" s="209" t="n"/>
      <c r="C1116" s="207" t="n"/>
      <c r="D1116" s="963" t="n"/>
      <c r="E1116" s="214" t="n"/>
      <c r="F1116" s="262" t="n">
        <v>116078</v>
      </c>
      <c r="G1116" s="263" t="inlineStr">
        <is>
          <t>Vite per rilegatura nichelata testa diametro mm. 12 per spessore mm. 13</t>
        </is>
      </c>
      <c r="H1116" s="264" t="n">
        <v>100</v>
      </c>
      <c r="I1116" s="265" t="n">
        <v>0.271</v>
      </c>
      <c r="J1116" s="214" t="n"/>
      <c r="K1116" s="208" t="n"/>
      <c r="L1116" s="424" t="n"/>
      <c r="M1116" s="961" t="n"/>
      <c r="N1116" s="214" t="n"/>
    </row>
    <row r="1117">
      <c r="A1117" s="207" t="n"/>
      <c r="B1117" s="209" t="n"/>
      <c r="C1117" s="207" t="n"/>
      <c r="D1117" s="963" t="n"/>
      <c r="E1117" s="214" t="n"/>
      <c r="F1117" s="262" t="n">
        <v>116079</v>
      </c>
      <c r="G1117" s="263" t="inlineStr">
        <is>
          <t>Vite per rilegatura nichelata testa diametro mm. 12 per spessore mm. 15</t>
        </is>
      </c>
      <c r="H1117" s="264" t="n">
        <v>100</v>
      </c>
      <c r="I1117" s="265" t="n">
        <v>0.28</v>
      </c>
      <c r="J1117" s="214" t="n"/>
      <c r="K1117" s="208" t="n"/>
      <c r="L1117" s="424" t="n"/>
      <c r="M1117" s="961" t="n"/>
      <c r="N1117" s="214" t="n"/>
    </row>
    <row r="1118">
      <c r="A1118" s="207" t="n"/>
      <c r="B1118" s="209" t="n"/>
      <c r="C1118" s="207" t="n"/>
      <c r="D1118" s="963" t="n"/>
      <c r="E1118" s="214" t="n"/>
      <c r="F1118" s="262" t="n">
        <v>116080</v>
      </c>
      <c r="G1118" s="263" t="inlineStr">
        <is>
          <t>Vite per rilegatura nichelata testa diametro mm. 12 per spessore mm. 20</t>
        </is>
      </c>
      <c r="H1118" s="264" t="n">
        <v>100</v>
      </c>
      <c r="I1118" s="265" t="n">
        <v>0.319</v>
      </c>
      <c r="J1118" s="214" t="n"/>
      <c r="K1118" s="208" t="n"/>
      <c r="L1118" s="424" t="n"/>
      <c r="M1118" s="961" t="n"/>
      <c r="N1118" s="214" t="n"/>
    </row>
    <row r="1119">
      <c r="A1119" s="207" t="n"/>
      <c r="B1119" s="209" t="n"/>
      <c r="C1119" s="207" t="n"/>
      <c r="D1119" s="963" t="n"/>
      <c r="E1119" s="214" t="n"/>
      <c r="F1119" s="262" t="n">
        <v>116081</v>
      </c>
      <c r="G1119" s="263" t="inlineStr">
        <is>
          <t>Vite per rilegatura nichelata testa diametro mm. 12 per spessore mm. 25</t>
        </is>
      </c>
      <c r="H1119" s="264" t="n">
        <v>100</v>
      </c>
      <c r="I1119" s="265" t="n">
        <v>0.361</v>
      </c>
      <c r="J1119" s="214" t="n"/>
      <c r="K1119" s="208" t="n"/>
      <c r="L1119" s="424" t="n"/>
      <c r="M1119" s="961" t="n"/>
      <c r="N1119" s="214" t="n"/>
    </row>
    <row r="1120">
      <c r="A1120" s="207" t="n"/>
      <c r="B1120" s="209" t="n"/>
      <c r="C1120" s="207" t="n"/>
      <c r="D1120" s="963" t="n"/>
      <c r="E1120" s="214" t="n"/>
      <c r="F1120" s="262" t="n">
        <v>116082</v>
      </c>
      <c r="G1120" s="263" t="inlineStr">
        <is>
          <t>Vite per rilegatura nichelata testa diametro mm. 12 per spessore mm. 30</t>
        </is>
      </c>
      <c r="H1120" s="264" t="n">
        <v>100</v>
      </c>
      <c r="I1120" s="265" t="n">
        <v>0.406</v>
      </c>
      <c r="J1120" s="214" t="n"/>
      <c r="K1120" s="208" t="n"/>
      <c r="L1120" s="424" t="n"/>
      <c r="M1120" s="961" t="n"/>
      <c r="N1120" s="214" t="n"/>
    </row>
    <row r="1121">
      <c r="A1121" s="207" t="n"/>
      <c r="B1121" s="209" t="n"/>
      <c r="C1121" s="207" t="n"/>
      <c r="D1121" s="963" t="n"/>
      <c r="E1121" s="214" t="n"/>
      <c r="F1121" s="262" t="n">
        <v>116083</v>
      </c>
      <c r="G1121" s="263" t="inlineStr">
        <is>
          <t>Vite per rilegatura nichelata testa diametro mm. 12 per spessore mm. 35</t>
        </is>
      </c>
      <c r="H1121" s="264" t="n">
        <v>100</v>
      </c>
      <c r="I1121" s="265" t="n">
        <v>0.448</v>
      </c>
      <c r="J1121" s="214" t="n"/>
      <c r="K1121" s="208" t="n"/>
      <c r="L1121" s="424" t="n"/>
      <c r="M1121" s="961" t="n"/>
      <c r="N1121" s="214" t="n"/>
    </row>
    <row r="1122">
      <c r="A1122" s="207" t="n"/>
      <c r="B1122" s="209" t="n"/>
      <c r="C1122" s="207" t="n"/>
      <c r="D1122" s="963" t="n"/>
      <c r="E1122" s="214" t="n"/>
      <c r="F1122" s="262" t="n">
        <v>116084</v>
      </c>
      <c r="G1122" s="263" t="inlineStr">
        <is>
          <t>Vite per rilegatura nichelata testa diametro mm. 12 per spessore mm. 40</t>
        </is>
      </c>
      <c r="H1122" s="264" t="n">
        <v>100</v>
      </c>
      <c r="I1122" s="265" t="n">
        <v>0.523</v>
      </c>
      <c r="J1122" s="214" t="n"/>
      <c r="K1122" s="208" t="n"/>
      <c r="L1122" s="424" t="n"/>
      <c r="M1122" s="961" t="n"/>
      <c r="N1122" s="214" t="n"/>
    </row>
    <row r="1123">
      <c r="A1123" s="207" t="n"/>
      <c r="B1123" s="209" t="n"/>
      <c r="C1123" s="207" t="n"/>
      <c r="D1123" s="963" t="n"/>
      <c r="E1123" s="214" t="n"/>
      <c r="F1123" s="262" t="n">
        <v>116085</v>
      </c>
      <c r="G1123" s="263" t="inlineStr">
        <is>
          <t>Vite per rilegatura nichelata testa diametro mm. 12 per spessore mm. 45</t>
        </is>
      </c>
      <c r="H1123" s="264" t="n">
        <v>100</v>
      </c>
      <c r="I1123" s="265" t="n">
        <v>0.5679999999999999</v>
      </c>
      <c r="J1123" s="214" t="n"/>
      <c r="K1123" s="208" t="n"/>
      <c r="L1123" s="424" t="n"/>
      <c r="M1123" s="961" t="n"/>
      <c r="N1123" s="214" t="n"/>
    </row>
    <row r="1124">
      <c r="A1124" s="207" t="n"/>
      <c r="B1124" s="209" t="n"/>
      <c r="C1124" s="207" t="n"/>
      <c r="D1124" s="963" t="n"/>
      <c r="E1124" s="214" t="n"/>
      <c r="F1124" s="262" t="n">
        <v>116086</v>
      </c>
      <c r="G1124" s="263" t="inlineStr">
        <is>
          <t>Vite per rilegatura nichelata testa diametro mm. 12 per spessore mm. 50</t>
        </is>
      </c>
      <c r="H1124" s="264" t="n">
        <v>100</v>
      </c>
      <c r="I1124" s="265" t="n">
        <v>0.587</v>
      </c>
      <c r="J1124" s="214" t="n"/>
      <c r="K1124" s="208" t="n"/>
      <c r="L1124" s="424" t="n"/>
      <c r="M1124" s="961" t="n"/>
      <c r="N1124" s="214" t="n"/>
    </row>
    <row r="1125">
      <c r="A1125" s="207" t="n"/>
      <c r="B1125" s="209" t="n"/>
      <c r="C1125" s="207" t="n"/>
      <c r="D1125" s="963" t="n"/>
      <c r="E1125" s="214" t="n"/>
      <c r="F1125" s="262" t="n">
        <v>116087</v>
      </c>
      <c r="G1125" s="263" t="inlineStr">
        <is>
          <t>Vite per rilegatura nichelata testa diametro mm. 12 per spessore mm. 60</t>
        </is>
      </c>
      <c r="H1125" s="264" t="n">
        <v>100</v>
      </c>
      <c r="I1125" s="265" t="n">
        <v>0.649</v>
      </c>
      <c r="J1125" s="214" t="n"/>
      <c r="K1125" s="208" t="n"/>
      <c r="L1125" s="424" t="n"/>
      <c r="M1125" s="961" t="n"/>
      <c r="N1125" s="214" t="n"/>
    </row>
    <row r="1126">
      <c r="A1126" s="207" t="n"/>
      <c r="B1126" s="209" t="n"/>
      <c r="C1126" s="207" t="n"/>
      <c r="D1126" s="963" t="n"/>
      <c r="E1126" s="214" t="n"/>
      <c r="F1126" s="262" t="n">
        <v>116088</v>
      </c>
      <c r="G1126" s="263" t="inlineStr">
        <is>
          <t>Vite per rilegatura nichelata testa diametro mm. 12 per spessore mm. 70</t>
        </is>
      </c>
      <c r="H1126" s="264" t="n">
        <v>100</v>
      </c>
      <c r="I1126" s="265" t="n">
        <v>0.733</v>
      </c>
      <c r="J1126" s="214" t="n"/>
      <c r="K1126" s="208" t="n"/>
      <c r="L1126" s="424" t="n"/>
      <c r="M1126" s="961" t="n"/>
      <c r="N1126" s="214" t="n"/>
    </row>
    <row r="1127">
      <c r="A1127" s="207" t="n"/>
      <c r="B1127" s="209" t="n"/>
      <c r="C1127" s="207" t="n"/>
      <c r="D1127" s="963" t="n"/>
      <c r="E1127" s="214" t="n"/>
      <c r="F1127" s="262" t="n">
        <v>116089</v>
      </c>
      <c r="G1127" s="263" t="inlineStr">
        <is>
          <t>Vite per rilegatura nichelata testa diametro mm. 12 per spessore mm. 80</t>
        </is>
      </c>
      <c r="H1127" s="264" t="n">
        <v>100</v>
      </c>
      <c r="I1127" s="265" t="n">
        <v>0.789</v>
      </c>
      <c r="J1127" s="214" t="n"/>
      <c r="K1127" s="208" t="n"/>
      <c r="L1127" s="424" t="n"/>
      <c r="M1127" s="961" t="n"/>
      <c r="N1127" s="214" t="n"/>
    </row>
    <row r="1128">
      <c r="A1128" s="207" t="n"/>
      <c r="B1128" s="209" t="n"/>
      <c r="C1128" s="207" t="n"/>
      <c r="D1128" s="963" t="n"/>
      <c r="E1128" s="214" t="n"/>
      <c r="F1128" s="262" t="n">
        <v>116090</v>
      </c>
      <c r="G1128" s="263" t="inlineStr">
        <is>
          <t>Vite per rilegatura nichelata testa diametro mm. 12 per spessore mm. 90</t>
        </is>
      </c>
      <c r="H1128" s="264" t="n">
        <v>100</v>
      </c>
      <c r="I1128" s="265" t="n">
        <v>0.859</v>
      </c>
      <c r="J1128" s="214" t="n"/>
      <c r="K1128" s="208" t="n"/>
      <c r="L1128" s="424" t="n"/>
      <c r="M1128" s="961" t="n"/>
      <c r="N1128" s="214" t="n"/>
    </row>
    <row r="1129">
      <c r="A1129" s="207" t="n"/>
      <c r="B1129" s="209" t="n"/>
      <c r="C1129" s="207" t="n"/>
      <c r="D1129" s="963" t="n"/>
      <c r="E1129" s="214" t="n"/>
      <c r="F1129" s="262" t="n">
        <v>116091</v>
      </c>
      <c r="G1129" s="263" t="inlineStr">
        <is>
          <t>Vite per rilegatura nichelata testa diametro mm. 12 per spessore mm. 100</t>
        </is>
      </c>
      <c r="H1129" s="264" t="n">
        <v>100</v>
      </c>
      <c r="I1129" s="265" t="n">
        <v>0.918</v>
      </c>
      <c r="J1129" s="214" t="n"/>
      <c r="K1129" s="208" t="n"/>
      <c r="L1129" s="424" t="n"/>
      <c r="M1129" s="961" t="n"/>
      <c r="N1129" s="214" t="n"/>
    </row>
    <row r="1130">
      <c r="A1130" s="207" t="n"/>
      <c r="B1130" s="209" t="n"/>
      <c r="C1130" s="207" t="n"/>
      <c r="D1130" s="963" t="n"/>
      <c r="E1130" s="214" t="n"/>
      <c r="F1130" s="262" t="n">
        <v>116095</v>
      </c>
      <c r="G1130" s="263" t="inlineStr">
        <is>
          <t>Vite per rilegatura in ottone testa diametro mm. 12 per spessore mm. 3,5</t>
        </is>
      </c>
      <c r="H1130" s="264" t="n">
        <v>100</v>
      </c>
      <c r="I1130" s="265" t="n">
        <v>0.246</v>
      </c>
      <c r="J1130" s="214" t="n"/>
      <c r="K1130" s="208" t="n"/>
      <c r="L1130" s="424" t="n"/>
      <c r="M1130" s="961" t="n"/>
      <c r="N1130" s="214" t="n"/>
    </row>
    <row r="1131">
      <c r="A1131" s="207" t="n"/>
      <c r="B1131" s="209" t="n"/>
      <c r="C1131" s="207" t="n"/>
      <c r="D1131" s="963" t="n"/>
      <c r="E1131" s="214" t="n"/>
      <c r="F1131" s="262" t="n">
        <v>116096</v>
      </c>
      <c r="G1131" s="263" t="inlineStr">
        <is>
          <t>Vite per rilegatura in ottone testa diametro mm. 12 per spessore mm. 5</t>
        </is>
      </c>
      <c r="H1131" s="264" t="n">
        <v>100</v>
      </c>
      <c r="I1131" s="265" t="n">
        <v>0.246</v>
      </c>
      <c r="J1131" s="214" t="n"/>
      <c r="K1131" s="208" t="n"/>
      <c r="L1131" s="424" t="n"/>
      <c r="M1131" s="961" t="n"/>
      <c r="N1131" s="214" t="n"/>
    </row>
    <row r="1132">
      <c r="A1132" s="207" t="n"/>
      <c r="B1132" s="209" t="n"/>
      <c r="C1132" s="207" t="n"/>
      <c r="D1132" s="963" t="n"/>
      <c r="E1132" s="214" t="n"/>
      <c r="F1132" s="262" t="n">
        <v>116097</v>
      </c>
      <c r="G1132" s="263" t="inlineStr">
        <is>
          <t>Vite per rilegatura in ottone testa diametro mm. 12 per spessore mm. 8</t>
        </is>
      </c>
      <c r="H1132" s="264" t="n">
        <v>100</v>
      </c>
      <c r="I1132" s="265" t="n">
        <v>0.252</v>
      </c>
      <c r="J1132" s="214" t="n"/>
      <c r="K1132" s="208" t="n"/>
      <c r="L1132" s="424" t="n"/>
      <c r="M1132" s="961" t="n"/>
      <c r="N1132" s="214" t="n"/>
    </row>
    <row r="1133">
      <c r="A1133" s="207" t="n"/>
      <c r="B1133" s="209" t="n"/>
      <c r="C1133" s="207" t="n"/>
      <c r="D1133" s="963" t="n"/>
      <c r="E1133" s="214" t="n"/>
      <c r="F1133" s="262" t="n">
        <v>116098</v>
      </c>
      <c r="G1133" s="263" t="inlineStr">
        <is>
          <t>Vite per rilegatura in ottone testa diametro mm. 12 per spessore mm. 10</t>
        </is>
      </c>
      <c r="H1133" s="264" t="n">
        <v>100</v>
      </c>
      <c r="I1133" s="265" t="n">
        <v>0.257</v>
      </c>
      <c r="J1133" s="214" t="n"/>
      <c r="K1133" s="208" t="n"/>
      <c r="L1133" s="424" t="n"/>
      <c r="M1133" s="961" t="n"/>
      <c r="N1133" s="214" t="n"/>
    </row>
    <row r="1134">
      <c r="A1134" s="207" t="n"/>
      <c r="B1134" s="209" t="n"/>
      <c r="C1134" s="207" t="n"/>
      <c r="D1134" s="963" t="n"/>
      <c r="E1134" s="214" t="n"/>
      <c r="F1134" s="262" t="n">
        <v>116099</v>
      </c>
      <c r="G1134" s="263" t="inlineStr">
        <is>
          <t>Vite per rilegatura in ottone testa diametro mm. 12 per spessore mm. 13</t>
        </is>
      </c>
      <c r="H1134" s="264" t="n">
        <v>100</v>
      </c>
      <c r="I1134" s="265" t="n">
        <v>0.271</v>
      </c>
      <c r="J1134" s="214" t="n"/>
      <c r="K1134" s="208" t="n"/>
      <c r="L1134" s="424" t="n"/>
      <c r="M1134" s="961" t="n"/>
      <c r="N1134" s="214" t="n"/>
    </row>
    <row r="1135">
      <c r="A1135" s="207" t="n"/>
      <c r="B1135" s="209" t="n"/>
      <c r="C1135" s="207" t="n"/>
      <c r="D1135" s="963" t="n"/>
      <c r="E1135" s="214" t="n"/>
      <c r="F1135" s="262" t="n">
        <v>116100</v>
      </c>
      <c r="G1135" s="263" t="inlineStr">
        <is>
          <t>Vite per rilegatura in ottone testa diametro mm. 12 per spessore mm. 15</t>
        </is>
      </c>
      <c r="H1135" s="264" t="n">
        <v>100</v>
      </c>
      <c r="I1135" s="265" t="n">
        <v>0.28</v>
      </c>
      <c r="J1135" s="214" t="n"/>
      <c r="K1135" s="208" t="n"/>
      <c r="L1135" s="424" t="n"/>
      <c r="M1135" s="961" t="n"/>
      <c r="N1135" s="214" t="n"/>
    </row>
    <row r="1136">
      <c r="A1136" s="207" t="n"/>
      <c r="B1136" s="209" t="n"/>
      <c r="C1136" s="207" t="n"/>
      <c r="D1136" s="963" t="n"/>
      <c r="E1136" s="214" t="n"/>
      <c r="F1136" s="262" t="n">
        <v>116101</v>
      </c>
      <c r="G1136" s="263" t="inlineStr">
        <is>
          <t>Vite per rilegatura in ottone testa diametro mm. 12 per spessore mm. 20</t>
        </is>
      </c>
      <c r="H1136" s="264" t="n">
        <v>100</v>
      </c>
      <c r="I1136" s="265" t="n">
        <v>0.316</v>
      </c>
      <c r="J1136" s="214" t="n"/>
      <c r="K1136" s="208" t="n"/>
      <c r="L1136" s="424" t="n"/>
      <c r="M1136" s="961" t="n"/>
      <c r="N1136" s="214" t="n"/>
    </row>
    <row r="1137">
      <c r="A1137" s="207" t="n"/>
      <c r="B1137" s="209" t="n"/>
      <c r="C1137" s="207" t="n"/>
      <c r="D1137" s="963" t="n"/>
      <c r="E1137" s="214" t="n"/>
      <c r="F1137" s="262" t="n">
        <v>116102</v>
      </c>
      <c r="G1137" s="263" t="inlineStr">
        <is>
          <t>Vite per rilegatura in ottone testa diametro mm. 12 per spessore mm. 25</t>
        </is>
      </c>
      <c r="H1137" s="264" t="n">
        <v>100</v>
      </c>
      <c r="I1137" s="265" t="n">
        <v>0.361</v>
      </c>
      <c r="J1137" s="214" t="n"/>
      <c r="K1137" s="208" t="n"/>
      <c r="L1137" s="424" t="n"/>
      <c r="M1137" s="961" t="n"/>
      <c r="N1137" s="214" t="n"/>
    </row>
    <row r="1138">
      <c r="A1138" s="207" t="n"/>
      <c r="B1138" s="209" t="n"/>
      <c r="C1138" s="207" t="n"/>
      <c r="D1138" s="963" t="n"/>
      <c r="E1138" s="214" t="n"/>
      <c r="F1138" s="262" t="n">
        <v>116103</v>
      </c>
      <c r="G1138" s="263" t="inlineStr">
        <is>
          <t>Vite per rilegatura in ottone testa diametro mm. 12 per spessore mm. 30</t>
        </is>
      </c>
      <c r="H1138" s="264" t="n">
        <v>100</v>
      </c>
      <c r="I1138" s="265" t="n">
        <v>0.406</v>
      </c>
      <c r="J1138" s="214" t="n"/>
      <c r="K1138" s="208" t="n"/>
      <c r="L1138" s="424" t="n"/>
      <c r="M1138" s="961" t="n"/>
      <c r="N1138" s="214" t="n"/>
    </row>
    <row r="1139">
      <c r="A1139" s="207" t="n"/>
      <c r="B1139" s="209" t="n"/>
      <c r="C1139" s="207" t="n"/>
      <c r="D1139" s="963" t="n"/>
      <c r="E1139" s="214" t="n"/>
      <c r="F1139" s="262" t="n">
        <v>116104</v>
      </c>
      <c r="G1139" s="263" t="inlineStr">
        <is>
          <t>Vite per rilegatura in ottone testa diametro mm. 12 per spessore mm. 35</t>
        </is>
      </c>
      <c r="H1139" s="264" t="n">
        <v>100</v>
      </c>
      <c r="I1139" s="265" t="n">
        <v>0.448</v>
      </c>
      <c r="J1139" s="214" t="n"/>
      <c r="K1139" s="208" t="n"/>
      <c r="L1139" s="424" t="n"/>
      <c r="M1139" s="961" t="n"/>
      <c r="N1139" s="214" t="n"/>
    </row>
    <row r="1140">
      <c r="A1140" s="207" t="n"/>
      <c r="B1140" s="209" t="n"/>
      <c r="C1140" s="207" t="n"/>
      <c r="D1140" s="963" t="n"/>
      <c r="E1140" s="214" t="n"/>
      <c r="F1140" s="262" t="n">
        <v>116105</v>
      </c>
      <c r="G1140" s="263" t="inlineStr">
        <is>
          <t>Vite per rilegatura in ottone testa diametro mm. 12 per spessore mm. 40</t>
        </is>
      </c>
      <c r="H1140" s="264" t="n">
        <v>100</v>
      </c>
      <c r="I1140" s="265" t="n">
        <v>0.523</v>
      </c>
      <c r="J1140" s="214" t="n"/>
      <c r="K1140" s="208" t="n"/>
      <c r="L1140" s="424" t="n"/>
      <c r="M1140" s="961" t="n"/>
      <c r="N1140" s="214" t="n"/>
    </row>
    <row r="1141">
      <c r="A1141" s="207" t="n"/>
      <c r="B1141" s="209" t="n"/>
      <c r="C1141" s="207" t="n"/>
      <c r="D1141" s="963" t="n"/>
      <c r="E1141" s="214" t="n"/>
      <c r="F1141" s="262" t="n">
        <v>116106</v>
      </c>
      <c r="G1141" s="263" t="inlineStr">
        <is>
          <t>Vite per rilegatura in ottone testa diametro mm. 12 per spessore mm. 45</t>
        </is>
      </c>
      <c r="H1141" s="264" t="n">
        <v>100</v>
      </c>
      <c r="I1141" s="265" t="n">
        <v>0.5679999999999999</v>
      </c>
      <c r="J1141" s="214" t="n"/>
      <c r="K1141" s="208" t="n"/>
      <c r="L1141" s="424" t="n"/>
      <c r="M1141" s="961" t="n"/>
      <c r="N1141" s="214" t="n"/>
    </row>
    <row r="1142">
      <c r="A1142" s="207" t="n"/>
      <c r="B1142" s="209" t="n"/>
      <c r="C1142" s="207" t="n"/>
      <c r="D1142" s="963" t="n"/>
      <c r="E1142" s="214" t="n"/>
      <c r="F1142" s="262" t="n">
        <v>116107</v>
      </c>
      <c r="G1142" s="263" t="inlineStr">
        <is>
          <t>Vite per rilegatura in ottone testa diametro mm. 12 per spessore mm. 50</t>
        </is>
      </c>
      <c r="H1142" s="264" t="n">
        <v>100</v>
      </c>
      <c r="I1142" s="265" t="n">
        <v>0.587</v>
      </c>
      <c r="J1142" s="214" t="n"/>
      <c r="K1142" s="208" t="n"/>
      <c r="L1142" s="424" t="n"/>
      <c r="M1142" s="961" t="n"/>
      <c r="N1142" s="214" t="n"/>
    </row>
    <row r="1143">
      <c r="A1143" s="207" t="n"/>
      <c r="B1143" s="209" t="n"/>
      <c r="C1143" s="207" t="n"/>
      <c r="D1143" s="963" t="n"/>
      <c r="E1143" s="214" t="n"/>
      <c r="F1143" s="262" t="n">
        <v>116108</v>
      </c>
      <c r="G1143" s="263" t="inlineStr">
        <is>
          <t>Vite per rilegatura in ottone testa diametro mm. 12 per spessore mm. 60</t>
        </is>
      </c>
      <c r="H1143" s="264" t="n">
        <v>100</v>
      </c>
      <c r="I1143" s="265" t="n">
        <v>0.643</v>
      </c>
      <c r="J1143" s="214" t="n"/>
      <c r="K1143" s="208" t="n"/>
      <c r="L1143" s="424" t="n"/>
      <c r="M1143" s="961" t="n"/>
      <c r="N1143" s="214" t="n"/>
    </row>
    <row r="1144">
      <c r="A1144" s="207" t="n"/>
      <c r="B1144" s="209" t="n"/>
      <c r="C1144" s="207" t="n"/>
      <c r="D1144" s="963" t="n"/>
      <c r="E1144" s="214" t="n"/>
      <c r="F1144" s="262" t="n">
        <v>116109</v>
      </c>
      <c r="G1144" s="263" t="inlineStr">
        <is>
          <t>Vite per rilegatura in ottone testa diametro mm. 12 per spessore mm. 70</t>
        </is>
      </c>
      <c r="H1144" s="264" t="n">
        <v>100</v>
      </c>
      <c r="I1144" s="265" t="n">
        <v>0.733</v>
      </c>
      <c r="J1144" s="214" t="n"/>
      <c r="K1144" s="208" t="n"/>
      <c r="L1144" s="424" t="n"/>
      <c r="M1144" s="961" t="n"/>
      <c r="N1144" s="214" t="n"/>
    </row>
    <row r="1145">
      <c r="A1145" s="207" t="n"/>
      <c r="B1145" s="209" t="n"/>
      <c r="C1145" s="207" t="n"/>
      <c r="D1145" s="963" t="n"/>
      <c r="E1145" s="214" t="n"/>
      <c r="F1145" s="262" t="n">
        <v>116110</v>
      </c>
      <c r="G1145" s="263" t="inlineStr">
        <is>
          <t>Vite per rilegatura in ottone testa diametro mm. 12 per spessore mm. 80</t>
        </is>
      </c>
      <c r="H1145" s="264" t="n">
        <v>100</v>
      </c>
      <c r="I1145" s="265" t="n">
        <v>0.789</v>
      </c>
      <c r="J1145" s="214" t="n"/>
      <c r="K1145" s="208" t="n"/>
      <c r="L1145" s="424" t="n"/>
      <c r="M1145" s="961" t="n"/>
      <c r="N1145" s="214" t="n"/>
    </row>
    <row r="1146">
      <c r="A1146" s="207" t="n"/>
      <c r="B1146" s="209" t="n"/>
      <c r="C1146" s="207" t="n"/>
      <c r="D1146" s="963" t="n"/>
      <c r="E1146" s="214" t="n"/>
      <c r="F1146" s="262" t="n">
        <v>116111</v>
      </c>
      <c r="G1146" s="263" t="inlineStr">
        <is>
          <t>Vite per rilegatura in ottone testa diametro mm. 12 per spessore mm. 90</t>
        </is>
      </c>
      <c r="H1146" s="264" t="n">
        <v>100</v>
      </c>
      <c r="I1146" s="265" t="n">
        <v>0.859</v>
      </c>
      <c r="J1146" s="214" t="n"/>
      <c r="K1146" s="208" t="n"/>
      <c r="L1146" s="424" t="n"/>
      <c r="M1146" s="961" t="n"/>
      <c r="N1146" s="214" t="n"/>
    </row>
    <row r="1147">
      <c r="A1147" s="207" t="n"/>
      <c r="B1147" s="209" t="n"/>
      <c r="C1147" s="207" t="n"/>
      <c r="D1147" s="963" t="n"/>
      <c r="E1147" s="214" t="n"/>
      <c r="F1147" s="262" t="n">
        <v>116112</v>
      </c>
      <c r="G1147" s="263" t="inlineStr">
        <is>
          <t>Vite per rilegatura in ottone testa diametro mm. 12 per spessore mm. 100</t>
        </is>
      </c>
      <c r="H1147" s="264" t="n">
        <v>100</v>
      </c>
      <c r="I1147" s="265" t="n">
        <v>0.985</v>
      </c>
      <c r="J1147" s="214" t="n"/>
      <c r="K1147" s="208" t="n"/>
      <c r="L1147" s="424" t="n"/>
      <c r="M1147" s="961" t="n"/>
      <c r="N1147" s="214" t="n"/>
    </row>
    <row r="1148">
      <c r="A1148" s="207" t="n"/>
      <c r="B1148" s="209" t="n"/>
      <c r="C1148" s="207" t="n"/>
      <c r="D1148" s="963" t="n"/>
      <c r="E1148" s="214" t="n"/>
      <c r="F1148" s="262" t="n">
        <v>116117</v>
      </c>
      <c r="G1148" s="263" t="inlineStr">
        <is>
          <t>Vite in plastica con foro passante bianca per spessore mm. 3</t>
        </is>
      </c>
      <c r="H1148" s="264" t="n">
        <v>100</v>
      </c>
      <c r="I1148" s="265" t="n">
        <v>0.143</v>
      </c>
      <c r="J1148" s="214" t="n"/>
      <c r="K1148" s="208" t="n"/>
      <c r="L1148" s="424" t="n"/>
      <c r="M1148" s="961" t="n"/>
      <c r="N1148" s="214" t="n"/>
    </row>
    <row r="1149">
      <c r="A1149" s="207" t="n"/>
      <c r="B1149" s="209" t="n"/>
      <c r="C1149" s="207" t="n"/>
      <c r="D1149" s="963" t="n"/>
      <c r="E1149" s="214" t="n"/>
      <c r="F1149" s="262" t="n">
        <v>116118</v>
      </c>
      <c r="G1149" s="263" t="inlineStr">
        <is>
          <t>Vite in plastica con foro passante nera per spessore mm. 3</t>
        </is>
      </c>
      <c r="H1149" s="264" t="n">
        <v>100</v>
      </c>
      <c r="I1149" s="265" t="n">
        <v>0.143</v>
      </c>
      <c r="J1149" s="214" t="n"/>
      <c r="K1149" s="208" t="n"/>
      <c r="L1149" s="424" t="n"/>
      <c r="M1149" s="961" t="n"/>
      <c r="N1149" s="214" t="n"/>
    </row>
    <row r="1150">
      <c r="A1150" s="207" t="n"/>
      <c r="B1150" s="209" t="n"/>
      <c r="C1150" s="207" t="n"/>
      <c r="D1150" s="963" t="n"/>
      <c r="E1150" s="214" t="n"/>
      <c r="F1150" s="262" t="n">
        <v>116119</v>
      </c>
      <c r="G1150" s="263" t="inlineStr">
        <is>
          <t>Vite in plastica con foro passante bianca per spessore mm. 5</t>
        </is>
      </c>
      <c r="H1150" s="264" t="n">
        <v>100</v>
      </c>
      <c r="I1150" s="265" t="n">
        <v>0.143</v>
      </c>
      <c r="J1150" s="214" t="n"/>
      <c r="K1150" s="208" t="n"/>
      <c r="L1150" s="424" t="n"/>
      <c r="M1150" s="961" t="n"/>
      <c r="N1150" s="214" t="n"/>
    </row>
    <row r="1151">
      <c r="A1151" s="207" t="n"/>
      <c r="B1151" s="209" t="n"/>
      <c r="C1151" s="207" t="n"/>
      <c r="D1151" s="963" t="n"/>
      <c r="E1151" s="214" t="n"/>
      <c r="F1151" s="262" t="n">
        <v>116120</v>
      </c>
      <c r="G1151" s="263" t="inlineStr">
        <is>
          <t>Vite in plastica con foro passante nera per spessore mm. 5</t>
        </is>
      </c>
      <c r="H1151" s="264" t="n">
        <v>100</v>
      </c>
      <c r="I1151" s="265" t="n">
        <v>0.143</v>
      </c>
      <c r="J1151" s="214" t="n"/>
      <c r="K1151" s="208" t="n"/>
      <c r="L1151" s="424" t="n"/>
      <c r="M1151" s="961" t="n"/>
      <c r="N1151" s="214" t="n"/>
    </row>
    <row r="1152">
      <c r="A1152" s="207" t="n"/>
      <c r="B1152" s="209" t="n"/>
      <c r="C1152" s="207" t="n"/>
      <c r="D1152" s="963" t="n"/>
      <c r="E1152" s="214" t="n"/>
      <c r="F1152" s="262" t="n">
        <v>116121</v>
      </c>
      <c r="G1152" s="263" t="inlineStr">
        <is>
          <t>Vite in plastica con foro passante bianca per spessore mm. 10</t>
        </is>
      </c>
      <c r="H1152" s="264" t="n">
        <v>100</v>
      </c>
      <c r="I1152" s="265" t="n">
        <v>0.148</v>
      </c>
      <c r="J1152" s="214" t="n"/>
      <c r="K1152" s="208" t="n"/>
      <c r="L1152" s="424" t="n"/>
      <c r="M1152" s="961" t="n"/>
      <c r="N1152" s="214" t="n"/>
    </row>
    <row r="1153">
      <c r="A1153" s="207" t="n"/>
      <c r="B1153" s="209" t="n"/>
      <c r="C1153" s="207" t="n"/>
      <c r="D1153" s="963" t="n"/>
      <c r="E1153" s="214" t="n"/>
      <c r="F1153" s="262" t="n">
        <v>116122</v>
      </c>
      <c r="G1153" s="263" t="inlineStr">
        <is>
          <t>Vite in plastica con foro passante nera per spessore mm. 10</t>
        </is>
      </c>
      <c r="H1153" s="264" t="n">
        <v>100</v>
      </c>
      <c r="I1153" s="265" t="n">
        <v>0.148</v>
      </c>
      <c r="J1153" s="214" t="n"/>
      <c r="K1153" s="208" t="n"/>
      <c r="L1153" s="424" t="n"/>
      <c r="M1153" s="961" t="n"/>
      <c r="N1153" s="214" t="n"/>
    </row>
    <row r="1154">
      <c r="A1154" s="207" t="n"/>
      <c r="B1154" s="209" t="n"/>
      <c r="C1154" s="207" t="n"/>
      <c r="D1154" s="963" t="n"/>
      <c r="E1154" s="214" t="n"/>
      <c r="F1154" s="262" t="n">
        <v>116123</v>
      </c>
      <c r="G1154" s="263" t="inlineStr">
        <is>
          <t>Vite in plastica con foro passante bianca per spessore mm. 15</t>
        </is>
      </c>
      <c r="H1154" s="264" t="n">
        <v>100</v>
      </c>
      <c r="I1154" s="265" t="n">
        <v>0.148</v>
      </c>
      <c r="J1154" s="214" t="n"/>
      <c r="K1154" s="208" t="n"/>
      <c r="L1154" s="424" t="n"/>
      <c r="M1154" s="961" t="n"/>
      <c r="N1154" s="214" t="n"/>
    </row>
    <row r="1155">
      <c r="A1155" s="207" t="n"/>
      <c r="B1155" s="209" t="n"/>
      <c r="C1155" s="207" t="n"/>
      <c r="D1155" s="963" t="n"/>
      <c r="E1155" s="214" t="n"/>
      <c r="F1155" s="262" t="n">
        <v>116124</v>
      </c>
      <c r="G1155" s="263" t="inlineStr">
        <is>
          <t>Vite in plastica con foro passante nera per spessore mm. 15</t>
        </is>
      </c>
      <c r="H1155" s="264" t="n">
        <v>100</v>
      </c>
      <c r="I1155" s="265" t="n">
        <v>0.148</v>
      </c>
      <c r="J1155" s="214" t="n"/>
      <c r="K1155" s="208" t="n"/>
      <c r="L1155" s="424" t="n"/>
      <c r="M1155" s="961" t="n"/>
      <c r="N1155" s="214" t="n"/>
    </row>
    <row r="1156">
      <c r="A1156" s="207" t="n"/>
      <c r="B1156" s="209" t="n"/>
      <c r="C1156" s="207" t="n"/>
      <c r="D1156" s="963" t="n"/>
      <c r="E1156" s="214" t="n"/>
      <c r="F1156" s="262" t="n">
        <v>116125</v>
      </c>
      <c r="G1156" s="263" t="inlineStr">
        <is>
          <t>Vite in plastica con foro passante bianca per spessore mm. 20</t>
        </is>
      </c>
      <c r="H1156" s="264" t="n">
        <v>100</v>
      </c>
      <c r="I1156" s="265" t="n">
        <v>0.154</v>
      </c>
      <c r="J1156" s="214" t="n"/>
      <c r="K1156" s="208" t="n"/>
      <c r="L1156" s="424" t="n"/>
      <c r="M1156" s="961" t="n"/>
      <c r="N1156" s="214" t="n"/>
    </row>
    <row r="1157">
      <c r="A1157" s="207" t="n"/>
      <c r="B1157" s="209" t="n"/>
      <c r="C1157" s="207" t="n"/>
      <c r="D1157" s="963" t="n"/>
      <c r="E1157" s="214" t="n"/>
      <c r="F1157" s="262" t="n">
        <v>116126</v>
      </c>
      <c r="G1157" s="263" t="inlineStr">
        <is>
          <t>Vite in plastica con foro passante nera per spessore mm. 20</t>
        </is>
      </c>
      <c r="H1157" s="264" t="n">
        <v>100</v>
      </c>
      <c r="I1157" s="265" t="n">
        <v>0.154</v>
      </c>
      <c r="J1157" s="214" t="n"/>
      <c r="K1157" s="208" t="n"/>
      <c r="L1157" s="424" t="n"/>
      <c r="M1157" s="961" t="n"/>
      <c r="N1157" s="214" t="n"/>
    </row>
    <row r="1158">
      <c r="A1158" s="207" t="n"/>
      <c r="B1158" s="209" t="n"/>
      <c r="C1158" s="207" t="n"/>
      <c r="D1158" s="963" t="n"/>
      <c r="E1158" s="214" t="n"/>
      <c r="F1158" s="262" t="n">
        <v>116127</v>
      </c>
      <c r="G1158" s="263" t="inlineStr">
        <is>
          <t>Vite in plastica con foro passante bianca per spessore mm. 30</t>
        </is>
      </c>
      <c r="H1158" s="264" t="n">
        <v>100</v>
      </c>
      <c r="I1158" s="265" t="n">
        <v>0.168</v>
      </c>
      <c r="J1158" s="214" t="n"/>
      <c r="K1158" s="208" t="n"/>
      <c r="L1158" s="424" t="n"/>
      <c r="M1158" s="961" t="n"/>
      <c r="N1158" s="214" t="n"/>
    </row>
    <row r="1159">
      <c r="A1159" s="207" t="n"/>
      <c r="B1159" s="209" t="n"/>
      <c r="C1159" s="207" t="n"/>
      <c r="D1159" s="963" t="n"/>
      <c r="E1159" s="214" t="n"/>
      <c r="F1159" s="262" t="n">
        <v>116128</v>
      </c>
      <c r="G1159" s="263" t="inlineStr">
        <is>
          <t>Vite in plastica con foro passante nera per spessore mm. 30</t>
        </is>
      </c>
      <c r="H1159" s="264" t="n">
        <v>100</v>
      </c>
      <c r="I1159" s="265" t="n">
        <v>0.168</v>
      </c>
      <c r="J1159" s="214" t="n"/>
      <c r="K1159" s="208" t="n"/>
      <c r="L1159" s="424" t="n"/>
      <c r="M1159" s="961" t="n"/>
      <c r="N1159" s="214" t="n"/>
    </row>
    <row r="1160">
      <c r="A1160" s="207" t="n"/>
      <c r="B1160" s="209" t="n"/>
      <c r="C1160" s="207" t="n"/>
      <c r="D1160" s="963" t="n"/>
      <c r="E1160" s="214" t="n"/>
      <c r="F1160" s="262" t="n">
        <v>116129</v>
      </c>
      <c r="G1160" s="263" t="inlineStr">
        <is>
          <t>Vite in plastica con foro passante bianca per spessore mm. 40</t>
        </is>
      </c>
      <c r="H1160" s="264" t="n">
        <v>100</v>
      </c>
      <c r="I1160" s="265" t="n">
        <v>0.173</v>
      </c>
      <c r="J1160" s="214" t="n"/>
      <c r="K1160" s="208" t="n"/>
      <c r="L1160" s="424" t="n"/>
      <c r="M1160" s="961" t="n"/>
      <c r="N1160" s="214" t="n"/>
    </row>
    <row r="1161">
      <c r="A1161" s="207" t="n"/>
      <c r="B1161" s="209" t="n"/>
      <c r="C1161" s="207" t="n"/>
      <c r="D1161" s="963" t="n"/>
      <c r="E1161" s="214" t="n"/>
      <c r="F1161" s="262" t="n">
        <v>116130</v>
      </c>
      <c r="G1161" s="263" t="inlineStr">
        <is>
          <t>Vite in plastica con foro passante nera per spessore mm. 40</t>
        </is>
      </c>
      <c r="H1161" s="264" t="n">
        <v>100</v>
      </c>
      <c r="I1161" s="265" t="n">
        <v>0.173</v>
      </c>
      <c r="J1161" s="214" t="n"/>
      <c r="K1161" s="208" t="n"/>
      <c r="L1161" s="424" t="n"/>
      <c r="M1161" s="961" t="n"/>
      <c r="N1161" s="214" t="n"/>
    </row>
    <row r="1162">
      <c r="A1162" s="207" t="n"/>
      <c r="B1162" s="209" t="n"/>
      <c r="C1162" s="207" t="n"/>
      <c r="D1162" s="963" t="n"/>
      <c r="E1162" s="214" t="n"/>
      <c r="F1162" s="262" t="n">
        <v>116131</v>
      </c>
      <c r="G1162" s="263" t="inlineStr">
        <is>
          <t>Vite in plastica con foro passante bianca per spessore mm. 50</t>
        </is>
      </c>
      <c r="H1162" s="264" t="n">
        <v>100</v>
      </c>
      <c r="I1162" s="265" t="n">
        <v>0.229</v>
      </c>
      <c r="J1162" s="214" t="n"/>
      <c r="K1162" s="208" t="n"/>
      <c r="L1162" s="424" t="n"/>
      <c r="M1162" s="961" t="n"/>
      <c r="N1162" s="214" t="n"/>
    </row>
    <row r="1163">
      <c r="A1163" s="207" t="n"/>
      <c r="B1163" s="209" t="n"/>
      <c r="C1163" s="207" t="n"/>
      <c r="D1163" s="963" t="n"/>
      <c r="E1163" s="214" t="n"/>
      <c r="F1163" s="262" t="n">
        <v>116132</v>
      </c>
      <c r="G1163" s="263" t="inlineStr">
        <is>
          <t>Vite in plastica con foro passante nera per spessore mm. 50</t>
        </is>
      </c>
      <c r="H1163" s="264" t="n">
        <v>100</v>
      </c>
      <c r="I1163" s="265" t="n">
        <v>0.229</v>
      </c>
      <c r="J1163" s="214" t="n"/>
      <c r="K1163" s="208" t="n"/>
      <c r="L1163" s="424" t="n"/>
      <c r="M1163" s="961" t="n"/>
      <c r="N1163" s="214" t="n"/>
    </row>
    <row r="1164">
      <c r="A1164" s="207" t="n"/>
      <c r="B1164" s="209" t="n"/>
      <c r="C1164" s="207" t="n"/>
      <c r="D1164" s="963" t="n"/>
      <c r="E1164" s="214" t="n"/>
      <c r="F1164" s="262" t="n">
        <v>116140</v>
      </c>
      <c r="G1164" s="263" t="inlineStr">
        <is>
          <t>Vite a pressione non removibile testa mm. 13,5 per spessore mm. 4,7 trasparente</t>
        </is>
      </c>
      <c r="H1164" s="264" t="n">
        <v>100</v>
      </c>
      <c r="I1164" s="265" t="n">
        <v>0.195</v>
      </c>
      <c r="J1164" s="214" t="n"/>
      <c r="K1164" s="208" t="n"/>
      <c r="L1164" s="424" t="n"/>
      <c r="M1164" s="961" t="n"/>
      <c r="N1164" s="214" t="n"/>
    </row>
    <row r="1165">
      <c r="A1165" s="207" t="n"/>
      <c r="B1165" s="209" t="n"/>
      <c r="C1165" s="207" t="n"/>
      <c r="D1165" s="963" t="n"/>
      <c r="E1165" s="214" t="n"/>
      <c r="F1165" s="262" t="n">
        <v>116141</v>
      </c>
      <c r="G1165" s="263" t="inlineStr">
        <is>
          <t>Vite a pressione non removibile testa mm. 13,5 per spessore mm. 6,3 trasparente</t>
        </is>
      </c>
      <c r="H1165" s="264" t="n">
        <v>100</v>
      </c>
      <c r="I1165" s="265" t="n">
        <v>0.195</v>
      </c>
      <c r="J1165" s="214" t="n"/>
      <c r="K1165" s="208" t="n"/>
      <c r="L1165" s="424" t="n"/>
      <c r="M1165" s="961" t="n"/>
      <c r="N1165" s="214" t="n"/>
    </row>
    <row r="1166">
      <c r="A1166" s="207" t="n"/>
      <c r="B1166" s="209" t="n"/>
      <c r="C1166" s="207" t="n"/>
      <c r="D1166" s="963" t="n"/>
      <c r="E1166" s="214" t="n"/>
      <c r="F1166" s="262" t="n">
        <v>116142</v>
      </c>
      <c r="G1166" s="263" t="inlineStr">
        <is>
          <t>Vite a pressione non removibile testa mm. 13,5 per spessore mm. 9,5 trasparente</t>
        </is>
      </c>
      <c r="H1166" s="264" t="n">
        <v>100</v>
      </c>
      <c r="I1166" s="265" t="n">
        <v>0.279</v>
      </c>
      <c r="J1166" s="214" t="n"/>
      <c r="K1166" s="208" t="n"/>
      <c r="L1166" s="424" t="n"/>
      <c r="M1166" s="961" t="n"/>
      <c r="N1166" s="214" t="n"/>
    </row>
    <row r="1167">
      <c r="A1167" s="207" t="n"/>
      <c r="B1167" s="209" t="n"/>
      <c r="C1167" s="207" t="n"/>
      <c r="D1167" s="963" t="n"/>
      <c r="E1167" s="214" t="n"/>
      <c r="F1167" s="262" t="n">
        <v>116150</v>
      </c>
      <c r="G1167" s="263" t="inlineStr">
        <is>
          <t>Vite a pressione non removibile testa mm. 9 per spessore mm. 4,7 trasparente</t>
        </is>
      </c>
      <c r="H1167" s="264" t="n">
        <v>100</v>
      </c>
      <c r="I1167" s="265" t="n">
        <v>0.127</v>
      </c>
      <c r="J1167" s="214" t="n"/>
      <c r="K1167" s="208" t="n"/>
      <c r="L1167" s="424" t="n"/>
      <c r="M1167" s="961" t="n"/>
      <c r="N1167" s="214" t="n"/>
    </row>
    <row r="1168">
      <c r="A1168" s="207" t="n"/>
      <c r="B1168" s="209" t="n"/>
      <c r="C1168" s="207" t="n"/>
      <c r="D1168" s="963" t="n"/>
      <c r="E1168" s="214" t="n"/>
      <c r="F1168" s="262" t="n">
        <v>116151</v>
      </c>
      <c r="G1168" s="263" t="inlineStr">
        <is>
          <t>Vite a pressione non removibile testa mm. 9 per spessore mm. 6,3 trasparente</t>
        </is>
      </c>
      <c r="H1168" s="264" t="n">
        <v>100</v>
      </c>
      <c r="I1168" s="265" t="n">
        <v>0.127</v>
      </c>
      <c r="J1168" s="214" t="n"/>
      <c r="K1168" s="208" t="n"/>
      <c r="L1168" s="424" t="n"/>
      <c r="M1168" s="961" t="n"/>
      <c r="N1168" s="214" t="n"/>
    </row>
    <row r="1169">
      <c r="A1169" s="207" t="n"/>
      <c r="B1169" s="209" t="n"/>
      <c r="C1169" s="207" t="n"/>
      <c r="D1169" s="963" t="n"/>
      <c r="E1169" s="214" t="n"/>
      <c r="F1169" s="262" t="n">
        <v>116152</v>
      </c>
      <c r="G1169" s="263" t="inlineStr">
        <is>
          <t>Vite a pressione non removibile testa mm. 9 per spessore mm. 9,5 trasparente</t>
        </is>
      </c>
      <c r="H1169" s="264" t="n">
        <v>100</v>
      </c>
      <c r="I1169" s="265" t="n">
        <v>0.131</v>
      </c>
      <c r="J1169" s="214" t="n"/>
      <c r="K1169" s="208" t="n"/>
      <c r="L1169" s="424" t="n"/>
      <c r="M1169" s="961" t="n"/>
      <c r="N1169" s="214" t="n"/>
    </row>
    <row r="1170">
      <c r="A1170" s="207" t="n"/>
      <c r="B1170" s="209" t="n"/>
      <c r="C1170" s="207" t="n"/>
      <c r="D1170" s="963" t="n"/>
      <c r="E1170" s="214" t="n"/>
      <c r="F1170" s="262" t="n">
        <v>116160</v>
      </c>
      <c r="G1170" s="263" t="inlineStr">
        <is>
          <t>Vite a pressione non removibile testa mm. 9 per spessore mm. 4,7 bianca</t>
        </is>
      </c>
      <c r="H1170" s="264" t="n">
        <v>100</v>
      </c>
      <c r="I1170" s="265" t="n">
        <v>0.098</v>
      </c>
      <c r="J1170" s="214" t="n"/>
      <c r="K1170" s="208" t="n"/>
      <c r="L1170" s="424" t="n"/>
      <c r="M1170" s="961" t="n"/>
      <c r="N1170" s="214" t="n"/>
    </row>
    <row r="1171">
      <c r="A1171" s="207" t="n"/>
      <c r="B1171" s="209" t="n"/>
      <c r="C1171" s="207" t="n"/>
      <c r="D1171" s="963" t="n"/>
      <c r="E1171" s="214" t="n"/>
      <c r="F1171" s="262" t="n">
        <v>116161</v>
      </c>
      <c r="G1171" s="263" t="inlineStr">
        <is>
          <t>Vite a pressione non removibile testa mm. 9 per spessore mm. 6,3 bianca</t>
        </is>
      </c>
      <c r="H1171" s="264" t="n">
        <v>100</v>
      </c>
      <c r="I1171" s="265" t="n">
        <v>0.098</v>
      </c>
      <c r="J1171" s="214" t="n"/>
      <c r="K1171" s="208" t="n"/>
      <c r="L1171" s="424" t="n"/>
      <c r="M1171" s="961" t="n"/>
      <c r="N1171" s="214" t="n"/>
    </row>
    <row r="1172">
      <c r="A1172" s="207" t="n"/>
      <c r="B1172" s="209" t="n"/>
      <c r="C1172" s="207" t="n"/>
      <c r="D1172" s="963" t="n"/>
      <c r="E1172" s="214" t="n"/>
      <c r="F1172" s="262" t="n">
        <v>116162</v>
      </c>
      <c r="G1172" s="263" t="inlineStr">
        <is>
          <t>Vite a pressione non removibile testa mm. 9 per spessore mm. 9,5 bianca</t>
        </is>
      </c>
      <c r="H1172" s="264" t="n">
        <v>100</v>
      </c>
      <c r="I1172" s="265" t="n">
        <v>0.08599999999999999</v>
      </c>
      <c r="J1172" s="214" t="n"/>
      <c r="K1172" s="208" t="n"/>
      <c r="L1172" s="424" t="n"/>
      <c r="M1172" s="961" t="n"/>
      <c r="N1172" s="214" t="n"/>
    </row>
    <row r="1173">
      <c r="A1173" s="207" t="n"/>
      <c r="B1173" s="209" t="n"/>
      <c r="C1173" s="207" t="n"/>
      <c r="D1173" s="963" t="n"/>
      <c r="E1173" s="214" t="n"/>
      <c r="F1173" s="262" t="n">
        <v>116163</v>
      </c>
      <c r="G1173" s="263" t="inlineStr">
        <is>
          <t>Vite a pressione non removibile testa mm. 9 per spessore mm. 12,8 bianca</t>
        </is>
      </c>
      <c r="H1173" s="264" t="n">
        <v>100</v>
      </c>
      <c r="I1173" s="265" t="n">
        <v>0.106</v>
      </c>
      <c r="J1173" s="214" t="n"/>
      <c r="K1173" s="208" t="n"/>
      <c r="L1173" s="424" t="n"/>
      <c r="M1173" s="961" t="n"/>
      <c r="N1173" s="214" t="n"/>
    </row>
    <row r="1174">
      <c r="A1174" s="207" t="n"/>
      <c r="B1174" s="209" t="n"/>
      <c r="C1174" s="207" t="n"/>
      <c r="D1174" s="963" t="n"/>
      <c r="E1174" s="214" t="n"/>
      <c r="F1174" s="262" t="n">
        <v>116164</v>
      </c>
      <c r="G1174" s="263" t="inlineStr">
        <is>
          <t>Vite a pressione non removibile testa mm. 9 per spessore mm. 19 bianca</t>
        </is>
      </c>
      <c r="H1174" s="264" t="n">
        <v>100</v>
      </c>
      <c r="I1174" s="265" t="n">
        <v>0.108</v>
      </c>
      <c r="J1174" s="214" t="n"/>
      <c r="K1174" s="208" t="n"/>
      <c r="L1174" s="424" t="n"/>
      <c r="M1174" s="961" t="n"/>
      <c r="N1174" s="214" t="n"/>
    </row>
    <row r="1175">
      <c r="A1175" s="207" t="n"/>
      <c r="B1175" s="209" t="n"/>
      <c r="C1175" s="207" t="n"/>
      <c r="D1175" s="963" t="n"/>
      <c r="E1175" s="214" t="n"/>
      <c r="F1175" s="262" t="n">
        <v>116165</v>
      </c>
      <c r="G1175" s="263" t="inlineStr">
        <is>
          <t>Vite a pressione non removibile testa mm. 9 per spessore mm. 25 bianca</t>
        </is>
      </c>
      <c r="H1175" s="264" t="n">
        <v>100</v>
      </c>
      <c r="I1175" s="265" t="n">
        <v>0.138</v>
      </c>
      <c r="J1175" s="214" t="n"/>
      <c r="K1175" s="208" t="n"/>
      <c r="L1175" s="424" t="n"/>
      <c r="M1175" s="961" t="n"/>
      <c r="N1175" s="214" t="n"/>
    </row>
    <row r="1176">
      <c r="A1176" s="207" t="n"/>
      <c r="B1176" s="209" t="n"/>
      <c r="C1176" s="207" t="n"/>
      <c r="D1176" s="963" t="n"/>
      <c r="E1176" s="214" t="n"/>
      <c r="F1176" s="262" t="n">
        <v>116171</v>
      </c>
      <c r="G1176" s="263" t="inlineStr">
        <is>
          <t>Tree clip per spessori da mm. 4,7 a mm. 10,3</t>
        </is>
      </c>
      <c r="H1176" s="264" t="n">
        <v>100</v>
      </c>
      <c r="I1176" s="265" t="n">
        <v>0.119</v>
      </c>
      <c r="J1176" s="214" t="n"/>
      <c r="K1176" s="208" t="n"/>
      <c r="L1176" s="424" t="n"/>
      <c r="M1176" s="961" t="n"/>
      <c r="N1176" s="214" t="n"/>
    </row>
    <row r="1177">
      <c r="A1177" s="207" t="n"/>
      <c r="B1177" s="209" t="n"/>
      <c r="C1177" s="207" t="n"/>
      <c r="D1177" s="963" t="n"/>
      <c r="E1177" s="214" t="n"/>
      <c r="F1177" s="262" t="n">
        <v>116172</v>
      </c>
      <c r="G1177" s="263" t="inlineStr">
        <is>
          <t>Tree clip per spessori da mm. 4,7 a mm. 15,2</t>
        </is>
      </c>
      <c r="H1177" s="264" t="n">
        <v>100</v>
      </c>
      <c r="I1177" s="265" t="n">
        <v>0.119</v>
      </c>
      <c r="J1177" s="214" t="n"/>
      <c r="K1177" s="208" t="n"/>
      <c r="L1177" s="424" t="n"/>
      <c r="M1177" s="961" t="n"/>
      <c r="N1177" s="214" t="n"/>
    </row>
    <row r="1178">
      <c r="A1178" s="207" t="n"/>
      <c r="B1178" s="209" t="n"/>
      <c r="C1178" s="207" t="n"/>
      <c r="D1178" s="963" t="n"/>
      <c r="E1178" s="214" t="n"/>
      <c r="F1178" s="262" t="n">
        <v>116180</v>
      </c>
      <c r="G1178" s="263" t="inlineStr">
        <is>
          <t>Rivetto per spessori da mm. 0,5 a mm. 1,5 testa diametro mm. 9,3 trasparente</t>
        </is>
      </c>
      <c r="H1178" s="264" t="n">
        <v>100</v>
      </c>
      <c r="I1178" s="265" t="n">
        <v>0.107</v>
      </c>
      <c r="J1178" s="214" t="n"/>
      <c r="K1178" s="208" t="n"/>
      <c r="L1178" s="424" t="n"/>
      <c r="M1178" s="961" t="n"/>
      <c r="N1178" s="214" t="n"/>
    </row>
    <row r="1179">
      <c r="A1179" s="207" t="n"/>
      <c r="B1179" s="209" t="n"/>
      <c r="C1179" s="207" t="n"/>
      <c r="D1179" s="963" t="n"/>
      <c r="E1179" s="214" t="n"/>
      <c r="F1179" s="262" t="n">
        <v>116181</v>
      </c>
      <c r="G1179" s="263" t="inlineStr">
        <is>
          <t>Rivetto per spessori da mm. 0,5 a mm. 1,5 testa diametro mm. 13,7 trasparente</t>
        </is>
      </c>
      <c r="H1179" s="264" t="n">
        <v>100</v>
      </c>
      <c r="I1179" s="265" t="n">
        <v>0.163</v>
      </c>
      <c r="J1179" s="214" t="n"/>
      <c r="K1179" s="208" t="n"/>
      <c r="L1179" s="424" t="n"/>
      <c r="M1179" s="961" t="n"/>
      <c r="N1179" s="214" t="n"/>
    </row>
    <row r="1180">
      <c r="A1180" s="207" t="n"/>
      <c r="B1180" s="209" t="n"/>
      <c r="C1180" s="207" t="n"/>
      <c r="D1180" s="963" t="n"/>
      <c r="E1180" s="214" t="n"/>
      <c r="F1180" s="262" t="n">
        <v>116185</v>
      </c>
      <c r="G1180" s="263" t="inlineStr">
        <is>
          <t>Clip a pressione removibile per spessori da mm. 0 a mm. 6,35</t>
        </is>
      </c>
      <c r="H1180" s="264" t="n">
        <v>100</v>
      </c>
      <c r="I1180" s="265" t="n">
        <v>0.083</v>
      </c>
      <c r="J1180" s="214" t="n"/>
      <c r="K1180" s="208" t="n"/>
      <c r="L1180" s="424" t="n"/>
      <c r="M1180" s="961" t="n"/>
      <c r="N1180" s="214" t="n"/>
    </row>
    <row r="1181">
      <c r="A1181" s="207" t="n"/>
      <c r="B1181" s="209" t="n"/>
      <c r="C1181" s="207" t="n"/>
      <c r="D1181" s="963" t="n"/>
      <c r="E1181" s="214" t="n"/>
      <c r="F1181" s="262" t="n">
        <v>116190</v>
      </c>
      <c r="G1181" s="263" t="inlineStr">
        <is>
          <t>Clip a pressione per spessori da mm. 0 a mm. 6,35</t>
        </is>
      </c>
      <c r="H1181" s="264" t="n">
        <v>100</v>
      </c>
      <c r="I1181" s="265" t="n">
        <v>0.08599999999999999</v>
      </c>
      <c r="J1181" s="214" t="n"/>
      <c r="K1181" s="208" t="n"/>
      <c r="L1181" s="424" t="n"/>
      <c r="M1181" s="961" t="n"/>
      <c r="N1181" s="214" t="n"/>
    </row>
    <row r="1182">
      <c r="A1182" s="207" t="n"/>
      <c r="B1182" s="209" t="n"/>
      <c r="C1182" s="207" t="n"/>
      <c r="D1182" s="963" t="n"/>
      <c r="E1182" s="214" t="n"/>
      <c r="F1182" s="262" t="n">
        <v>116200</v>
      </c>
      <c r="G1182" s="263" t="inlineStr">
        <is>
          <t>Automatico a pressione testa diametro mm 40 per spessori da 6 mm a 11 mm bia</t>
        </is>
      </c>
      <c r="H1182" s="264" t="n">
        <v>100</v>
      </c>
      <c r="I1182" s="265" t="n">
        <v>0.147</v>
      </c>
      <c r="J1182" s="214" t="n"/>
      <c r="K1182" s="208" t="n"/>
      <c r="L1182" s="424" t="n"/>
      <c r="M1182" s="961" t="n"/>
      <c r="N1182" s="214" t="n"/>
    </row>
    <row r="1183">
      <c r="A1183" s="207" t="n"/>
      <c r="B1183" s="209" t="n"/>
      <c r="C1183" s="207" t="n"/>
      <c r="D1183" s="963" t="n"/>
      <c r="E1183" s="214" t="n"/>
      <c r="F1183" s="262" t="n">
        <v>116201</v>
      </c>
      <c r="G1183" s="263" t="inlineStr">
        <is>
          <t>Automatico a pressione testa diametro mm 40 per spessori da 6 mm a 15 mm bia</t>
        </is>
      </c>
      <c r="H1183" s="264" t="n">
        <v>100</v>
      </c>
      <c r="I1183" s="265" t="n">
        <v>0.148</v>
      </c>
      <c r="J1183" s="214" t="n"/>
      <c r="K1183" s="208" t="n"/>
      <c r="L1183" s="424" t="n"/>
      <c r="M1183" s="961" t="n"/>
      <c r="N1183" s="214" t="n"/>
    </row>
    <row r="1184">
      <c r="A1184" s="207" t="n"/>
      <c r="B1184" s="209" t="n"/>
      <c r="C1184" s="207" t="n"/>
      <c r="D1184" s="963" t="n"/>
      <c r="E1184" s="214" t="n"/>
      <c r="F1184" s="262" t="n">
        <v>116202</v>
      </c>
      <c r="G1184" s="263" t="inlineStr">
        <is>
          <t>Automatico a pressione testa diametro mm 40 per spessori da 6 mm a 21 mm bia</t>
        </is>
      </c>
      <c r="H1184" s="264" t="n">
        <v>100</v>
      </c>
      <c r="I1184" s="265" t="n">
        <v>0.15</v>
      </c>
      <c r="J1184" s="214" t="n"/>
      <c r="K1184" s="208" t="n"/>
      <c r="L1184" s="424" t="n"/>
      <c r="M1184" s="961" t="n"/>
      <c r="N1184" s="214" t="n"/>
    </row>
    <row r="1185">
      <c r="A1185" s="207" t="n"/>
      <c r="B1185" s="209" t="n"/>
      <c r="C1185" s="207" t="n"/>
      <c r="D1185" s="963" t="n"/>
      <c r="E1185" s="214" t="n"/>
      <c r="F1185" s="262" t="n">
        <v>116203</v>
      </c>
      <c r="G1185" s="263" t="inlineStr">
        <is>
          <t>Automatico a pressione testa diametro mm 40 per spessori da 6 mm a 32 mm bia</t>
        </is>
      </c>
      <c r="H1185" s="264" t="n">
        <v>100</v>
      </c>
      <c r="I1185" s="265" t="n">
        <v>0.162</v>
      </c>
      <c r="J1185" s="214" t="n"/>
      <c r="K1185" s="208" t="n"/>
      <c r="L1185" s="424" t="n"/>
      <c r="M1185" s="961" t="n"/>
      <c r="N1185" s="214" t="n"/>
    </row>
    <row r="1186">
      <c r="A1186" s="207" t="n"/>
      <c r="B1186" s="209" t="n"/>
      <c r="C1186" s="207" t="n"/>
      <c r="D1186" s="963" t="n"/>
      <c r="E1186" s="214" t="n"/>
      <c r="F1186" s="262" t="n">
        <v>116204</v>
      </c>
      <c r="G1186" s="263" t="inlineStr">
        <is>
          <t>Automatico a pressione testa diametro mm 40 per spessori da 6 mm a 38 mm bia</t>
        </is>
      </c>
      <c r="H1186" s="264" t="n">
        <v>100</v>
      </c>
      <c r="I1186" s="265" t="n">
        <v>0.16</v>
      </c>
      <c r="J1186" s="214" t="n"/>
      <c r="K1186" s="208" t="n"/>
      <c r="L1186" s="424" t="n"/>
      <c r="M1186" s="961" t="n"/>
      <c r="N1186" s="214" t="n"/>
    </row>
    <row r="1187">
      <c r="A1187" s="207" t="n"/>
      <c r="B1187" s="209" t="n"/>
      <c r="C1187" s="207" t="n"/>
      <c r="D1187" s="963" t="n"/>
      <c r="E1187" s="214" t="n"/>
      <c r="F1187" s="262" t="n">
        <v>116210</v>
      </c>
      <c r="G1187" s="263" t="inlineStr">
        <is>
          <t>Automatico a pressione testa diametro mm 40 per spessori da 6 mm a 11 mm ner</t>
        </is>
      </c>
      <c r="H1187" s="264" t="n">
        <v>100</v>
      </c>
      <c r="I1187" s="265" t="n">
        <v>0.148</v>
      </c>
      <c r="J1187" s="214" t="n"/>
      <c r="K1187" s="208" t="n"/>
      <c r="L1187" s="424" t="n"/>
      <c r="M1187" s="961" t="n"/>
      <c r="N1187" s="214" t="n"/>
    </row>
    <row r="1188">
      <c r="A1188" s="207" t="n"/>
      <c r="B1188" s="209" t="n"/>
      <c r="C1188" s="207" t="n"/>
      <c r="D1188" s="963" t="n"/>
      <c r="E1188" s="214" t="n"/>
      <c r="F1188" s="262" t="n">
        <v>116211</v>
      </c>
      <c r="G1188" s="263" t="inlineStr">
        <is>
          <t>Automatico a pressione testa diametro mm 40 per spessori da 6 mm a 15 mm ner</t>
        </is>
      </c>
      <c r="H1188" s="264" t="n">
        <v>100</v>
      </c>
      <c r="I1188" s="265" t="n">
        <v>0.148</v>
      </c>
      <c r="J1188" s="214" t="n"/>
      <c r="K1188" s="208" t="n"/>
      <c r="L1188" s="424" t="n"/>
      <c r="M1188" s="961" t="n"/>
      <c r="N1188" s="214" t="n"/>
    </row>
    <row r="1189">
      <c r="A1189" s="207" t="n"/>
      <c r="B1189" s="209" t="n"/>
      <c r="C1189" s="207" t="n"/>
      <c r="D1189" s="963" t="n"/>
      <c r="E1189" s="214" t="n"/>
      <c r="F1189" s="262" t="n">
        <v>116212</v>
      </c>
      <c r="G1189" s="263" t="inlineStr">
        <is>
          <t>Automatico a pressione testa diametro mm 40 per spessori da 6 mm a 21 mm ner</t>
        </is>
      </c>
      <c r="H1189" s="264" t="n">
        <v>100</v>
      </c>
      <c r="I1189" s="265" t="n">
        <v>0.15</v>
      </c>
      <c r="J1189" s="214" t="n"/>
      <c r="K1189" s="208" t="n"/>
      <c r="L1189" s="424" t="n"/>
      <c r="M1189" s="961" t="n"/>
      <c r="N1189" s="214" t="n"/>
    </row>
    <row r="1190">
      <c r="A1190" s="207" t="n"/>
      <c r="B1190" s="209" t="n"/>
      <c r="C1190" s="207" t="n"/>
      <c r="D1190" s="963" t="n"/>
      <c r="E1190" s="214" t="n"/>
      <c r="F1190" s="262" t="n">
        <v>116213</v>
      </c>
      <c r="G1190" s="263" t="inlineStr">
        <is>
          <t>Automatico a pressione testa diametro mm 40 per spessori da 6 mm a 32 mm ner</t>
        </is>
      </c>
      <c r="H1190" s="264" t="n">
        <v>100</v>
      </c>
      <c r="I1190" s="265" t="n">
        <v>0.162</v>
      </c>
      <c r="J1190" s="214" t="n"/>
      <c r="K1190" s="208" t="n"/>
      <c r="L1190" s="424" t="n"/>
      <c r="M1190" s="961" t="n"/>
      <c r="N1190" s="214" t="n"/>
    </row>
    <row r="1191">
      <c r="A1191" s="207" t="n"/>
      <c r="B1191" s="209" t="n"/>
      <c r="C1191" s="207" t="n"/>
      <c r="D1191" s="963" t="n"/>
      <c r="E1191" s="214" t="n"/>
      <c r="F1191" s="262" t="n">
        <v>116214</v>
      </c>
      <c r="G1191" s="263" t="inlineStr">
        <is>
          <t>Automatico a pressione testa diametro mm 40 per spessori da 6 mm a 38 mm ner</t>
        </is>
      </c>
      <c r="H1191" s="264" t="n">
        <v>100</v>
      </c>
      <c r="I1191" s="265" t="n">
        <v>0.16</v>
      </c>
      <c r="J1191" s="214" t="n"/>
      <c r="K1191" s="208" t="n"/>
      <c r="L1191" s="424" t="n"/>
      <c r="M1191" s="961" t="n"/>
      <c r="N1191" s="214" t="n"/>
    </row>
    <row r="1192">
      <c r="A1192" s="207" t="n"/>
      <c r="B1192" s="209" t="n"/>
      <c r="C1192" s="207" t="n"/>
      <c r="D1192" s="963" t="n"/>
      <c r="E1192" s="214" t="n"/>
      <c r="F1192" s="262" t="n">
        <v>116220</v>
      </c>
      <c r="G1192" s="263" t="inlineStr">
        <is>
          <t>Automatico a pressione testa diametro mm 40 per spessori da 6 mm a 11 mm tras</t>
        </is>
      </c>
      <c r="H1192" s="264" t="n">
        <v>100</v>
      </c>
      <c r="I1192" s="265" t="n">
        <v>0.157</v>
      </c>
      <c r="J1192" s="214" t="n"/>
      <c r="K1192" s="208" t="n"/>
      <c r="L1192" s="424" t="n"/>
      <c r="M1192" s="961" t="n"/>
      <c r="N1192" s="214" t="n"/>
    </row>
    <row r="1193">
      <c r="A1193" s="207" t="n"/>
      <c r="B1193" s="209" t="n"/>
      <c r="C1193" s="207" t="n"/>
      <c r="D1193" s="963" t="n"/>
      <c r="E1193" s="214" t="n"/>
      <c r="F1193" s="262" t="n">
        <v>116221</v>
      </c>
      <c r="G1193" s="263" t="inlineStr">
        <is>
          <t>Automatico a pressione testa diametro mm 40 per spessori da 6 mm a 15 mm tras</t>
        </is>
      </c>
      <c r="H1193" s="264" t="n">
        <v>100</v>
      </c>
      <c r="I1193" s="265" t="n">
        <v>0.156</v>
      </c>
      <c r="J1193" s="214" t="n"/>
      <c r="K1193" s="208" t="n"/>
      <c r="L1193" s="424" t="n"/>
      <c r="M1193" s="961" t="n"/>
      <c r="N1193" s="214" t="n"/>
    </row>
    <row r="1194">
      <c r="A1194" s="207" t="n"/>
      <c r="B1194" s="209" t="n"/>
      <c r="C1194" s="207" t="n"/>
      <c r="D1194" s="963" t="n"/>
      <c r="E1194" s="214" t="n"/>
      <c r="F1194" s="262" t="n">
        <v>116222</v>
      </c>
      <c r="G1194" s="263" t="inlineStr">
        <is>
          <t>Automatico a pressione testa diametro mm 40 per spessori da 6 mm a 21 mm tras</t>
        </is>
      </c>
      <c r="H1194" s="264" t="n">
        <v>100</v>
      </c>
      <c r="I1194" s="265" t="n">
        <v>0.162</v>
      </c>
      <c r="J1194" s="214" t="n"/>
      <c r="K1194" s="208" t="n"/>
      <c r="L1194" s="424" t="n"/>
      <c r="M1194" s="961" t="n"/>
      <c r="N1194" s="214" t="n"/>
    </row>
    <row r="1195">
      <c r="A1195" s="207" t="n"/>
      <c r="B1195" s="209" t="n"/>
      <c r="C1195" s="207" t="n"/>
      <c r="D1195" s="963" t="n"/>
      <c r="E1195" s="214" t="n"/>
      <c r="F1195" s="262" t="n">
        <v>116223</v>
      </c>
      <c r="G1195" s="263" t="inlineStr">
        <is>
          <t>Automatico a pressione testa diametro mm 40 per spessori da 6 mm a 32 mm tras</t>
        </is>
      </c>
      <c r="H1195" s="264" t="n">
        <v>100</v>
      </c>
      <c r="I1195" s="265" t="n">
        <v>0.162</v>
      </c>
      <c r="J1195" s="214" t="n"/>
      <c r="K1195" s="208" t="n"/>
      <c r="L1195" s="424" t="n"/>
      <c r="M1195" s="961" t="n"/>
      <c r="N1195" s="214" t="n"/>
    </row>
    <row r="1196">
      <c r="A1196" s="207" t="n"/>
      <c r="B1196" s="209" t="n"/>
      <c r="C1196" s="207" t="n"/>
      <c r="D1196" s="963" t="n"/>
      <c r="E1196" s="214" t="n"/>
      <c r="F1196" s="262" t="n">
        <v>116224</v>
      </c>
      <c r="G1196" s="263" t="inlineStr">
        <is>
          <t>Automatico a pressione testa diametro mm 40 per spessori da 6 mm a 38 mm tras</t>
        </is>
      </c>
      <c r="H1196" s="264" t="n">
        <v>100</v>
      </c>
      <c r="I1196" s="265" t="n">
        <v>0.165</v>
      </c>
      <c r="J1196" s="214" t="n"/>
      <c r="K1196" s="208" t="n"/>
      <c r="L1196" s="424" t="n"/>
      <c r="M1196" s="961" t="n"/>
      <c r="N1196" s="214" t="n"/>
    </row>
    <row r="1197">
      <c r="A1197" s="207" t="n"/>
      <c r="B1197" s="209" t="n"/>
      <c r="C1197" s="207" t="n"/>
      <c r="D1197" s="963" t="n"/>
      <c r="E1197" s="214" t="n"/>
      <c r="F1197" s="262" t="n">
        <v>116230</v>
      </c>
      <c r="G1197" s="263" t="inlineStr">
        <is>
          <t>Vite a pressione con asola per spessori da mm. 0,5 a mm. 1,5</t>
        </is>
      </c>
      <c r="H1197" s="264" t="n">
        <v>100</v>
      </c>
      <c r="I1197" s="265" t="n">
        <v>0.152</v>
      </c>
      <c r="J1197" s="214" t="n"/>
      <c r="K1197" s="208" t="n"/>
      <c r="L1197" s="424" t="n"/>
      <c r="M1197" s="961" t="n"/>
      <c r="N1197" s="214" t="n"/>
    </row>
    <row r="1198">
      <c r="A1198" s="207" t="n"/>
      <c r="B1198" s="209" t="n"/>
      <c r="C1198" s="207" t="n"/>
      <c r="D1198" s="963" t="n"/>
      <c r="E1198" s="214" t="n"/>
      <c r="F1198" s="262" t="n">
        <v>116231</v>
      </c>
      <c r="G1198" s="263" t="inlineStr">
        <is>
          <t>Vite a pressione con asola per spessore mm. 6,3</t>
        </is>
      </c>
      <c r="H1198" s="264" t="n">
        <v>100</v>
      </c>
      <c r="I1198" s="265" t="n">
        <v>0.152</v>
      </c>
      <c r="J1198" s="214" t="n"/>
      <c r="K1198" s="208" t="n"/>
      <c r="L1198" s="424" t="n"/>
      <c r="M1198" s="961" t="n"/>
      <c r="N1198" s="214" t="n"/>
    </row>
    <row r="1199">
      <c r="A1199" s="207" t="n"/>
      <c r="B1199" s="209" t="n"/>
      <c r="C1199" s="207" t="n"/>
      <c r="D1199" s="963" t="n"/>
      <c r="E1199" s="214" t="n"/>
      <c r="F1199" s="262" t="n">
        <v>116232</v>
      </c>
      <c r="G1199" s="263" t="inlineStr">
        <is>
          <t>Vite a pressione con asola per spessore mm. 9,5</t>
        </is>
      </c>
      <c r="H1199" s="264" t="n">
        <v>100</v>
      </c>
      <c r="I1199" s="265" t="n">
        <v>0.155</v>
      </c>
      <c r="J1199" s="214" t="n"/>
      <c r="K1199" s="208" t="n"/>
      <c r="L1199" s="424" t="n"/>
      <c r="M1199" s="961" t="n"/>
      <c r="N1199" s="214" t="n"/>
    </row>
    <row r="1200">
      <c r="A1200" s="207" t="n"/>
      <c r="B1200" s="209" t="n"/>
      <c r="C1200" s="207" t="n"/>
      <c r="D1200" s="963" t="n"/>
      <c r="E1200" s="214" t="n"/>
      <c r="F1200" s="262" t="n">
        <v>116240</v>
      </c>
      <c r="G1200" s="263" t="inlineStr">
        <is>
          <t>Vite per pannello alveolare lunghezza mm 31, diametro filetto mm 11</t>
        </is>
      </c>
      <c r="H1200" s="264" t="n">
        <v>100</v>
      </c>
      <c r="I1200" s="265" t="n">
        <v>0.181</v>
      </c>
      <c r="J1200" s="214" t="n"/>
      <c r="K1200" s="208" t="n"/>
      <c r="L1200" s="424" t="n"/>
      <c r="M1200" s="961" t="n"/>
      <c r="N1200" s="214" t="n"/>
    </row>
    <row r="1201">
      <c r="A1201" s="207" t="n"/>
      <c r="B1201" s="209" t="n"/>
      <c r="C1201" s="207" t="n"/>
      <c r="D1201" s="963" t="n"/>
      <c r="E1201" s="214" t="n"/>
      <c r="F1201" s="262" t="n">
        <v>116241</v>
      </c>
      <c r="G1201" s="263" t="inlineStr">
        <is>
          <t>Vite per pannello alveolare lunghezza mm 54, diametro filetto mm 11</t>
        </is>
      </c>
      <c r="H1201" s="264" t="n">
        <v>100</v>
      </c>
      <c r="I1201" s="265" t="n">
        <v>0.268</v>
      </c>
      <c r="J1201" s="214" t="n"/>
      <c r="K1201" s="208" t="n"/>
      <c r="L1201" s="424" t="n"/>
      <c r="M1201" s="961" t="n"/>
      <c r="N1201" s="214" t="n"/>
    </row>
    <row r="1202">
      <c r="A1202" s="207" t="n"/>
      <c r="B1202" s="209" t="n"/>
      <c r="C1202" s="207" t="n"/>
      <c r="D1202" s="963" t="n"/>
      <c r="E1202" s="214" t="n"/>
      <c r="F1202" s="262" t="n">
        <v>116250</v>
      </c>
      <c r="G1202" s="263" t="inlineStr">
        <is>
          <t>Rivetto a pressione testa mm 16 per assemblare spessori di mm 3</t>
        </is>
      </c>
      <c r="H1202" s="264" t="n">
        <v>100</v>
      </c>
      <c r="I1202" s="265" t="n">
        <v>0.284</v>
      </c>
      <c r="J1202" s="214" t="n"/>
      <c r="K1202" s="208" t="n"/>
      <c r="L1202" s="424" t="n"/>
      <c r="M1202" s="961" t="n"/>
      <c r="N1202" s="214" t="n"/>
    </row>
    <row r="1203">
      <c r="A1203" s="207" t="n"/>
      <c r="B1203" s="209" t="n"/>
      <c r="C1203" s="207" t="n"/>
      <c r="D1203" s="963" t="n"/>
      <c r="E1203" s="214" t="n"/>
      <c r="F1203" s="262" t="n">
        <v>116251</v>
      </c>
      <c r="G1203" s="263" t="inlineStr">
        <is>
          <t>Rivetto a pressione testa mm 16 per assemblare spessori di mm 6</t>
        </is>
      </c>
      <c r="H1203" s="264" t="n">
        <v>100</v>
      </c>
      <c r="I1203" s="265" t="n">
        <v>0.28</v>
      </c>
      <c r="J1203" s="214" t="n"/>
      <c r="K1203" s="208" t="n"/>
      <c r="L1203" s="424" t="n"/>
      <c r="M1203" s="961" t="n"/>
      <c r="N1203" s="214" t="n"/>
    </row>
    <row r="1204">
      <c r="A1204" s="207" t="n"/>
      <c r="B1204" s="209" t="n"/>
      <c r="C1204" s="207" t="n"/>
      <c r="D1204" s="963" t="n"/>
      <c r="E1204" s="214" t="n"/>
      <c r="F1204" s="262" t="n">
        <v>116252</v>
      </c>
      <c r="G1204" s="263" t="inlineStr">
        <is>
          <t>Rivetto a pressione testa mm 16 per assemblare spessori di mm 9</t>
        </is>
      </c>
      <c r="H1204" s="264" t="n">
        <v>100</v>
      </c>
      <c r="I1204" s="265" t="n">
        <v>0.345</v>
      </c>
      <c r="J1204" s="214" t="n"/>
      <c r="K1204" s="208" t="n"/>
      <c r="L1204" s="424" t="n"/>
      <c r="M1204" s="961" t="n"/>
      <c r="N1204" s="214" t="n"/>
    </row>
    <row r="1205">
      <c r="A1205" s="207" t="n"/>
      <c r="B1205" s="209" t="n"/>
      <c r="C1205" s="207" t="n"/>
      <c r="D1205" s="963" t="n"/>
      <c r="E1205" s="214" t="n"/>
      <c r="F1205" s="262" t="n">
        <v>116300</v>
      </c>
      <c r="G1205" s="263" t="inlineStr">
        <is>
          <t>CLIP PER RIPIANI IN CARTONE VERTICALI 55X55 BIANCA</t>
        </is>
      </c>
      <c r="H1205" s="264" t="n">
        <v>100</v>
      </c>
      <c r="I1205" s="265" t="n">
        <v>0.109</v>
      </c>
      <c r="J1205" s="214" t="n"/>
      <c r="K1205" s="208" t="n"/>
      <c r="L1205" s="424" t="n"/>
      <c r="M1205" s="961" t="n"/>
      <c r="N1205" s="214" t="n"/>
    </row>
    <row r="1206">
      <c r="A1206" s="207" t="n"/>
      <c r="B1206" s="209" t="n"/>
      <c r="C1206" s="207" t="n"/>
      <c r="D1206" s="963" t="n"/>
      <c r="E1206" s="214" t="n"/>
      <c r="F1206" s="262" t="n">
        <v>116301</v>
      </c>
      <c r="G1206" s="263" t="inlineStr">
        <is>
          <t>CLIP PER RIPIANI IN CARTONE VERTICALI 55X55 NERA</t>
        </is>
      </c>
      <c r="H1206" s="264" t="n">
        <v>100</v>
      </c>
      <c r="I1206" s="265" t="n">
        <v>0.109</v>
      </c>
      <c r="J1206" s="214" t="n"/>
      <c r="K1206" s="208" t="n"/>
      <c r="L1206" s="424" t="n"/>
      <c r="M1206" s="961" t="n"/>
      <c r="N1206" s="214" t="n"/>
    </row>
    <row r="1207">
      <c r="A1207" s="207" t="n"/>
      <c r="B1207" s="209" t="n"/>
      <c r="C1207" s="207" t="n"/>
      <c r="D1207" s="963" t="n"/>
      <c r="E1207" s="214" t="n"/>
      <c r="F1207" s="262" t="n">
        <v>116302</v>
      </c>
      <c r="G1207" s="263" t="inlineStr">
        <is>
          <t>CLIP PER RIPIANI IN CARTONE VERTICALI 55X55 TRASPARENTE</t>
        </is>
      </c>
      <c r="H1207" s="264" t="n">
        <v>100</v>
      </c>
      <c r="I1207" s="265" t="n">
        <v>0.109</v>
      </c>
      <c r="J1207" s="214" t="n"/>
      <c r="K1207" s="208" t="n"/>
      <c r="L1207" s="424" t="n"/>
      <c r="M1207" s="961" t="n"/>
      <c r="N1207" s="214" t="n"/>
    </row>
    <row r="1208" ht="12.75" customHeight="1">
      <c r="A1208" s="207" t="n"/>
      <c r="B1208" s="209" t="n"/>
      <c r="C1208" s="209" t="n"/>
      <c r="D1208" s="960" t="n"/>
      <c r="E1208" s="215" t="n"/>
      <c r="F1208" s="262" t="n">
        <v>116303</v>
      </c>
      <c r="G1208" s="263" t="inlineStr">
        <is>
          <t>CLIP PER RIPIANI IN CARTONE VERTICALI 55X55 BIANCA COMPOSTABILE</t>
        </is>
      </c>
      <c r="H1208" s="264" t="n">
        <v>100</v>
      </c>
      <c r="I1208" s="265" t="n">
        <v>0.269</v>
      </c>
      <c r="J1208" s="215" t="n"/>
      <c r="K1208" s="209" t="n"/>
      <c r="L1208" s="425" t="n"/>
      <c r="M1208" s="962" t="n"/>
      <c r="N1208" s="215" t="n"/>
    </row>
    <row r="1209">
      <c r="A1209" s="207" t="n"/>
      <c r="B1209" s="209" t="n"/>
      <c r="C1209" s="207" t="n"/>
      <c r="D1209" s="963" t="n"/>
      <c r="E1209" s="214" t="n"/>
      <c r="F1209" s="262" t="n">
        <v>116304</v>
      </c>
      <c r="G1209" s="263" t="inlineStr">
        <is>
          <t>CLIP PER RIPIANI IN CARTONE VERTICALI 55X55 BIANCA "SECOND LIFE" RE</t>
        </is>
      </c>
      <c r="H1209" s="264" t="n">
        <v>100</v>
      </c>
      <c r="I1209" s="265" t="n">
        <v>0.134</v>
      </c>
      <c r="J1209" s="214" t="n"/>
      <c r="K1209" s="208" t="n"/>
      <c r="L1209" s="424" t="n"/>
      <c r="M1209" s="961" t="n"/>
      <c r="N1209" s="214" t="n"/>
    </row>
    <row r="1210">
      <c r="A1210" s="207" t="n"/>
      <c r="B1210" s="209" t="n"/>
      <c r="C1210" s="207" t="n"/>
      <c r="D1210" s="963" t="n"/>
      <c r="E1210" s="214" t="n"/>
      <c r="F1210" s="262" t="n">
        <v>116310</v>
      </c>
      <c r="G1210" s="263" t="inlineStr">
        <is>
          <t>Clip in plastica per assemblare ripiani orizzontali negli espositori  in cartone 55x55</t>
        </is>
      </c>
      <c r="H1210" s="264" t="n">
        <v>100</v>
      </c>
      <c r="I1210" s="265" t="n">
        <v>0.122</v>
      </c>
      <c r="J1210" s="214" t="n"/>
      <c r="K1210" s="208" t="n"/>
      <c r="L1210" s="424" t="n"/>
      <c r="M1210" s="961" t="n"/>
      <c r="N1210" s="214" t="n"/>
    </row>
    <row r="1211">
      <c r="A1211" s="207" t="n"/>
      <c r="B1211" s="209" t="n"/>
      <c r="C1211" s="207" t="n"/>
      <c r="D1211" s="963" t="n"/>
      <c r="E1211" s="214" t="n"/>
      <c r="F1211" s="262" t="n">
        <v>116311</v>
      </c>
      <c r="G1211" s="263" t="inlineStr">
        <is>
          <t>Clip in plastica per assemblare ripiani orizzontali negli espositori  in cartone 55X55</t>
        </is>
      </c>
      <c r="H1211" s="264" t="n">
        <v>100</v>
      </c>
      <c r="I1211" s="265" t="n">
        <v>0.122</v>
      </c>
      <c r="J1211" s="214" t="n"/>
      <c r="K1211" s="208" t="n"/>
      <c r="L1211" s="424" t="n"/>
      <c r="M1211" s="961" t="n"/>
      <c r="N1211" s="214" t="n"/>
    </row>
    <row r="1212">
      <c r="A1212" s="207" t="n"/>
      <c r="B1212" s="209" t="n"/>
      <c r="C1212" s="207" t="n"/>
      <c r="D1212" s="963" t="n"/>
      <c r="E1212" s="214" t="n"/>
      <c r="F1212" s="262" t="n">
        <v>116312</v>
      </c>
      <c r="G1212" s="263" t="inlineStr">
        <is>
          <t>Clip in plastica per assemblare ripiani orizzontali negli espositori  in cartone 55X55</t>
        </is>
      </c>
      <c r="H1212" s="264" t="n">
        <v>100</v>
      </c>
      <c r="I1212" s="265" t="n">
        <v>0.122</v>
      </c>
      <c r="J1212" s="214" t="n"/>
      <c r="K1212" s="208" t="n"/>
      <c r="L1212" s="424" t="n"/>
      <c r="M1212" s="961" t="n"/>
      <c r="N1212" s="214" t="n"/>
    </row>
    <row r="1213">
      <c r="A1213" s="207" t="n"/>
      <c r="B1213" s="209" t="n"/>
      <c r="C1213" s="207" t="n"/>
      <c r="D1213" s="963" t="n"/>
      <c r="E1213" s="214" t="n"/>
      <c r="F1213" s="262" t="n">
        <v>116320</v>
      </c>
      <c r="G1213" s="263" t="inlineStr">
        <is>
          <t>CLIP PER RIPIANI IN CARTONE VERTICALI 27X55 BIANCA</t>
        </is>
      </c>
      <c r="H1213" s="264" t="n">
        <v>100</v>
      </c>
      <c r="I1213" s="265" t="n">
        <v>0.078</v>
      </c>
      <c r="J1213" s="214" t="n"/>
      <c r="K1213" s="208" t="n"/>
      <c r="L1213" s="424" t="n"/>
      <c r="M1213" s="961" t="n"/>
      <c r="N1213" s="214" t="n"/>
    </row>
    <row r="1214">
      <c r="A1214" s="207" t="n"/>
      <c r="B1214" s="209" t="n"/>
      <c r="C1214" s="207" t="n"/>
      <c r="D1214" s="963" t="n"/>
      <c r="E1214" s="214" t="n"/>
      <c r="F1214" s="262" t="n">
        <v>116321</v>
      </c>
      <c r="G1214" s="263" t="inlineStr">
        <is>
          <t>CLIP PER RIPIANI IN CARTONE VERTICALI 27X55 NERA</t>
        </is>
      </c>
      <c r="H1214" s="264" t="n">
        <v>100</v>
      </c>
      <c r="I1214" s="265" t="n">
        <v>0.078</v>
      </c>
      <c r="J1214" s="214" t="n"/>
      <c r="K1214" s="208" t="n"/>
      <c r="L1214" s="424" t="n"/>
      <c r="M1214" s="961" t="n"/>
      <c r="N1214" s="214" t="n"/>
    </row>
    <row r="1215">
      <c r="A1215" s="207" t="n"/>
      <c r="B1215" s="209" t="n"/>
      <c r="C1215" s="207" t="n"/>
      <c r="D1215" s="963" t="n"/>
      <c r="E1215" s="214" t="n"/>
      <c r="F1215" s="262" t="n">
        <v>116321</v>
      </c>
      <c r="G1215" s="263" t="inlineStr">
        <is>
          <t>CLIP PER RIPIANI IN CARTONE VERTICALI 27X55 NERA</t>
        </is>
      </c>
      <c r="H1215" s="264" t="n">
        <v>100</v>
      </c>
      <c r="I1215" s="265" t="n">
        <v>0.078</v>
      </c>
      <c r="J1215" s="214" t="n"/>
      <c r="K1215" s="208" t="n"/>
      <c r="L1215" s="424" t="n"/>
      <c r="M1215" s="961" t="n"/>
      <c r="N1215" s="214" t="n"/>
    </row>
    <row r="1216">
      <c r="A1216" s="207" t="n"/>
      <c r="B1216" s="209" t="n"/>
      <c r="C1216" s="207" t="n"/>
      <c r="D1216" s="963" t="n"/>
      <c r="E1216" s="214" t="n"/>
      <c r="F1216" s="262" t="n">
        <v>116322</v>
      </c>
      <c r="G1216" s="263" t="inlineStr">
        <is>
          <t>CLIP PER RIPIANI IN CARTONE VERTICALI 27X55 TRASPARENTE</t>
        </is>
      </c>
      <c r="H1216" s="264" t="n">
        <v>100</v>
      </c>
      <c r="I1216" s="265" t="n">
        <v>0.078</v>
      </c>
      <c r="J1216" s="214" t="n"/>
      <c r="K1216" s="208" t="n"/>
      <c r="L1216" s="424" t="n"/>
      <c r="M1216" s="961" t="n"/>
      <c r="N1216" s="214" t="n"/>
    </row>
    <row r="1217">
      <c r="A1217" s="207" t="n"/>
      <c r="B1217" s="209" t="n"/>
      <c r="C1217" s="207" t="n"/>
      <c r="D1217" s="963" t="n"/>
      <c r="E1217" s="214" t="n"/>
      <c r="F1217" s="262" t="n">
        <v>116322</v>
      </c>
      <c r="G1217" s="263" t="inlineStr">
        <is>
          <t>CLIP PER RIPIANI IN CARTONE VERTICALI 27X55 TRASPARENTE</t>
        </is>
      </c>
      <c r="H1217" s="264" t="n">
        <v>100</v>
      </c>
      <c r="I1217" s="265" t="n">
        <v>0.078</v>
      </c>
      <c r="J1217" s="214" t="n"/>
      <c r="K1217" s="208" t="n"/>
      <c r="L1217" s="424" t="n"/>
      <c r="M1217" s="961" t="n"/>
      <c r="N1217" s="214" t="n"/>
    </row>
    <row r="1218">
      <c r="A1218" s="207" t="n"/>
      <c r="B1218" s="209" t="n"/>
      <c r="C1218" s="207" t="n"/>
      <c r="D1218" s="963" t="n"/>
      <c r="E1218" s="214" t="n"/>
      <c r="F1218" s="262" t="n">
        <v>116323</v>
      </c>
      <c r="G1218" s="263" t="inlineStr">
        <is>
          <t>CLIP PER RIPIANI IN CARTONE VERTICALI 27X55 BIANCA COMPOSTABILE</t>
        </is>
      </c>
      <c r="H1218" s="264" t="n">
        <v>100</v>
      </c>
      <c r="I1218" s="265" t="n">
        <v>0.163</v>
      </c>
      <c r="J1218" s="214" t="n"/>
      <c r="K1218" s="208" t="n"/>
      <c r="L1218" s="424" t="n"/>
      <c r="M1218" s="961" t="n"/>
      <c r="N1218" s="214" t="n"/>
    </row>
    <row r="1219">
      <c r="A1219" s="207" t="n"/>
      <c r="B1219" s="209" t="n"/>
      <c r="C1219" s="207" t="n"/>
      <c r="D1219" s="963" t="n"/>
      <c r="E1219" s="214" t="n"/>
      <c r="F1219" s="262" t="n">
        <v>116324</v>
      </c>
      <c r="G1219" s="263" t="inlineStr">
        <is>
          <t>CLIP PER RIPIANI IN CARTONE VERTICALI 27X55 BIANCA "SECOND LIFE" RE</t>
        </is>
      </c>
      <c r="H1219" s="264" t="n">
        <v>10</v>
      </c>
      <c r="I1219" s="265" t="n">
        <v>13.651</v>
      </c>
      <c r="J1219" s="214" t="n"/>
      <c r="K1219" s="208" t="n"/>
      <c r="L1219" s="424" t="n"/>
      <c r="M1219" s="961" t="n"/>
      <c r="N1219" s="214" t="n"/>
    </row>
    <row r="1220">
      <c r="A1220" s="207" t="n"/>
      <c r="B1220" s="209" t="n"/>
      <c r="C1220" s="207" t="n"/>
      <c r="D1220" s="963" t="n"/>
      <c r="E1220" s="214" t="n"/>
      <c r="F1220" s="262" t="n">
        <v>116330</v>
      </c>
      <c r="G1220" s="263" t="inlineStr">
        <is>
          <t>Clip in plastica per assemblare ripiani orizzontali negli espositori  in cartone BIANC</t>
        </is>
      </c>
      <c r="H1220" s="264" t="n">
        <v>100</v>
      </c>
      <c r="I1220" s="265" t="n">
        <v>0.092</v>
      </c>
      <c r="J1220" s="214" t="n"/>
      <c r="K1220" s="208" t="n"/>
      <c r="L1220" s="424" t="n"/>
      <c r="M1220" s="961" t="n"/>
      <c r="N1220" s="214" t="n"/>
    </row>
    <row r="1221">
      <c r="A1221" s="207" t="n"/>
      <c r="B1221" s="209" t="n"/>
      <c r="C1221" s="207" t="n"/>
      <c r="D1221" s="963" t="n"/>
      <c r="E1221" s="214" t="n"/>
      <c r="F1221" s="262" t="n">
        <v>116331</v>
      </c>
      <c r="G1221" s="263" t="inlineStr">
        <is>
          <t>Clip in plastica per assemblare ripiani orizzontali negli espositori  in cartone NERA</t>
        </is>
      </c>
      <c r="H1221" s="264" t="n">
        <v>100</v>
      </c>
      <c r="I1221" s="265" t="n">
        <v>0.092</v>
      </c>
      <c r="J1221" s="214" t="n"/>
      <c r="K1221" s="208" t="n"/>
      <c r="L1221" s="424" t="n"/>
      <c r="M1221" s="961" t="n"/>
      <c r="N1221" s="214" t="n"/>
    </row>
    <row r="1222">
      <c r="A1222" s="207" t="n"/>
      <c r="B1222" s="209" t="n"/>
      <c r="C1222" s="207" t="n"/>
      <c r="D1222" s="963" t="n"/>
      <c r="E1222" s="214" t="n"/>
      <c r="F1222" s="262" t="n">
        <v>116332</v>
      </c>
      <c r="G1222" s="263" t="inlineStr">
        <is>
          <t>Clip in plastica per assemblare ripiani orizzontali negli espositori  in cartone TRAS</t>
        </is>
      </c>
      <c r="H1222" s="264" t="n">
        <v>100</v>
      </c>
      <c r="I1222" s="265" t="n">
        <v>0.092</v>
      </c>
      <c r="J1222" s="214" t="n"/>
      <c r="K1222" s="208" t="n"/>
      <c r="L1222" s="424" t="n"/>
      <c r="M1222" s="961" t="n"/>
      <c r="N1222" s="214" t="n"/>
    </row>
    <row r="1223">
      <c r="A1223" s="207" t="n"/>
      <c r="B1223" s="209" t="n"/>
      <c r="C1223" s="207" t="n"/>
      <c r="D1223" s="963" t="n"/>
      <c r="E1223" s="214" t="n"/>
      <c r="F1223" s="262" t="n">
        <v>117000</v>
      </c>
      <c r="G1223" s="263" t="inlineStr">
        <is>
          <t>Pinza</t>
        </is>
      </c>
      <c r="H1223" s="264" t="n">
        <v>50</v>
      </c>
      <c r="I1223" s="265" t="n">
        <v>0.457</v>
      </c>
      <c r="J1223" s="214" t="n"/>
      <c r="K1223" s="208" t="n"/>
      <c r="L1223" s="424" t="n"/>
      <c r="M1223" s="961" t="n"/>
      <c r="N1223" s="214" t="n"/>
    </row>
    <row r="1224">
      <c r="A1224" s="207" t="n"/>
      <c r="B1224" s="209" t="n"/>
      <c r="C1224" s="207" t="n"/>
      <c r="D1224" s="963" t="n"/>
      <c r="E1224" s="214" t="n"/>
      <c r="F1224" s="262" t="n">
        <v>117001</v>
      </c>
      <c r="G1224" s="263" t="inlineStr">
        <is>
          <t>Mini pinza</t>
        </is>
      </c>
      <c r="H1224" s="264" t="n">
        <v>50</v>
      </c>
      <c r="I1224" s="265" t="n">
        <v>0.197</v>
      </c>
      <c r="J1224" s="214" t="n"/>
      <c r="K1224" s="208" t="n"/>
      <c r="L1224" s="424" t="n"/>
      <c r="M1224" s="961" t="n"/>
      <c r="N1224" s="214" t="n"/>
    </row>
    <row r="1225">
      <c r="A1225" s="207" t="n"/>
      <c r="B1225" s="209" t="n"/>
      <c r="C1225" s="207" t="n"/>
      <c r="D1225" s="963" t="n"/>
      <c r="E1225" s="214" t="n"/>
      <c r="F1225" s="262" t="n">
        <v>117002</v>
      </c>
      <c r="G1225" s="263" t="inlineStr">
        <is>
          <t>Porta messaggio a pinza mm. 56</t>
        </is>
      </c>
      <c r="H1225" s="264" t="n">
        <v>50</v>
      </c>
      <c r="I1225" s="265" t="n">
        <v>0.478</v>
      </c>
      <c r="J1225" s="214" t="n"/>
      <c r="K1225" s="208" t="n"/>
      <c r="L1225" s="424" t="n"/>
      <c r="M1225" s="961" t="n"/>
      <c r="N1225" s="214" t="n"/>
    </row>
    <row r="1226">
      <c r="A1226" s="207" t="n"/>
      <c r="B1226" s="209" t="n"/>
      <c r="C1226" s="207" t="n"/>
      <c r="D1226" s="963" t="n"/>
      <c r="E1226" s="214" t="n"/>
      <c r="F1226" s="262" t="n">
        <v>117003</v>
      </c>
      <c r="G1226" s="263" t="inlineStr">
        <is>
          <t>Porta messaggio a pinza mm. 80</t>
        </is>
      </c>
      <c r="H1226" s="264" t="n">
        <v>50</v>
      </c>
      <c r="I1226" s="265" t="n">
        <v>0.478</v>
      </c>
      <c r="J1226" s="214" t="n"/>
      <c r="K1226" s="208" t="n"/>
      <c r="L1226" s="424" t="n"/>
      <c r="M1226" s="961" t="n"/>
      <c r="N1226" s="214" t="n"/>
    </row>
    <row r="1227">
      <c r="A1227" s="207" t="n"/>
      <c r="B1227" s="209" t="n"/>
      <c r="C1227" s="207" t="n"/>
      <c r="D1227" s="963" t="n"/>
      <c r="E1227" s="214" t="n"/>
      <c r="F1227" s="262" t="n">
        <v>117010</v>
      </c>
      <c r="G1227" s="263" t="inlineStr">
        <is>
          <t>Pinza con gancio a C</t>
        </is>
      </c>
      <c r="H1227" s="264" t="n">
        <v>50</v>
      </c>
      <c r="I1227" s="265" t="n">
        <v>0.457</v>
      </c>
      <c r="J1227" s="214" t="n"/>
      <c r="K1227" s="208" t="n"/>
      <c r="L1227" s="424" t="n"/>
      <c r="M1227" s="961" t="n"/>
      <c r="N1227" s="214" t="n"/>
    </row>
    <row r="1228">
      <c r="A1228" s="207" t="n"/>
      <c r="B1228" s="209" t="n"/>
      <c r="C1228" s="207" t="n"/>
      <c r="D1228" s="963" t="n"/>
      <c r="E1228" s="214" t="n"/>
      <c r="F1228" s="262" t="n">
        <v>117011</v>
      </c>
      <c r="G1228" s="263" t="inlineStr">
        <is>
          <t>Mini pinza con gancio a C</t>
        </is>
      </c>
      <c r="H1228" s="264" t="n">
        <v>50</v>
      </c>
      <c r="I1228" s="265" t="n">
        <v>0.197</v>
      </c>
      <c r="J1228" s="214" t="n"/>
      <c r="K1228" s="208" t="n"/>
      <c r="L1228" s="424" t="n"/>
      <c r="M1228" s="961" t="n"/>
      <c r="N1228" s="214" t="n"/>
    </row>
    <row r="1229">
      <c r="A1229" s="207" t="n"/>
      <c r="B1229" s="209" t="n"/>
      <c r="C1229" s="207" t="n"/>
      <c r="D1229" s="963" t="n"/>
      <c r="E1229" s="214" t="n"/>
      <c r="F1229" s="262" t="n">
        <v>117012</v>
      </c>
      <c r="G1229" s="263" t="inlineStr">
        <is>
          <t>Porta messaggio a pinza mm. 56 con gancio a C</t>
        </is>
      </c>
      <c r="H1229" s="264" t="n">
        <v>50</v>
      </c>
      <c r="I1229" s="265" t="n">
        <v>0.478</v>
      </c>
      <c r="J1229" s="214" t="n"/>
      <c r="K1229" s="208" t="n"/>
      <c r="L1229" s="424" t="n"/>
      <c r="M1229" s="961" t="n"/>
      <c r="N1229" s="214" t="n"/>
    </row>
    <row r="1230">
      <c r="A1230" s="207" t="n"/>
      <c r="B1230" s="209" t="n"/>
      <c r="C1230" s="207" t="n"/>
      <c r="D1230" s="963" t="n"/>
      <c r="E1230" s="214" t="n"/>
      <c r="F1230" s="262" t="n">
        <v>117013</v>
      </c>
      <c r="G1230" s="263" t="inlineStr">
        <is>
          <t>Porta messaggio a pinza mm. 80 con gancio a C</t>
        </is>
      </c>
      <c r="H1230" s="264" t="n">
        <v>50</v>
      </c>
      <c r="I1230" s="265" t="n">
        <v>0.478</v>
      </c>
      <c r="J1230" s="214" t="n"/>
      <c r="K1230" s="208" t="n"/>
      <c r="L1230" s="424" t="n"/>
      <c r="M1230" s="961" t="n"/>
      <c r="N1230" s="214" t="n"/>
    </row>
    <row r="1231">
      <c r="A1231" s="207" t="n"/>
      <c r="B1231" s="209" t="n"/>
      <c r="C1231" s="207" t="n"/>
      <c r="D1231" s="963" t="n"/>
      <c r="E1231" s="214" t="n"/>
      <c r="F1231" s="262" t="n">
        <v>117020</v>
      </c>
      <c r="G1231" s="263" t="inlineStr">
        <is>
          <t>Pinza con anello</t>
        </is>
      </c>
      <c r="H1231" s="264" t="n">
        <v>50</v>
      </c>
      <c r="I1231" s="265" t="n">
        <v>0.457</v>
      </c>
      <c r="J1231" s="214" t="n"/>
      <c r="K1231" s="208" t="n"/>
      <c r="L1231" s="424" t="n"/>
      <c r="M1231" s="961" t="n"/>
      <c r="N1231" s="214" t="n"/>
    </row>
    <row r="1232">
      <c r="A1232" s="207" t="n"/>
      <c r="B1232" s="209" t="n"/>
      <c r="C1232" s="207" t="n"/>
      <c r="D1232" s="963" t="n"/>
      <c r="E1232" s="214" t="n"/>
      <c r="F1232" s="262" t="n">
        <v>117021</v>
      </c>
      <c r="G1232" s="263" t="inlineStr">
        <is>
          <t>Mini pinza con anello</t>
        </is>
      </c>
      <c r="H1232" s="264" t="n">
        <v>50</v>
      </c>
      <c r="I1232" s="265" t="n">
        <v>0.197</v>
      </c>
      <c r="J1232" s="214" t="n"/>
      <c r="K1232" s="208" t="n"/>
      <c r="L1232" s="424" t="n"/>
      <c r="M1232" s="961" t="n"/>
      <c r="N1232" s="214" t="n"/>
    </row>
    <row r="1233">
      <c r="A1233" s="207" t="n"/>
      <c r="B1233" s="209" t="n"/>
      <c r="C1233" s="207" t="n"/>
      <c r="D1233" s="963" t="n"/>
      <c r="E1233" s="214" t="n"/>
      <c r="F1233" s="262" t="n">
        <v>117022</v>
      </c>
      <c r="G1233" s="263" t="inlineStr">
        <is>
          <t>Porta messaggio a pinza mm. 56 con anello</t>
        </is>
      </c>
      <c r="H1233" s="264" t="n">
        <v>50</v>
      </c>
      <c r="I1233" s="265" t="n">
        <v>0.478</v>
      </c>
      <c r="J1233" s="214" t="n"/>
      <c r="K1233" s="208" t="n"/>
      <c r="L1233" s="424" t="n"/>
      <c r="M1233" s="961" t="n"/>
      <c r="N1233" s="214" t="n"/>
    </row>
    <row r="1234">
      <c r="A1234" s="207" t="n"/>
      <c r="B1234" s="209" t="n"/>
      <c r="C1234" s="207" t="n"/>
      <c r="D1234" s="963" t="n"/>
      <c r="E1234" s="214" t="n"/>
      <c r="F1234" s="262" t="n">
        <v>117023</v>
      </c>
      <c r="G1234" s="263" t="inlineStr">
        <is>
          <t>Porta messaggio a pinza mm. 80 con anello</t>
        </is>
      </c>
      <c r="H1234" s="264" t="n">
        <v>50</v>
      </c>
      <c r="I1234" s="265" t="n">
        <v>0.478</v>
      </c>
      <c r="J1234" s="214" t="n"/>
      <c r="K1234" s="208" t="n"/>
      <c r="L1234" s="424" t="n"/>
      <c r="M1234" s="961" t="n"/>
      <c r="N1234" s="214" t="n"/>
    </row>
    <row r="1235">
      <c r="A1235" s="207" t="n"/>
      <c r="B1235" s="209" t="n"/>
      <c r="C1235" s="207" t="n"/>
      <c r="D1235" s="963" t="n"/>
      <c r="E1235" s="214" t="n"/>
      <c r="F1235" s="262" t="n">
        <v>121730</v>
      </c>
      <c r="G1235" s="263" t="inlineStr">
        <is>
          <t>Broche doppia in metallo con aggancio a corna di toro per pannelli forati mm. 200</t>
        </is>
      </c>
      <c r="H1235" s="264" t="n">
        <v>50</v>
      </c>
      <c r="I1235" s="265" t="n">
        <v>1.035</v>
      </c>
      <c r="J1235" s="214" t="n"/>
      <c r="K1235" s="208" t="n"/>
      <c r="L1235" s="424" t="n"/>
      <c r="M1235" s="961" t="n"/>
      <c r="N1235" s="214" t="n"/>
    </row>
    <row r="1236">
      <c r="A1236" s="207" t="n"/>
      <c r="B1236" s="209" t="n"/>
      <c r="C1236" s="207" t="n"/>
      <c r="D1236" s="963" t="n"/>
      <c r="E1236" s="214" t="n"/>
      <c r="F1236" s="262" t="n">
        <v>121731</v>
      </c>
      <c r="G1236" s="263" t="inlineStr">
        <is>
          <t>Broche doppia in metallo con aggancio a corna di toro per pannelli forati mm. 250</t>
        </is>
      </c>
      <c r="H1236" s="264" t="n">
        <v>50</v>
      </c>
      <c r="I1236" s="265" t="n">
        <v>1.118</v>
      </c>
      <c r="J1236" s="214" t="n"/>
      <c r="K1236" s="208" t="n"/>
      <c r="L1236" s="424" t="n"/>
      <c r="M1236" s="961" t="n"/>
      <c r="N1236" s="214" t="n"/>
    </row>
    <row r="1237">
      <c r="A1237" s="207" t="n"/>
      <c r="B1237" s="209" t="n"/>
      <c r="C1237" s="207" t="n"/>
      <c r="D1237" s="963" t="n"/>
      <c r="E1237" s="214" t="n"/>
      <c r="F1237" s="262" t="n">
        <v>121732</v>
      </c>
      <c r="G1237" s="263" t="inlineStr">
        <is>
          <t>Broche doppia in metallo con aggancio a corna di toro per pannelli forati mm. 300</t>
        </is>
      </c>
      <c r="H1237" s="264" t="n">
        <v>50</v>
      </c>
      <c r="I1237" s="265" t="n">
        <v>1.186</v>
      </c>
      <c r="J1237" s="214" t="n"/>
      <c r="K1237" s="208" t="n"/>
      <c r="L1237" s="424" t="n"/>
      <c r="M1237" s="961" t="n"/>
      <c r="N1237" s="214" t="n"/>
    </row>
    <row r="1238">
      <c r="A1238" s="207" t="n"/>
      <c r="B1238" s="209" t="n"/>
      <c r="C1238" s="207" t="n"/>
      <c r="D1238" s="963" t="n"/>
      <c r="E1238" s="214" t="n"/>
      <c r="F1238" s="262" t="n">
        <v>121733</v>
      </c>
      <c r="G1238" s="263" t="inlineStr">
        <is>
          <t>Broche doppia in metallo con aggancio a corna di toro per pannelli forati mm. 400</t>
        </is>
      </c>
      <c r="H1238" s="264" t="n">
        <v>50</v>
      </c>
      <c r="I1238" s="265" t="n">
        <v>1.335</v>
      </c>
      <c r="J1238" s="214" t="n"/>
      <c r="K1238" s="208" t="n"/>
      <c r="L1238" s="424" t="n"/>
      <c r="M1238" s="961" t="n"/>
      <c r="N1238" s="214" t="n"/>
    </row>
    <row r="1239">
      <c r="A1239" s="207" t="n"/>
      <c r="B1239" s="209" t="n"/>
      <c r="C1239" s="207" t="n"/>
      <c r="D1239" s="963" t="n"/>
      <c r="E1239" s="214" t="n"/>
      <c r="F1239" s="262" t="n">
        <v>121734</v>
      </c>
      <c r="G1239" s="263" t="inlineStr">
        <is>
          <t>Broche doppia in metallo con aggancio a corna di toro con asta porta prezzo mm.</t>
        </is>
      </c>
      <c r="H1239" s="264" t="n">
        <v>50</v>
      </c>
      <c r="I1239" s="265" t="n">
        <v>2.466</v>
      </c>
      <c r="J1239" s="214" t="n"/>
      <c r="K1239" s="208" t="n"/>
      <c r="L1239" s="424" t="n"/>
      <c r="M1239" s="961" t="n"/>
      <c r="N1239" s="214" t="n"/>
    </row>
    <row r="1240">
      <c r="A1240" s="207" t="n"/>
      <c r="B1240" s="209" t="n"/>
      <c r="C1240" s="207" t="n"/>
      <c r="D1240" s="963" t="n"/>
      <c r="E1240" s="214" t="n"/>
      <c r="F1240" s="262" t="n">
        <v>121735</v>
      </c>
      <c r="G1240" s="263" t="inlineStr">
        <is>
          <t>Broche doppia in metallo con aggancio a corna di toro con asta porta prezzo mm.</t>
        </is>
      </c>
      <c r="H1240" s="264" t="n">
        <v>50</v>
      </c>
      <c r="I1240" s="265" t="n">
        <v>2.588</v>
      </c>
      <c r="J1240" s="214" t="n"/>
      <c r="K1240" s="208" t="n"/>
      <c r="L1240" s="424" t="n"/>
      <c r="M1240" s="961" t="n"/>
      <c r="N1240" s="214" t="n"/>
    </row>
    <row r="1241">
      <c r="A1241" s="207" t="n"/>
      <c r="B1241" s="209" t="n"/>
      <c r="C1241" s="207" t="n"/>
      <c r="D1241" s="963" t="n"/>
      <c r="E1241" s="214" t="n"/>
      <c r="F1241" s="262" t="n">
        <v>121736</v>
      </c>
      <c r="G1241" s="263" t="inlineStr">
        <is>
          <t>Broche doppia in metallo con aggancio a corna di toro con asta porta prezzo mm.</t>
        </is>
      </c>
      <c r="H1241" s="264" t="n">
        <v>50</v>
      </c>
      <c r="I1241" s="265" t="n">
        <v>2.667</v>
      </c>
      <c r="J1241" s="214" t="n"/>
      <c r="K1241" s="208" t="n"/>
      <c r="L1241" s="424" t="n"/>
      <c r="M1241" s="961" t="n"/>
      <c r="N1241" s="214" t="n"/>
    </row>
    <row r="1242">
      <c r="A1242" s="207" t="n"/>
      <c r="B1242" s="209" t="n"/>
      <c r="C1242" s="207" t="n"/>
      <c r="D1242" s="963" t="n"/>
      <c r="E1242" s="214" t="n"/>
      <c r="F1242" s="262" t="n">
        <v>121737</v>
      </c>
      <c r="G1242" s="263" t="inlineStr">
        <is>
          <t>Broche doppia in metallo con aggancio a corna di toro con asta porta prezzo mm.</t>
        </is>
      </c>
      <c r="H1242" s="264" t="n">
        <v>50</v>
      </c>
      <c r="I1242" s="265" t="n">
        <v>2.88</v>
      </c>
      <c r="J1242" s="214" t="n"/>
      <c r="K1242" s="208" t="n"/>
      <c r="L1242" s="424" t="n"/>
      <c r="M1242" s="961" t="n"/>
      <c r="N1242" s="214" t="n"/>
    </row>
    <row r="1243">
      <c r="A1243" s="207" t="n"/>
      <c r="B1243" s="209" t="n"/>
      <c r="C1243" s="207" t="n"/>
      <c r="D1243" s="963" t="n"/>
      <c r="E1243" s="214" t="n"/>
      <c r="F1243" s="262" t="n">
        <v>121738</v>
      </c>
      <c r="G1243" s="263" t="inlineStr">
        <is>
          <t>Broche doppia in metallo con aggancio semplice per pannelli forati con asta porta</t>
        </is>
      </c>
      <c r="H1243" s="264" t="n">
        <v>50</v>
      </c>
      <c r="I1243" s="265" t="n">
        <v>1.636</v>
      </c>
      <c r="J1243" s="214" t="n"/>
      <c r="K1243" s="208" t="n"/>
      <c r="L1243" s="424" t="n"/>
      <c r="M1243" s="961" t="n"/>
      <c r="N1243" s="214" t="n"/>
    </row>
    <row r="1244">
      <c r="A1244" s="207" t="n"/>
      <c r="B1244" s="209" t="n"/>
      <c r="C1244" s="207" t="n"/>
      <c r="D1244" s="963" t="n"/>
      <c r="E1244" s="214" t="n"/>
      <c r="F1244" s="262" t="n">
        <v>121739</v>
      </c>
      <c r="G1244" s="263" t="inlineStr">
        <is>
          <t>Broche doppia in metallo con aggancio semplice per pannelli forati con asta porta</t>
        </is>
      </c>
      <c r="H1244" s="264" t="n">
        <v>50</v>
      </c>
      <c r="I1244" s="265" t="n">
        <v>1.719</v>
      </c>
      <c r="J1244" s="214" t="n"/>
      <c r="K1244" s="208" t="n"/>
      <c r="L1244" s="424" t="n"/>
      <c r="M1244" s="961" t="n"/>
      <c r="N1244" s="214" t="n"/>
    </row>
    <row r="1245">
      <c r="A1245" s="207" t="n"/>
      <c r="B1245" s="209" t="n"/>
      <c r="C1245" s="207" t="n"/>
      <c r="D1245" s="963" t="n"/>
      <c r="E1245" s="214" t="n"/>
      <c r="F1245" s="262" t="n">
        <v>121741</v>
      </c>
      <c r="G1245" s="263" t="inlineStr">
        <is>
          <t>Broche singola in metallo con aggancio corna di toro per pannelli forati mm. 60 filo</t>
        </is>
      </c>
      <c r="H1245" s="264" t="n">
        <v>50</v>
      </c>
      <c r="I1245" s="265" t="n">
        <v>0.28</v>
      </c>
      <c r="J1245" s="214" t="n"/>
      <c r="K1245" s="208" t="n"/>
      <c r="L1245" s="424" t="n"/>
      <c r="M1245" s="961" t="n"/>
      <c r="N1245" s="214" t="n"/>
    </row>
    <row r="1246">
      <c r="A1246" s="207" t="n"/>
      <c r="B1246" s="209" t="n"/>
      <c r="C1246" s="207" t="n"/>
      <c r="D1246" s="963" t="n"/>
      <c r="E1246" s="214" t="n"/>
      <c r="F1246" s="262" t="n">
        <v>121742</v>
      </c>
      <c r="G1246" s="263" t="inlineStr">
        <is>
          <t>Broche singola in metallo con aggancio corna di toro per pannelli forati mm. 80 filo</t>
        </is>
      </c>
      <c r="H1246" s="264" t="n">
        <v>50</v>
      </c>
      <c r="I1246" s="265" t="n">
        <v>0.296</v>
      </c>
      <c r="J1246" s="214" t="n"/>
      <c r="K1246" s="208" t="n"/>
      <c r="L1246" s="424" t="n"/>
      <c r="M1246" s="961" t="n"/>
      <c r="N1246" s="214" t="n"/>
    </row>
    <row r="1247">
      <c r="A1247" s="207" t="n"/>
      <c r="B1247" s="209" t="n"/>
      <c r="C1247" s="207" t="n"/>
      <c r="D1247" s="963" t="n"/>
      <c r="E1247" s="214" t="n"/>
      <c r="F1247" s="262" t="n">
        <v>121743</v>
      </c>
      <c r="G1247" s="263" t="inlineStr">
        <is>
          <t>Broche singola in metallo con aggancio corna di toro per pannelli forati mm. 120 fil</t>
        </is>
      </c>
      <c r="H1247" s="264" t="n">
        <v>50</v>
      </c>
      <c r="I1247" s="265" t="n">
        <v>0.336</v>
      </c>
      <c r="J1247" s="214" t="n"/>
      <c r="K1247" s="208" t="n"/>
      <c r="L1247" s="424" t="n"/>
      <c r="M1247" s="961" t="n"/>
      <c r="N1247" s="214" t="n"/>
    </row>
    <row r="1248">
      <c r="A1248" s="207" t="n"/>
      <c r="B1248" s="209" t="n"/>
      <c r="C1248" s="207" t="n"/>
      <c r="D1248" s="963" t="n"/>
      <c r="E1248" s="214" t="n"/>
      <c r="F1248" s="262" t="n">
        <v>121744</v>
      </c>
      <c r="G1248" s="263" t="inlineStr">
        <is>
          <t>Broche singola in metallo con aggancio corna di toro per pannelli forati mm. 160 fil</t>
        </is>
      </c>
      <c r="H1248" s="264" t="n">
        <v>50</v>
      </c>
      <c r="I1248" s="265" t="n">
        <v>0.375</v>
      </c>
      <c r="J1248" s="214" t="n"/>
      <c r="K1248" s="208" t="n"/>
      <c r="L1248" s="424" t="n"/>
      <c r="M1248" s="961" t="n"/>
      <c r="N1248" s="214" t="n"/>
    </row>
    <row r="1249">
      <c r="A1249" s="207" t="n"/>
      <c r="B1249" s="209" t="n"/>
      <c r="C1249" s="209" t="n"/>
      <c r="D1249" s="960" t="n"/>
      <c r="E1249" s="215" t="n"/>
      <c r="F1249" s="262" t="n">
        <v>121745</v>
      </c>
      <c r="G1249" s="263" t="inlineStr">
        <is>
          <t>Broche singola in metallo con aggancio corna di toro per pannelli forati mm. 200 fil</t>
        </is>
      </c>
      <c r="H1249" s="264" t="n">
        <v>50</v>
      </c>
      <c r="I1249" s="265" t="n">
        <v>0.407</v>
      </c>
      <c r="J1249" s="215" t="n"/>
      <c r="K1249" s="209" t="n"/>
      <c r="L1249" s="425" t="n"/>
      <c r="M1249" s="962" t="n"/>
      <c r="N1249" s="215" t="n"/>
    </row>
    <row r="1250">
      <c r="A1250" s="207" t="n"/>
      <c r="B1250" s="209" t="n"/>
      <c r="C1250" s="209" t="n"/>
      <c r="D1250" s="960" t="n"/>
      <c r="E1250" s="215" t="n"/>
      <c r="F1250" s="262" t="n">
        <v>121750</v>
      </c>
      <c r="G1250" s="263" t="inlineStr">
        <is>
          <t>Broche doppia in metallo per griglia mm. 200</t>
        </is>
      </c>
      <c r="H1250" s="264" t="n">
        <v>50</v>
      </c>
      <c r="I1250" s="265" t="n">
        <v>1.132</v>
      </c>
      <c r="J1250" s="215" t="n"/>
      <c r="K1250" s="209" t="n"/>
      <c r="L1250" s="425" t="n"/>
      <c r="M1250" s="962" t="n"/>
      <c r="N1250" s="215" t="n"/>
    </row>
    <row r="1251">
      <c r="A1251" s="207" t="n"/>
      <c r="B1251" s="209" t="n"/>
      <c r="C1251" s="209" t="n"/>
      <c r="D1251" s="960" t="n"/>
      <c r="E1251" s="215" t="n"/>
      <c r="F1251" s="262" t="n">
        <v>121751</v>
      </c>
      <c r="G1251" s="263" t="inlineStr">
        <is>
          <t>Broche doppia in metallo per griglia mm. 250</t>
        </is>
      </c>
      <c r="H1251" s="264" t="n">
        <v>50</v>
      </c>
      <c r="I1251" s="265" t="n">
        <v>1.216</v>
      </c>
      <c r="J1251" s="215" t="n"/>
      <c r="K1251" s="209" t="n"/>
      <c r="L1251" s="425" t="n"/>
      <c r="M1251" s="962" t="n"/>
      <c r="N1251" s="215" t="n"/>
    </row>
    <row r="1252">
      <c r="A1252" s="207" t="n"/>
      <c r="B1252" s="209" t="n"/>
      <c r="C1252" s="209" t="n"/>
      <c r="D1252" s="960" t="n"/>
      <c r="E1252" s="215" t="n"/>
      <c r="F1252" s="262" t="n">
        <v>121752</v>
      </c>
      <c r="G1252" s="263" t="inlineStr">
        <is>
          <t>Broche doppia in metallo per griglia mm. 300</t>
        </is>
      </c>
      <c r="H1252" s="264" t="n">
        <v>50</v>
      </c>
      <c r="I1252" s="265" t="n">
        <v>1.294</v>
      </c>
      <c r="J1252" s="215" t="n"/>
      <c r="K1252" s="209" t="n"/>
      <c r="L1252" s="425" t="n"/>
      <c r="M1252" s="962" t="n"/>
      <c r="N1252" s="215" t="n"/>
    </row>
    <row r="1253">
      <c r="A1253" s="207" t="n"/>
      <c r="B1253" s="209" t="n"/>
      <c r="C1253" s="209" t="n"/>
      <c r="D1253" s="960" t="n"/>
      <c r="E1253" s="215" t="n"/>
      <c r="F1253" s="262" t="n">
        <v>121900</v>
      </c>
      <c r="G1253" s="263" t="inlineStr">
        <is>
          <t>Gancio in metallo ad anello</t>
        </is>
      </c>
      <c r="H1253" s="264" t="n">
        <v>50</v>
      </c>
      <c r="I1253" s="265" t="n">
        <v>0.353</v>
      </c>
      <c r="J1253" s="215" t="n"/>
      <c r="K1253" s="209" t="n"/>
      <c r="L1253" s="425" t="n"/>
      <c r="M1253" s="962" t="n"/>
      <c r="N1253" s="215" t="n"/>
    </row>
    <row r="1254">
      <c r="A1254" s="207" t="n"/>
      <c r="B1254" s="209" t="n"/>
      <c r="C1254" s="209" t="n"/>
      <c r="D1254" s="960" t="n"/>
      <c r="E1254" s="215" t="n"/>
      <c r="F1254" s="262" t="n">
        <v>121901</v>
      </c>
      <c r="G1254" s="263" t="inlineStr">
        <is>
          <t>Gancio in metallo mm. 40x75</t>
        </is>
      </c>
      <c r="H1254" s="264" t="n">
        <v>50</v>
      </c>
      <c r="I1254" s="265" t="n">
        <v>0.108</v>
      </c>
      <c r="J1254" s="215" t="n"/>
      <c r="K1254" s="209" t="n"/>
      <c r="L1254" s="425" t="n"/>
      <c r="M1254" s="962" t="n"/>
      <c r="N1254" s="215" t="n"/>
    </row>
    <row r="1255">
      <c r="A1255" s="207" t="n"/>
      <c r="B1255" s="209" t="n"/>
      <c r="C1255" s="209" t="n"/>
      <c r="D1255" s="960" t="n"/>
      <c r="E1255" s="215" t="n"/>
      <c r="F1255" s="262" t="n">
        <v>121902</v>
      </c>
      <c r="G1255" s="263" t="inlineStr">
        <is>
          <t>Gancio in metallo mm. 38x53</t>
        </is>
      </c>
      <c r="H1255" s="264" t="n">
        <v>1000</v>
      </c>
      <c r="I1255" s="265" t="n">
        <v>0.08</v>
      </c>
      <c r="J1255" s="215" t="n"/>
      <c r="K1255" s="209" t="n"/>
      <c r="L1255" s="425" t="n"/>
      <c r="M1255" s="962" t="n"/>
      <c r="N1255" s="215" t="n"/>
    </row>
    <row r="1256">
      <c r="A1256" s="207" t="n"/>
      <c r="B1256" s="209" t="n"/>
      <c r="C1256" s="209" t="n"/>
      <c r="D1256" s="960" t="n"/>
      <c r="E1256" s="215" t="n"/>
      <c r="F1256" s="262" t="n">
        <v>121903</v>
      </c>
      <c r="G1256" s="263" t="inlineStr">
        <is>
          <t>Gancio in metallo mm. 22x53</t>
        </is>
      </c>
      <c r="H1256" s="264" t="n">
        <v>1000</v>
      </c>
      <c r="I1256" s="265" t="n">
        <v>0.074</v>
      </c>
      <c r="J1256" s="215" t="n"/>
      <c r="K1256" s="209" t="n"/>
      <c r="L1256" s="425" t="n"/>
      <c r="M1256" s="962" t="n"/>
      <c r="N1256" s="215" t="n"/>
    </row>
    <row r="1257">
      <c r="A1257" s="207" t="n"/>
      <c r="B1257" s="209" t="n"/>
      <c r="C1257" s="209" t="n"/>
      <c r="D1257" s="960" t="n"/>
      <c r="E1257" s="215" t="n"/>
      <c r="F1257" s="262" t="n">
        <v>121904</v>
      </c>
      <c r="G1257" s="263" t="inlineStr">
        <is>
          <t>Gancio in metallo mm. 25x37</t>
        </is>
      </c>
      <c r="H1257" s="264" t="n">
        <v>1000</v>
      </c>
      <c r="I1257" s="265" t="n">
        <v>0.063</v>
      </c>
      <c r="J1257" s="215" t="n"/>
      <c r="K1257" s="209" t="n"/>
      <c r="L1257" s="425" t="n"/>
      <c r="M1257" s="962" t="n"/>
      <c r="N1257" s="215" t="n"/>
    </row>
    <row r="1258">
      <c r="A1258" s="207" t="n"/>
      <c r="B1258" s="209" t="n"/>
      <c r="C1258" s="209" t="n"/>
      <c r="D1258" s="960" t="n"/>
      <c r="E1258" s="215" t="n"/>
      <c r="F1258" s="262" t="n">
        <v>121905</v>
      </c>
      <c r="G1258" s="263" t="inlineStr">
        <is>
          <t>Gancio in metallo mm. 15x42</t>
        </is>
      </c>
      <c r="H1258" s="264" t="n">
        <v>1000</v>
      </c>
      <c r="I1258" s="265" t="n">
        <v>0.053</v>
      </c>
      <c r="J1258" s="215" t="n"/>
      <c r="K1258" s="209" t="n"/>
      <c r="L1258" s="425" t="n"/>
      <c r="M1258" s="962" t="n"/>
      <c r="N1258" s="215" t="n"/>
    </row>
    <row r="1259">
      <c r="A1259" s="207" t="n"/>
      <c r="B1259" s="209" t="n"/>
      <c r="C1259" s="209" t="n"/>
      <c r="D1259" s="960" t="n"/>
      <c r="E1259" s="215" t="n"/>
      <c r="F1259" s="262" t="n">
        <v>121906</v>
      </c>
      <c r="G1259" s="263" t="inlineStr">
        <is>
          <t>Gancio in metallo mm. 15x31</t>
        </is>
      </c>
      <c r="H1259" s="264" t="n">
        <v>1000</v>
      </c>
      <c r="I1259" s="265" t="n">
        <v>0.046</v>
      </c>
      <c r="J1259" s="215" t="n"/>
      <c r="K1259" s="209" t="n"/>
      <c r="L1259" s="425" t="n"/>
      <c r="M1259" s="962" t="n"/>
      <c r="N1259" s="215" t="n"/>
    </row>
    <row r="1260" ht="12.75" customHeight="1">
      <c r="A1260" s="207" t="n"/>
      <c r="B1260" s="209" t="n"/>
      <c r="C1260" s="209" t="n"/>
      <c r="D1260" s="960" t="n"/>
      <c r="E1260" s="215" t="n"/>
      <c r="F1260" s="262" t="n">
        <v>122219</v>
      </c>
      <c r="G1260" s="263" t="inlineStr">
        <is>
          <t>Kit 2 chiocciole con coda di rondine e clip adesiva</t>
        </is>
      </c>
      <c r="H1260" s="264" t="n">
        <v>50</v>
      </c>
      <c r="I1260" s="265" t="n">
        <v>2.283</v>
      </c>
      <c r="J1260" s="215" t="n"/>
      <c r="K1260" s="209" t="n"/>
      <c r="L1260" s="425" t="n"/>
      <c r="M1260" s="962" t="n"/>
      <c r="N1260" s="215" t="n"/>
    </row>
    <row r="1261" ht="12.75" customHeight="1">
      <c r="A1261" s="207" t="n"/>
      <c r="B1261" s="209" t="n"/>
      <c r="C1261" s="209" t="n"/>
      <c r="D1261" s="960" t="n"/>
      <c r="E1261" s="215" t="n"/>
      <c r="F1261" s="262" t="n">
        <v>122220</v>
      </c>
      <c r="G1261" s="263" t="inlineStr">
        <is>
          <t>Frontale per chiocciole con coda di rondine e cllip adesiva cm. 25x5</t>
        </is>
      </c>
      <c r="H1261" s="264" t="n">
        <v>50</v>
      </c>
      <c r="I1261" s="265" t="n">
        <v>3.893</v>
      </c>
      <c r="J1261" s="215" t="n"/>
      <c r="K1261" s="209" t="n"/>
      <c r="L1261" s="425" t="n"/>
      <c r="M1261" s="962" t="n"/>
      <c r="N1261" s="215" t="n"/>
    </row>
    <row r="1262">
      <c r="A1262" s="207" t="n"/>
      <c r="B1262" s="209" t="n"/>
      <c r="C1262" s="209" t="n"/>
      <c r="D1262" s="960" t="n"/>
      <c r="E1262" s="215" t="n"/>
      <c r="F1262" s="262" t="n">
        <v>122221</v>
      </c>
      <c r="G1262" s="263" t="inlineStr">
        <is>
          <t>Frontale per chiocciole con coda di rondine e cllip adesiva cm. 32x6</t>
        </is>
      </c>
      <c r="H1262" s="264" t="n">
        <v>50</v>
      </c>
      <c r="I1262" s="265" t="n">
        <v>3.989</v>
      </c>
      <c r="J1262" s="215" t="n"/>
      <c r="K1262" s="209" t="n"/>
      <c r="L1262" s="425" t="n"/>
      <c r="M1262" s="962" t="n"/>
      <c r="N1262" s="215" t="n"/>
    </row>
    <row r="1263">
      <c r="A1263" s="207" t="n"/>
      <c r="B1263" s="209" t="n"/>
      <c r="C1263" s="209" t="n"/>
      <c r="D1263" s="960" t="n"/>
      <c r="E1263" s="215" t="n"/>
      <c r="F1263" s="262" t="n">
        <v>122222</v>
      </c>
      <c r="G1263" s="263" t="inlineStr">
        <is>
          <t>Frontale per chiocciole con coda di rondine e cllip adesiva cm. 40x5</t>
        </is>
      </c>
      <c r="H1263" s="264" t="n">
        <v>50</v>
      </c>
      <c r="I1263" s="265" t="n">
        <v>4.187</v>
      </c>
      <c r="J1263" s="215" t="n"/>
      <c r="K1263" s="209" t="n"/>
      <c r="L1263" s="425" t="n"/>
      <c r="M1263" s="962" t="n"/>
      <c r="N1263" s="215" t="n"/>
    </row>
    <row r="1264">
      <c r="A1264" s="207" t="n"/>
      <c r="B1264" s="209" t="n"/>
      <c r="C1264" s="209" t="n"/>
      <c r="D1264" s="960" t="n"/>
      <c r="E1264" s="215" t="n"/>
      <c r="F1264" s="262" t="n">
        <v>122223</v>
      </c>
      <c r="G1264" s="263" t="inlineStr">
        <is>
          <t>Kit 2 chiocciole con adesivo</t>
        </is>
      </c>
      <c r="H1264" s="264" t="n">
        <v>50</v>
      </c>
      <c r="I1264" s="265" t="n">
        <v>2.017</v>
      </c>
      <c r="J1264" s="215" t="n"/>
      <c r="K1264" s="209" t="n"/>
      <c r="L1264" s="425" t="n"/>
      <c r="M1264" s="962" t="n"/>
      <c r="N1264" s="215" t="n"/>
    </row>
    <row r="1265">
      <c r="A1265" s="207" t="n"/>
      <c r="B1265" s="209" t="n"/>
      <c r="C1265" s="209" t="n"/>
      <c r="D1265" s="960" t="n"/>
      <c r="E1265" s="215" t="n"/>
      <c r="F1265" s="262" t="n">
        <v>122224</v>
      </c>
      <c r="G1265" s="263" t="inlineStr">
        <is>
          <t>Kit 2 chiocciole con gripper</t>
        </is>
      </c>
      <c r="H1265" s="264" t="n">
        <v>50</v>
      </c>
      <c r="I1265" s="265" t="n">
        <v>2.197</v>
      </c>
      <c r="J1265" s="215" t="n"/>
      <c r="K1265" s="209" t="n"/>
      <c r="L1265" s="425" t="n"/>
      <c r="M1265" s="962" t="n"/>
      <c r="N1265" s="215" t="n"/>
    </row>
    <row r="1266">
      <c r="A1266" s="207" t="n"/>
      <c r="B1266" s="209" t="n"/>
      <c r="C1266" s="209" t="n"/>
      <c r="D1266" s="960" t="n"/>
      <c r="E1266" s="215" t="n"/>
      <c r="F1266" s="262" t="n">
        <v>122225</v>
      </c>
      <c r="G1266" s="263" t="inlineStr">
        <is>
          <t>Kit 1 chiocciola con fori e 2 viti</t>
        </is>
      </c>
      <c r="H1266" s="264" t="n">
        <v>50</v>
      </c>
      <c r="I1266" s="265" t="n">
        <v>1.022</v>
      </c>
      <c r="J1266" s="215" t="n"/>
      <c r="K1266" s="209" t="n"/>
      <c r="L1266" s="425" t="n"/>
      <c r="M1266" s="962" t="n"/>
      <c r="N1266" s="215" t="n"/>
    </row>
    <row r="1267">
      <c r="A1267" s="207" t="n"/>
      <c r="B1267" s="209" t="n"/>
      <c r="C1267" s="209" t="n"/>
      <c r="D1267" s="960" t="n"/>
      <c r="E1267" s="215" t="n"/>
      <c r="F1267" s="262" t="n">
        <v>122226</v>
      </c>
      <c r="G1267" s="263" t="inlineStr">
        <is>
          <t>Pannello per chiocciola con gripper cm. 25x5</t>
        </is>
      </c>
      <c r="H1267" s="264" t="n">
        <v>50</v>
      </c>
      <c r="I1267" s="265" t="n">
        <v>3.391</v>
      </c>
      <c r="J1267" s="215" t="n"/>
      <c r="K1267" s="209" t="n"/>
      <c r="L1267" s="425" t="n"/>
      <c r="M1267" s="962" t="n"/>
      <c r="N1267" s="215" t="n"/>
    </row>
    <row r="1268">
      <c r="A1268" s="207" t="n"/>
      <c r="B1268" s="209" t="n"/>
      <c r="C1268" s="209" t="n"/>
      <c r="D1268" s="960" t="n"/>
      <c r="E1268" s="215" t="n"/>
      <c r="F1268" s="262" t="n">
        <v>122227</v>
      </c>
      <c r="G1268" s="263" t="inlineStr">
        <is>
          <t>Pannello per chiocciola con gripper cm. 32x6</t>
        </is>
      </c>
      <c r="H1268" s="264" t="n">
        <v>50</v>
      </c>
      <c r="I1268" s="265" t="n">
        <v>4.322</v>
      </c>
      <c r="J1268" s="215" t="n"/>
      <c r="K1268" s="209" t="n"/>
      <c r="L1268" s="425" t="n"/>
      <c r="M1268" s="962" t="n"/>
      <c r="N1268" s="215" t="n"/>
    </row>
    <row r="1269">
      <c r="A1269" s="207" t="n"/>
      <c r="B1269" s="209" t="n"/>
      <c r="C1269" s="209" t="n"/>
      <c r="D1269" s="960" t="n"/>
      <c r="E1269" s="215" t="n"/>
      <c r="F1269" s="262" t="n">
        <v>122228</v>
      </c>
      <c r="G1269" s="263" t="inlineStr">
        <is>
          <t>Pannello per chiocciola con gripper cm. 40x5</t>
        </is>
      </c>
      <c r="H1269" s="264" t="n">
        <v>50</v>
      </c>
      <c r="I1269" s="265" t="n">
        <v>4.244</v>
      </c>
      <c r="J1269" s="215" t="n"/>
      <c r="K1269" s="209" t="n"/>
      <c r="L1269" s="425" t="n"/>
      <c r="M1269" s="962" t="n"/>
      <c r="N1269" s="215" t="n"/>
    </row>
    <row r="1270">
      <c r="A1270" s="207" t="n"/>
      <c r="B1270" s="209" t="n"/>
      <c r="C1270" s="209" t="n"/>
      <c r="D1270" s="960" t="n"/>
      <c r="E1270" s="215" t="n"/>
      <c r="F1270" s="262" t="n">
        <v>122229</v>
      </c>
      <c r="G1270" s="263" t="inlineStr">
        <is>
          <t>Chiocciola con ripiano cm. 13x9 con 3 lati chiusi</t>
        </is>
      </c>
      <c r="H1270" s="264" t="n">
        <v>50</v>
      </c>
      <c r="I1270" s="265" t="n">
        <v>4.597</v>
      </c>
      <c r="J1270" s="215" t="n"/>
      <c r="K1270" s="209" t="n"/>
      <c r="L1270" s="425" t="n"/>
      <c r="M1270" s="962" t="n"/>
      <c r="N1270" s="215" t="n"/>
    </row>
    <row r="1271">
      <c r="A1271" s="207" t="n"/>
      <c r="B1271" s="209" t="n"/>
      <c r="C1271" s="209" t="n"/>
      <c r="D1271" s="960" t="n"/>
      <c r="E1271" s="215" t="n"/>
      <c r="F1271" s="262" t="n">
        <v>122230</v>
      </c>
      <c r="G1271" s="263" t="inlineStr">
        <is>
          <t>Chiocciola con piccolo espositore cm. 12x6,5</t>
        </is>
      </c>
      <c r="H1271" s="264" t="n">
        <v>50</v>
      </c>
      <c r="I1271" s="265" t="n">
        <v>5.393</v>
      </c>
      <c r="J1271" s="215" t="n"/>
      <c r="K1271" s="209" t="n"/>
      <c r="L1271" s="425" t="n"/>
      <c r="M1271" s="962" t="n"/>
      <c r="N1271" s="215" t="n"/>
    </row>
    <row r="1272">
      <c r="A1272" s="207" t="n"/>
      <c r="B1272" s="209" t="n"/>
      <c r="C1272" s="209" t="n"/>
      <c r="D1272" s="960" t="n"/>
      <c r="E1272" s="215" t="n"/>
      <c r="F1272" s="262" t="n">
        <v>122231</v>
      </c>
      <c r="G1272" s="263" t="inlineStr">
        <is>
          <t>Chiocciole con espositore cm. 20,5x11,5</t>
        </is>
      </c>
      <c r="H1272" s="264" t="n">
        <v>50</v>
      </c>
      <c r="I1272" s="265" t="n">
        <v>12.931</v>
      </c>
      <c r="J1272" s="215" t="n"/>
      <c r="K1272" s="209" t="n"/>
      <c r="L1272" s="425" t="n"/>
      <c r="M1272" s="962" t="n"/>
      <c r="N1272" s="215" t="n"/>
    </row>
    <row r="1273">
      <c r="A1273" s="207" t="n"/>
      <c r="B1273" s="209" t="n"/>
      <c r="C1273" s="209" t="n"/>
      <c r="D1273" s="960" t="n"/>
      <c r="E1273" s="215" t="n"/>
      <c r="F1273" s="262" t="n">
        <v>122232</v>
      </c>
      <c r="G1273" s="263" t="inlineStr">
        <is>
          <t>Pannello sagomato per chiocciole con gripper cm. 40x7</t>
        </is>
      </c>
      <c r="H1273" s="264" t="n">
        <v>50</v>
      </c>
      <c r="I1273" s="265" t="n">
        <v>10.351</v>
      </c>
      <c r="J1273" s="215" t="n"/>
      <c r="K1273" s="209" t="n"/>
      <c r="L1273" s="425" t="n"/>
      <c r="M1273" s="962" t="n"/>
      <c r="N1273" s="215" t="n"/>
    </row>
    <row r="1274">
      <c r="A1274" s="207" t="n"/>
      <c r="B1274" s="209" t="n"/>
      <c r="C1274" s="209" t="n"/>
      <c r="D1274" s="960" t="n"/>
      <c r="E1274" s="215" t="n"/>
      <c r="F1274" s="262" t="n">
        <v>122233</v>
      </c>
      <c r="G1274" s="263" t="inlineStr">
        <is>
          <t>Pannello sagomato per chiocciola con 2 fori cm. 40x7</t>
        </is>
      </c>
      <c r="H1274" s="264" t="n">
        <v>50</v>
      </c>
      <c r="I1274" s="265" t="n">
        <v>9.731999999999999</v>
      </c>
      <c r="J1274" s="215" t="n"/>
      <c r="K1274" s="209" t="n"/>
      <c r="L1274" s="425" t="n"/>
      <c r="M1274" s="962" t="n"/>
      <c r="N1274" s="215" t="n"/>
    </row>
    <row r="1275">
      <c r="A1275" s="207" t="n"/>
      <c r="B1275" s="209" t="n"/>
      <c r="C1275" s="209" t="n"/>
      <c r="D1275" s="960" t="n"/>
      <c r="E1275" s="215" t="n"/>
      <c r="F1275" s="262" t="n">
        <v>122260</v>
      </c>
      <c r="G1275" s="263" t="inlineStr">
        <is>
          <t>Supporto per broches universali</t>
        </is>
      </c>
      <c r="H1275" s="264" t="n">
        <v>50</v>
      </c>
      <c r="I1275" s="265" t="n">
        <v>3.324</v>
      </c>
      <c r="J1275" s="215" t="n"/>
      <c r="K1275" s="209" t="n"/>
      <c r="L1275" s="425" t="n"/>
      <c r="M1275" s="962" t="n"/>
      <c r="N1275" s="215" t="n"/>
    </row>
    <row r="1276">
      <c r="A1276" s="207" t="n"/>
      <c r="B1276" s="209" t="n"/>
      <c r="C1276" s="209" t="n"/>
      <c r="D1276" s="960" t="n"/>
      <c r="E1276" s="215" t="n"/>
      <c r="F1276" s="262" t="n">
        <v>122261</v>
      </c>
      <c r="G1276" s="263" t="inlineStr">
        <is>
          <t>Supporto per broches per pannelli forati</t>
        </is>
      </c>
      <c r="H1276" s="264" t="n">
        <v>50</v>
      </c>
      <c r="I1276" s="265" t="n">
        <v>3.534</v>
      </c>
      <c r="J1276" s="215" t="n"/>
      <c r="K1276" s="209" t="n"/>
      <c r="L1276" s="425" t="n"/>
      <c r="M1276" s="962" t="n"/>
      <c r="N1276" s="215" t="n"/>
    </row>
    <row r="1277">
      <c r="A1277" s="207" t="n"/>
      <c r="B1277" s="209" t="n"/>
      <c r="C1277" s="209" t="n"/>
      <c r="D1277" s="960" t="n"/>
      <c r="E1277" s="215" t="n"/>
      <c r="F1277" s="262" t="n">
        <v>122262</v>
      </c>
      <c r="G1277" s="263" t="inlineStr">
        <is>
          <t>Supporto con porta etichetta per broches universali</t>
        </is>
      </c>
      <c r="H1277" s="264" t="n">
        <v>50</v>
      </c>
      <c r="I1277" s="265" t="n">
        <v>5.523</v>
      </c>
      <c r="J1277" s="215" t="n"/>
      <c r="K1277" s="209" t="n"/>
      <c r="L1277" s="425" t="n"/>
      <c r="M1277" s="962" t="n"/>
      <c r="N1277" s="215" t="n"/>
    </row>
    <row r="1278">
      <c r="A1278" s="207" t="n"/>
      <c r="B1278" s="209" t="n"/>
      <c r="C1278" s="209" t="n"/>
      <c r="D1278" s="960" t="n"/>
      <c r="E1278" s="215" t="n"/>
      <c r="F1278" s="262" t="n">
        <v>122263</v>
      </c>
      <c r="G1278" s="263" t="inlineStr">
        <is>
          <t>Supporto con porta etichetta per broches per pannelli forati</t>
        </is>
      </c>
      <c r="H1278" s="264" t="n">
        <v>50</v>
      </c>
      <c r="I1278" s="265" t="n">
        <v>5.82</v>
      </c>
      <c r="J1278" s="215" t="n"/>
      <c r="K1278" s="209" t="n"/>
      <c r="L1278" s="425" t="n"/>
      <c r="M1278" s="962" t="n"/>
      <c r="N1278" s="215" t="n"/>
    </row>
    <row r="1279">
      <c r="A1279" s="207" t="n"/>
      <c r="B1279" s="209" t="n"/>
      <c r="C1279" s="209" t="n"/>
      <c r="D1279" s="960" t="n"/>
      <c r="E1279" s="215" t="n"/>
      <c r="F1279" s="262" t="n">
        <v>122264</v>
      </c>
      <c r="G1279" s="263" t="inlineStr">
        <is>
          <t>Supporto grande per broches universali</t>
        </is>
      </c>
      <c r="H1279" s="264" t="n">
        <v>50</v>
      </c>
      <c r="I1279" s="265" t="n">
        <v>9.779999999999999</v>
      </c>
      <c r="J1279" s="215" t="n"/>
      <c r="K1279" s="209" t="n"/>
      <c r="L1279" s="425" t="n"/>
      <c r="M1279" s="962" t="n"/>
      <c r="N1279" s="215" t="n"/>
    </row>
    <row r="1280">
      <c r="A1280" s="207" t="n"/>
      <c r="B1280" s="209" t="n"/>
      <c r="C1280" s="209" t="n"/>
      <c r="D1280" s="960" t="n"/>
      <c r="E1280" s="215" t="n"/>
      <c r="F1280" s="262" t="n">
        <v>122265</v>
      </c>
      <c r="G1280" s="263" t="inlineStr">
        <is>
          <t>Espositore per broches universali</t>
        </is>
      </c>
      <c r="H1280" s="264" t="n">
        <v>50</v>
      </c>
      <c r="I1280" s="265" t="n">
        <v>16.515</v>
      </c>
      <c r="J1280" s="215" t="n"/>
      <c r="K1280" s="209" t="n"/>
      <c r="L1280" s="425" t="n"/>
      <c r="M1280" s="962" t="n"/>
      <c r="N1280" s="215" t="n"/>
    </row>
    <row r="1281">
      <c r="A1281" s="207" t="n"/>
      <c r="B1281" s="209" t="n"/>
      <c r="C1281" s="209" t="n"/>
      <c r="D1281" s="960" t="n"/>
      <c r="E1281" s="215" t="n"/>
      <c r="F1281" s="262" t="n">
        <v>142001</v>
      </c>
      <c r="G1281" s="263" t="inlineStr">
        <is>
          <t>Broche universale singola in plastica bianca mm. 50</t>
        </is>
      </c>
      <c r="H1281" s="264" t="n">
        <v>1000</v>
      </c>
      <c r="I1281" s="265" t="n">
        <v>0.093</v>
      </c>
      <c r="J1281" s="215" t="n"/>
      <c r="K1281" s="209" t="n"/>
      <c r="L1281" s="425" t="n"/>
      <c r="M1281" s="962" t="n"/>
      <c r="N1281" s="215" t="n"/>
    </row>
    <row r="1282">
      <c r="A1282" s="207" t="n"/>
      <c r="B1282" s="209" t="n"/>
      <c r="C1282" s="209" t="n"/>
      <c r="D1282" s="960" t="n"/>
      <c r="E1282" s="215" t="n"/>
      <c r="F1282" s="262" t="n">
        <v>142002</v>
      </c>
      <c r="G1282" s="263" t="inlineStr">
        <is>
          <t>Broche universale singola in plastica bianca mm. 100</t>
        </is>
      </c>
      <c r="H1282" s="264" t="n">
        <v>1000</v>
      </c>
      <c r="I1282" s="265" t="n">
        <v>0.097</v>
      </c>
      <c r="J1282" s="215" t="n"/>
      <c r="K1282" s="209" t="n"/>
      <c r="L1282" s="425" t="n"/>
      <c r="M1282" s="962" t="n"/>
      <c r="N1282" s="215" t="n"/>
    </row>
    <row r="1283">
      <c r="A1283" s="207" t="n"/>
      <c r="B1283" s="209" t="n"/>
      <c r="C1283" s="209" t="n"/>
      <c r="D1283" s="960" t="n"/>
      <c r="E1283" s="215" t="n"/>
      <c r="F1283" s="262" t="n">
        <v>142003</v>
      </c>
      <c r="G1283" s="263" t="inlineStr">
        <is>
          <t>Broche universale singola in plastica bianca mm. 150</t>
        </is>
      </c>
      <c r="H1283" s="264" t="n">
        <v>100</v>
      </c>
      <c r="I1283" s="265" t="n">
        <v>0.11</v>
      </c>
      <c r="J1283" s="215" t="n"/>
      <c r="K1283" s="209" t="n"/>
      <c r="L1283" s="425" t="n"/>
      <c r="M1283" s="962" t="n"/>
      <c r="N1283" s="215" t="n"/>
    </row>
    <row r="1284">
      <c r="A1284" s="207" t="n"/>
      <c r="B1284" s="209" t="n"/>
      <c r="C1284" s="209" t="n"/>
      <c r="D1284" s="960" t="n"/>
      <c r="E1284" s="215" t="n"/>
      <c r="F1284" s="262" t="n">
        <v>142006</v>
      </c>
      <c r="G1284" s="263" t="inlineStr">
        <is>
          <t>Broche universale larga in plastica bianca mm. 70</t>
        </is>
      </c>
      <c r="H1284" s="264" t="n">
        <v>100</v>
      </c>
      <c r="I1284" s="265" t="n">
        <v>0.116</v>
      </c>
      <c r="J1284" s="215" t="n"/>
      <c r="K1284" s="209" t="n"/>
      <c r="L1284" s="425" t="n"/>
      <c r="M1284" s="962" t="n"/>
      <c r="N1284" s="215" t="n"/>
    </row>
    <row r="1285">
      <c r="A1285" s="207" t="n"/>
      <c r="B1285" s="209" t="n"/>
      <c r="C1285" s="209" t="n"/>
      <c r="D1285" s="960" t="n"/>
      <c r="E1285" s="215" t="n"/>
      <c r="F1285" s="262" t="n">
        <v>142007</v>
      </c>
      <c r="G1285" s="263" t="inlineStr">
        <is>
          <t>Broche universale larga in plastica bianca mm. 120</t>
        </is>
      </c>
      <c r="H1285" s="264" t="n">
        <v>100</v>
      </c>
      <c r="I1285" s="265" t="n">
        <v>0.135</v>
      </c>
      <c r="J1285" s="215" t="n"/>
      <c r="K1285" s="209" t="n"/>
      <c r="L1285" s="425" t="n"/>
      <c r="M1285" s="962" t="n"/>
      <c r="N1285" s="215" t="n"/>
    </row>
    <row r="1286">
      <c r="A1286" s="207" t="n"/>
      <c r="B1286" s="209" t="n"/>
      <c r="C1286" s="209" t="n"/>
      <c r="D1286" s="960" t="n"/>
      <c r="E1286" s="215" t="n"/>
      <c r="F1286" s="262" t="n">
        <v>142008</v>
      </c>
      <c r="G1286" s="263" t="inlineStr">
        <is>
          <t>Broche universale larga in plastica bianca mm. 150</t>
        </is>
      </c>
      <c r="H1286" s="264" t="n">
        <v>100</v>
      </c>
      <c r="I1286" s="265" t="n">
        <v>0.147</v>
      </c>
      <c r="J1286" s="215" t="n"/>
      <c r="K1286" s="209" t="n"/>
      <c r="L1286" s="425" t="n"/>
      <c r="M1286" s="962" t="n"/>
      <c r="N1286" s="215" t="n"/>
    </row>
    <row r="1287">
      <c r="A1287" s="207" t="n"/>
      <c r="B1287" s="209" t="n"/>
      <c r="C1287" s="207" t="n"/>
      <c r="D1287" s="963" t="n"/>
      <c r="E1287" s="214" t="n"/>
      <c r="F1287" s="262" t="n">
        <v>142009</v>
      </c>
      <c r="G1287" s="263" t="inlineStr">
        <is>
          <t>Broche universale larga in plastica bianca mm. 170</t>
        </is>
      </c>
      <c r="H1287" s="264" t="n">
        <v>100</v>
      </c>
      <c r="I1287" s="265" t="n">
        <v>0.154</v>
      </c>
      <c r="J1287" s="214" t="n"/>
      <c r="K1287" s="208" t="n"/>
      <c r="L1287" s="424" t="n"/>
      <c r="M1287" s="961" t="n"/>
      <c r="N1287" s="214" t="n"/>
    </row>
    <row r="1288">
      <c r="A1288" s="207" t="n"/>
      <c r="B1288" s="209" t="n"/>
      <c r="C1288" s="207" t="n"/>
      <c r="D1288" s="963" t="n"/>
      <c r="E1288" s="214" t="n"/>
      <c r="F1288" s="262" t="n">
        <v>142033</v>
      </c>
      <c r="G1288" s="263" t="inlineStr">
        <is>
          <t>Supporto con calamita tonda</t>
        </is>
      </c>
      <c r="H1288" s="264" t="n">
        <v>25</v>
      </c>
      <c r="I1288" s="265" t="n">
        <v>10.459</v>
      </c>
      <c r="J1288" s="214" t="n"/>
      <c r="K1288" s="208" t="n"/>
      <c r="L1288" s="424" t="n"/>
      <c r="M1288" s="961" t="n"/>
      <c r="N1288" s="214" t="n"/>
    </row>
    <row r="1289">
      <c r="A1289" s="207" t="n"/>
      <c r="B1289" s="209" t="n"/>
      <c r="C1289" s="207" t="n"/>
      <c r="D1289" s="963" t="n"/>
      <c r="E1289" s="214" t="n"/>
      <c r="F1289" s="262" t="n">
        <v>142034</v>
      </c>
      <c r="G1289" s="263" t="inlineStr">
        <is>
          <t>Supporto per broches con base calamitata</t>
        </is>
      </c>
      <c r="H1289" s="264" t="n">
        <v>25</v>
      </c>
      <c r="I1289" s="265" t="n">
        <v>3.678</v>
      </c>
      <c r="J1289" s="214" t="n"/>
      <c r="K1289" s="208" t="n"/>
      <c r="L1289" s="424" t="n"/>
      <c r="M1289" s="961" t="n"/>
      <c r="N1289" s="214" t="n"/>
    </row>
    <row r="1290">
      <c r="A1290" s="207" t="n"/>
      <c r="B1290" s="209" t="n"/>
      <c r="C1290" s="207" t="n"/>
      <c r="D1290" s="963" t="n"/>
      <c r="E1290" s="214" t="n"/>
      <c r="F1290" s="262" t="n">
        <v>142035</v>
      </c>
      <c r="G1290" s="263" t="inlineStr">
        <is>
          <t>Broche porta blister da incastrare per couponing</t>
        </is>
      </c>
      <c r="H1290" s="264" t="n">
        <v>1000</v>
      </c>
      <c r="I1290" s="265" t="n">
        <v>0.247</v>
      </c>
      <c r="J1290" s="214" t="n"/>
      <c r="K1290" s="208" t="n"/>
      <c r="L1290" s="424" t="n"/>
      <c r="M1290" s="961" t="n"/>
      <c r="N1290" s="214" t="n"/>
    </row>
    <row r="1291">
      <c r="A1291" s="207" t="n"/>
      <c r="B1291" s="209" t="n"/>
      <c r="C1291" s="207" t="n"/>
      <c r="D1291" s="963" t="n"/>
      <c r="E1291" s="214" t="n"/>
      <c r="F1291" s="262" t="n">
        <v>142036</v>
      </c>
      <c r="G1291" s="263" t="inlineStr">
        <is>
          <t>Broche per couponing adesiva</t>
        </is>
      </c>
      <c r="H1291" s="264" t="n">
        <v>1000</v>
      </c>
      <c r="I1291" s="265" t="n">
        <v>0.34</v>
      </c>
      <c r="J1291" s="214" t="n"/>
      <c r="K1291" s="208" t="n"/>
      <c r="L1291" s="424" t="n"/>
      <c r="M1291" s="961" t="n"/>
      <c r="N1291" s="214" t="n"/>
    </row>
    <row r="1292">
      <c r="A1292" s="207" t="n"/>
      <c r="B1292" s="209" t="n"/>
      <c r="C1292" s="207" t="n"/>
      <c r="D1292" s="963" t="n"/>
      <c r="E1292" s="214" t="n"/>
      <c r="F1292" s="262" t="n">
        <v>142038</v>
      </c>
      <c r="G1292" s="263" t="inlineStr">
        <is>
          <t>Broche in metallo con aggancio a corna di toro per couponing</t>
        </is>
      </c>
      <c r="H1292" s="264" t="n">
        <v>1000</v>
      </c>
      <c r="I1292" s="265" t="n">
        <v>0.449</v>
      </c>
      <c r="J1292" s="214" t="n"/>
      <c r="K1292" s="208" t="n"/>
      <c r="L1292" s="424" t="n"/>
      <c r="M1292" s="961" t="n"/>
      <c r="N1292" s="214" t="n"/>
    </row>
    <row r="1293">
      <c r="A1293" s="207" t="n"/>
      <c r="B1293" s="209" t="n"/>
      <c r="C1293" s="207" t="n"/>
      <c r="D1293" s="963" t="n"/>
      <c r="E1293" s="214" t="n"/>
      <c r="F1293" s="262" t="n">
        <v>142039</v>
      </c>
      <c r="G1293" s="263" t="inlineStr">
        <is>
          <t>Porta couponing adesivo</t>
        </is>
      </c>
      <c r="H1293" s="264" t="n">
        <v>1000</v>
      </c>
      <c r="I1293" s="265" t="n">
        <v>0.6840000000000001</v>
      </c>
      <c r="J1293" s="214" t="n"/>
      <c r="K1293" s="208" t="n"/>
      <c r="L1293" s="424" t="n"/>
      <c r="M1293" s="961" t="n"/>
      <c r="N1293" s="214" t="n"/>
    </row>
    <row r="1294">
      <c r="A1294" s="207" t="n"/>
      <c r="B1294" s="209" t="n"/>
      <c r="C1294" s="207" t="n"/>
      <c r="D1294" s="963" t="n"/>
      <c r="E1294" s="214" t="n"/>
      <c r="F1294" s="262" t="n">
        <v>142040</v>
      </c>
      <c r="G1294" s="263" t="inlineStr">
        <is>
          <t>Broche in plastica per occhiali bianca mm. 25</t>
        </is>
      </c>
      <c r="H1294" s="264" t="n">
        <v>1000</v>
      </c>
      <c r="I1294" s="265" t="n">
        <v>0.124</v>
      </c>
      <c r="J1294" s="214" t="n"/>
      <c r="K1294" s="208" t="n"/>
      <c r="L1294" s="424" t="n"/>
      <c r="M1294" s="961" t="n"/>
      <c r="N1294" s="214" t="n"/>
    </row>
    <row r="1295">
      <c r="A1295" s="207" t="n"/>
      <c r="B1295" s="209" t="n"/>
      <c r="C1295" s="207" t="n"/>
      <c r="D1295" s="963" t="n"/>
      <c r="E1295" s="214" t="n"/>
      <c r="F1295" s="262" t="n">
        <v>142041</v>
      </c>
      <c r="G1295" s="263" t="inlineStr">
        <is>
          <t>Broche in plastica per occhiali bianca mm. 75</t>
        </is>
      </c>
      <c r="H1295" s="264" t="n">
        <v>1000</v>
      </c>
      <c r="I1295" s="265" t="n">
        <v>0.132</v>
      </c>
      <c r="J1295" s="214" t="n"/>
      <c r="K1295" s="208" t="n"/>
      <c r="L1295" s="424" t="n"/>
      <c r="M1295" s="961" t="n"/>
      <c r="N1295" s="214" t="n"/>
    </row>
    <row r="1296">
      <c r="A1296" s="207" t="n"/>
      <c r="B1296" s="209" t="n"/>
      <c r="C1296" s="207" t="n"/>
      <c r="D1296" s="963" t="n"/>
      <c r="E1296" s="214" t="n"/>
      <c r="F1296" s="262" t="n">
        <v>142043</v>
      </c>
      <c r="G1296" s="263" t="inlineStr">
        <is>
          <t>Broche in plastica per occhiali trasparente mm. 25</t>
        </is>
      </c>
      <c r="H1296" s="264" t="n">
        <v>1000</v>
      </c>
      <c r="I1296" s="265" t="n">
        <v>0.162</v>
      </c>
      <c r="J1296" s="214" t="n"/>
      <c r="K1296" s="208" t="n"/>
      <c r="L1296" s="424" t="n"/>
      <c r="M1296" s="961" t="n"/>
      <c r="N1296" s="214" t="n"/>
    </row>
    <row r="1297">
      <c r="A1297" s="207" t="n"/>
      <c r="B1297" s="209" t="n"/>
      <c r="C1297" s="207" t="n"/>
      <c r="D1297" s="963" t="n"/>
      <c r="E1297" s="214" t="n"/>
      <c r="F1297" s="262" t="n">
        <v>142044</v>
      </c>
      <c r="G1297" s="263" t="inlineStr">
        <is>
          <t>Broche in plastica per occhiali trasparente mm. 75</t>
        </is>
      </c>
      <c r="H1297" s="264" t="n">
        <v>1000</v>
      </c>
      <c r="I1297" s="265" t="n">
        <v>0.157</v>
      </c>
      <c r="J1297" s="214" t="n"/>
      <c r="K1297" s="208" t="n"/>
      <c r="L1297" s="424" t="n"/>
      <c r="M1297" s="961" t="n"/>
      <c r="N1297" s="214" t="n"/>
    </row>
    <row r="1298">
      <c r="A1298" s="207" t="n"/>
      <c r="B1298" s="209" t="n"/>
      <c r="C1298" s="207" t="n"/>
      <c r="D1298" s="963" t="n"/>
      <c r="E1298" s="214" t="n"/>
      <c r="F1298" s="262" t="n">
        <v>142100</v>
      </c>
      <c r="G1298" s="263" t="inlineStr">
        <is>
          <t>Broche doppia in plastica ad inserimento automatico mm. 50 bianca porta etichett</t>
        </is>
      </c>
      <c r="H1298" s="264" t="n">
        <v>100</v>
      </c>
      <c r="I1298" s="265" t="n">
        <v>0.222</v>
      </c>
      <c r="J1298" s="214" t="n"/>
      <c r="K1298" s="208" t="n"/>
      <c r="L1298" s="424" t="n"/>
      <c r="M1298" s="961" t="n"/>
      <c r="N1298" s="214" t="n"/>
    </row>
    <row r="1299">
      <c r="A1299" s="207" t="n"/>
      <c r="B1299" s="209" t="n"/>
      <c r="C1299" s="207" t="n"/>
      <c r="D1299" s="963" t="n"/>
      <c r="E1299" s="214" t="n"/>
      <c r="F1299" s="262" t="n">
        <v>142101</v>
      </c>
      <c r="G1299" s="263" t="inlineStr">
        <is>
          <t>Broche doppia in plastica ad inserimento automatico mm. 100 bianca porta etichet</t>
        </is>
      </c>
      <c r="H1299" s="264" t="n">
        <v>100</v>
      </c>
      <c r="I1299" s="265" t="n">
        <v>0.243</v>
      </c>
      <c r="J1299" s="214" t="n"/>
      <c r="K1299" s="208" t="n"/>
      <c r="L1299" s="424" t="n"/>
      <c r="M1299" s="961" t="n"/>
      <c r="N1299" s="214" t="n"/>
    </row>
    <row r="1300">
      <c r="A1300" s="207" t="n"/>
      <c r="B1300" s="209" t="n"/>
      <c r="C1300" s="207" t="n"/>
      <c r="D1300" s="963" t="n"/>
      <c r="E1300" s="214" t="n"/>
      <c r="F1300" s="262" t="n">
        <v>142102</v>
      </c>
      <c r="G1300" s="263" t="inlineStr">
        <is>
          <t>Broche doppia in plastica ad inserimento automatico mm. 150 bianca porta etichet</t>
        </is>
      </c>
      <c r="H1300" s="264" t="n">
        <v>100</v>
      </c>
      <c r="I1300" s="265" t="n">
        <v>0.267</v>
      </c>
      <c r="J1300" s="214" t="n"/>
      <c r="K1300" s="208" t="n"/>
      <c r="L1300" s="424" t="n"/>
      <c r="M1300" s="961" t="n"/>
      <c r="N1300" s="214" t="n"/>
    </row>
    <row r="1301">
      <c r="A1301" s="207" t="n"/>
      <c r="B1301" s="209" t="n"/>
      <c r="C1301" s="207" t="n"/>
      <c r="D1301" s="963" t="n"/>
      <c r="E1301" s="214" t="n"/>
      <c r="F1301" s="262" t="n">
        <v>142103</v>
      </c>
      <c r="G1301" s="263" t="inlineStr">
        <is>
          <t>Broche doppia in plastica ad inserimento automatico mm. 200 bianca porta etichet</t>
        </is>
      </c>
      <c r="H1301" s="264" t="n">
        <v>100</v>
      </c>
      <c r="I1301" s="265" t="n">
        <v>0.3</v>
      </c>
      <c r="J1301" s="214" t="n"/>
      <c r="K1301" s="208" t="n"/>
      <c r="L1301" s="424" t="n"/>
      <c r="M1301" s="961" t="n"/>
      <c r="N1301" s="214" t="n"/>
    </row>
    <row r="1302">
      <c r="A1302" s="207" t="n"/>
      <c r="B1302" s="209" t="n"/>
      <c r="C1302" s="207" t="n"/>
      <c r="D1302" s="963" t="n"/>
      <c r="E1302" s="214" t="n"/>
      <c r="F1302" s="262" t="n">
        <v>142104</v>
      </c>
      <c r="G1302" s="263" t="inlineStr">
        <is>
          <t>Broche doppia in plastica ad inserimento automatico mm. 250 bianca porta etichet</t>
        </is>
      </c>
      <c r="H1302" s="264" t="n">
        <v>100</v>
      </c>
      <c r="I1302" s="265" t="n">
        <v>0.33</v>
      </c>
      <c r="J1302" s="214" t="n"/>
      <c r="K1302" s="208" t="n"/>
      <c r="L1302" s="424" t="n"/>
      <c r="M1302" s="961" t="n"/>
      <c r="N1302" s="214" t="n"/>
    </row>
    <row r="1303">
      <c r="A1303" s="207" t="n"/>
      <c r="B1303" s="209" t="n"/>
      <c r="C1303" s="207" t="n"/>
      <c r="D1303" s="963" t="n"/>
      <c r="E1303" s="214" t="n"/>
      <c r="F1303" s="262" t="n">
        <v>142110</v>
      </c>
      <c r="G1303" s="263" t="inlineStr">
        <is>
          <t>Broche doppia in plastica ad inserimento automatico mm. 50 nera porta etichette c</t>
        </is>
      </c>
      <c r="H1303" s="264" t="n">
        <v>100</v>
      </c>
      <c r="I1303" s="265" t="n">
        <v>0.244</v>
      </c>
      <c r="J1303" s="214" t="n"/>
      <c r="K1303" s="208" t="n"/>
      <c r="L1303" s="424" t="n"/>
      <c r="M1303" s="961" t="n"/>
      <c r="N1303" s="214" t="n"/>
    </row>
    <row r="1304">
      <c r="A1304" s="207" t="n"/>
      <c r="B1304" s="209" t="n"/>
      <c r="C1304" s="207" t="n"/>
      <c r="D1304" s="963" t="n"/>
      <c r="E1304" s="214" t="n"/>
      <c r="F1304" s="262" t="n">
        <v>142111</v>
      </c>
      <c r="G1304" s="263" t="inlineStr">
        <is>
          <t>Broche doppia in plastica ad inserimento automatico mm. 100 nera porta etichette</t>
        </is>
      </c>
      <c r="H1304" s="264" t="n">
        <v>100</v>
      </c>
      <c r="I1304" s="265" t="n">
        <v>0.268</v>
      </c>
      <c r="J1304" s="214" t="n"/>
      <c r="K1304" s="208" t="n"/>
      <c r="L1304" s="424" t="n"/>
      <c r="M1304" s="961" t="n"/>
      <c r="N1304" s="214" t="n"/>
    </row>
    <row r="1305">
      <c r="A1305" s="207" t="n"/>
      <c r="B1305" s="209" t="n"/>
      <c r="C1305" s="207" t="n"/>
      <c r="D1305" s="963" t="n"/>
      <c r="E1305" s="214" t="n"/>
      <c r="F1305" s="262" t="n">
        <v>142112</v>
      </c>
      <c r="G1305" s="263" t="inlineStr">
        <is>
          <t>Broche doppia in plastica ad inserimento automatico mm. 150 nera porta etichette</t>
        </is>
      </c>
      <c r="H1305" s="264" t="n">
        <v>100</v>
      </c>
      <c r="I1305" s="265" t="n">
        <v>0.294</v>
      </c>
      <c r="J1305" s="214" t="n"/>
      <c r="K1305" s="208" t="n"/>
      <c r="L1305" s="424" t="n"/>
      <c r="M1305" s="961" t="n"/>
      <c r="N1305" s="214" t="n"/>
    </row>
    <row r="1306">
      <c r="A1306" s="207" t="n"/>
      <c r="B1306" s="209" t="n"/>
      <c r="C1306" s="207" t="n"/>
      <c r="D1306" s="963" t="n"/>
      <c r="E1306" s="214" t="n"/>
      <c r="F1306" s="262" t="n">
        <v>142113</v>
      </c>
      <c r="G1306" s="263" t="inlineStr">
        <is>
          <t>Broche doppia in plastica ad inserimento automatico mm. 200 nera porta etichette</t>
        </is>
      </c>
      <c r="H1306" s="264" t="n">
        <v>100</v>
      </c>
      <c r="I1306" s="265" t="n">
        <v>0.33</v>
      </c>
      <c r="J1306" s="214" t="n"/>
      <c r="K1306" s="208" t="n"/>
      <c r="L1306" s="424" t="n"/>
      <c r="M1306" s="961" t="n"/>
      <c r="N1306" s="214" t="n"/>
    </row>
    <row r="1307">
      <c r="A1307" s="207" t="n"/>
      <c r="B1307" s="209" t="n"/>
      <c r="C1307" s="207" t="n"/>
      <c r="D1307" s="963" t="n"/>
      <c r="E1307" s="214" t="n"/>
      <c r="F1307" s="262" t="n">
        <v>142114</v>
      </c>
      <c r="G1307" s="263" t="inlineStr">
        <is>
          <t>Broche doppia in plastica ad inserimento automatico mm. 250 nera porta etichette</t>
        </is>
      </c>
      <c r="H1307" s="264" t="n">
        <v>100</v>
      </c>
      <c r="I1307" s="265" t="n">
        <v>0.363</v>
      </c>
      <c r="J1307" s="214" t="n"/>
      <c r="K1307" s="208" t="n"/>
      <c r="L1307" s="424" t="n"/>
      <c r="M1307" s="961" t="n"/>
      <c r="N1307" s="214" t="n"/>
    </row>
    <row r="1308">
      <c r="A1308" s="207" t="n"/>
      <c r="B1308" s="209" t="n"/>
      <c r="C1308" s="207" t="n"/>
      <c r="D1308" s="963" t="n"/>
      <c r="E1308" s="214" t="n"/>
      <c r="F1308" s="262" t="n">
        <v>142120</v>
      </c>
      <c r="G1308" s="263" t="inlineStr">
        <is>
          <t>Broche doppia in plastica ad inserimento automatico mm. 50 trasparente porta etic</t>
        </is>
      </c>
      <c r="H1308" s="264" t="n">
        <v>100</v>
      </c>
      <c r="I1308" s="265" t="n">
        <v>0.289</v>
      </c>
      <c r="J1308" s="214" t="n"/>
      <c r="K1308" s="208" t="n"/>
      <c r="L1308" s="424" t="n"/>
      <c r="M1308" s="961" t="n"/>
      <c r="N1308" s="214" t="n"/>
    </row>
    <row r="1309">
      <c r="A1309" s="207" t="n"/>
      <c r="B1309" s="209" t="n"/>
      <c r="C1309" s="207" t="n"/>
      <c r="D1309" s="963" t="n"/>
      <c r="E1309" s="214" t="n"/>
      <c r="F1309" s="262" t="n">
        <v>142121</v>
      </c>
      <c r="G1309" s="263" t="inlineStr">
        <is>
          <t>Broche doppia in plastica ad inserimento automatico mm. 100 trasparente porta et</t>
        </is>
      </c>
      <c r="H1309" s="264" t="n">
        <v>100</v>
      </c>
      <c r="I1309" s="265" t="n">
        <v>0.316</v>
      </c>
      <c r="J1309" s="214" t="n"/>
      <c r="K1309" s="208" t="n"/>
      <c r="L1309" s="424" t="n"/>
      <c r="M1309" s="961" t="n"/>
      <c r="N1309" s="214" t="n"/>
    </row>
    <row r="1310">
      <c r="A1310" s="207" t="n"/>
      <c r="B1310" s="209" t="n"/>
      <c r="C1310" s="207" t="n"/>
      <c r="D1310" s="963" t="n"/>
      <c r="E1310" s="214" t="n"/>
      <c r="F1310" s="262" t="n">
        <v>142122</v>
      </c>
      <c r="G1310" s="263" t="inlineStr">
        <is>
          <t>Broche doppia in plastica ad inserimento automatico mm. 150 trasparente porta et</t>
        </is>
      </c>
      <c r="H1310" s="264" t="n">
        <v>100</v>
      </c>
      <c r="I1310" s="265" t="n">
        <v>0.347</v>
      </c>
      <c r="J1310" s="214" t="n"/>
      <c r="K1310" s="208" t="n"/>
      <c r="L1310" s="424" t="n"/>
      <c r="M1310" s="961" t="n"/>
      <c r="N1310" s="214" t="n"/>
    </row>
    <row r="1311">
      <c r="A1311" s="207" t="n"/>
      <c r="B1311" s="209" t="n"/>
      <c r="C1311" s="207" t="n"/>
      <c r="D1311" s="963" t="n"/>
      <c r="E1311" s="214" t="n"/>
      <c r="F1311" s="262" t="n">
        <v>142123</v>
      </c>
      <c r="G1311" s="263" t="inlineStr">
        <is>
          <t>Broche doppia in plastica ad inserimento automatico mm. 200 trasparente porta et</t>
        </is>
      </c>
      <c r="H1311" s="264" t="n">
        <v>100</v>
      </c>
      <c r="I1311" s="265" t="n">
        <v>0.389</v>
      </c>
      <c r="J1311" s="214" t="n"/>
      <c r="K1311" s="208" t="n"/>
      <c r="L1311" s="424" t="n"/>
      <c r="M1311" s="961" t="n"/>
      <c r="N1311" s="214" t="n"/>
    </row>
    <row r="1312">
      <c r="A1312" s="207" t="n"/>
      <c r="B1312" s="209" t="n"/>
      <c r="C1312" s="207" t="n"/>
      <c r="D1312" s="963" t="n"/>
      <c r="E1312" s="214" t="n"/>
      <c r="F1312" s="262" t="n">
        <v>142124</v>
      </c>
      <c r="G1312" s="263" t="inlineStr">
        <is>
          <t>Broche doppia in plastica ad inserimento automatico mm. 250 trasparente porta et</t>
        </is>
      </c>
      <c r="H1312" s="264" t="n">
        <v>100</v>
      </c>
      <c r="I1312" s="265" t="n">
        <v>0.429</v>
      </c>
      <c r="J1312" s="214" t="n"/>
      <c r="K1312" s="208" t="n"/>
      <c r="L1312" s="424" t="n"/>
      <c r="M1312" s="961" t="n"/>
      <c r="N1312" s="214" t="n"/>
    </row>
    <row r="1313">
      <c r="A1313" s="207" t="n"/>
      <c r="B1313" s="209" t="n"/>
      <c r="C1313" s="207" t="n"/>
      <c r="D1313" s="963" t="n"/>
      <c r="E1313" s="214" t="n"/>
      <c r="F1313" s="262" t="n">
        <v>142130</v>
      </c>
      <c r="G1313" s="263" t="inlineStr">
        <is>
          <t>Broche doppia in plastica per pannelli forati mm. 50 bianca con aggancio porta eti</t>
        </is>
      </c>
      <c r="H1313" s="264" t="n">
        <v>100</v>
      </c>
      <c r="I1313" s="265" t="n">
        <v>0.146</v>
      </c>
      <c r="J1313" s="214" t="n"/>
      <c r="K1313" s="208" t="n"/>
      <c r="L1313" s="424" t="n"/>
      <c r="M1313" s="961" t="n"/>
      <c r="N1313" s="214" t="n"/>
    </row>
    <row r="1314">
      <c r="A1314" s="207" t="n"/>
      <c r="B1314" s="209" t="n"/>
      <c r="C1314" s="207" t="n"/>
      <c r="D1314" s="963" t="n"/>
      <c r="E1314" s="214" t="n"/>
      <c r="F1314" s="262" t="n">
        <v>142131</v>
      </c>
      <c r="G1314" s="263" t="inlineStr">
        <is>
          <t>Broche doppia in plastica per pannelli forati mm. 100 bianca con aggancio porta e</t>
        </is>
      </c>
      <c r="H1314" s="264" t="n">
        <v>100</v>
      </c>
      <c r="I1314" s="265" t="n">
        <v>0.172</v>
      </c>
      <c r="J1314" s="214" t="n"/>
      <c r="K1314" s="208" t="n"/>
      <c r="L1314" s="424" t="n"/>
      <c r="M1314" s="961" t="n"/>
      <c r="N1314" s="214" t="n"/>
    </row>
    <row r="1315">
      <c r="A1315" s="207" t="n"/>
      <c r="B1315" s="209" t="n"/>
      <c r="C1315" s="207" t="n"/>
      <c r="D1315" s="963" t="n"/>
      <c r="E1315" s="214" t="n"/>
      <c r="F1315" s="262" t="n">
        <v>142132</v>
      </c>
      <c r="G1315" s="263" t="inlineStr">
        <is>
          <t>Broche doppia in plastica per pannelli forati mm. 150 bianca con aggancio porta e</t>
        </is>
      </c>
      <c r="H1315" s="264" t="n">
        <v>100</v>
      </c>
      <c r="I1315" s="265" t="n">
        <v>0.2</v>
      </c>
      <c r="J1315" s="214" t="n"/>
      <c r="K1315" s="208" t="n"/>
      <c r="L1315" s="424" t="n"/>
      <c r="M1315" s="961" t="n"/>
      <c r="N1315" s="214" t="n"/>
    </row>
    <row r="1316">
      <c r="A1316" s="207" t="n"/>
      <c r="B1316" s="209" t="n"/>
      <c r="C1316" s="207" t="n"/>
      <c r="D1316" s="963" t="n"/>
      <c r="E1316" s="214" t="n"/>
      <c r="F1316" s="262" t="n">
        <v>142133</v>
      </c>
      <c r="G1316" s="263" t="inlineStr">
        <is>
          <t>Broche doppia in plastica per pannelli forati mm. 200 bianca con aggancio porta e</t>
        </is>
      </c>
      <c r="H1316" s="264" t="n">
        <v>100</v>
      </c>
      <c r="I1316" s="265" t="n">
        <v>0.239</v>
      </c>
      <c r="J1316" s="214" t="n"/>
      <c r="K1316" s="208" t="n"/>
      <c r="L1316" s="424" t="n"/>
      <c r="M1316" s="961" t="n"/>
      <c r="N1316" s="214" t="n"/>
    </row>
    <row r="1317">
      <c r="A1317" s="207" t="n"/>
      <c r="B1317" s="209" t="n"/>
      <c r="C1317" s="207" t="n"/>
      <c r="D1317" s="963" t="n"/>
      <c r="E1317" s="214" t="n"/>
      <c r="F1317" s="262" t="n">
        <v>142134</v>
      </c>
      <c r="G1317" s="263" t="inlineStr">
        <is>
          <t>Broche doppia in plastica per pannelli forati mm. 250 bianca con aggancio porta e</t>
        </is>
      </c>
      <c r="H1317" s="264" t="n">
        <v>100</v>
      </c>
      <c r="I1317" s="265" t="n">
        <v>0.257</v>
      </c>
      <c r="J1317" s="214" t="n"/>
      <c r="K1317" s="208" t="n"/>
      <c r="L1317" s="424" t="n"/>
      <c r="M1317" s="961" t="n"/>
      <c r="N1317" s="214" t="n"/>
    </row>
    <row r="1318">
      <c r="A1318" s="207" t="n"/>
      <c r="B1318" s="209" t="n"/>
      <c r="C1318" s="207" t="n"/>
      <c r="D1318" s="963" t="n"/>
      <c r="E1318" s="214" t="n"/>
      <c r="F1318" s="262" t="n">
        <v>142140</v>
      </c>
      <c r="G1318" s="263" t="inlineStr">
        <is>
          <t>Broche doppia in plastica per pannelli forati mm. 50 nera con aggancio porta etich</t>
        </is>
      </c>
      <c r="H1318" s="264" t="n">
        <v>100</v>
      </c>
      <c r="I1318" s="265" t="n">
        <v>0.16</v>
      </c>
      <c r="J1318" s="214" t="n"/>
      <c r="K1318" s="208" t="n"/>
      <c r="L1318" s="424" t="n"/>
      <c r="M1318" s="961" t="n"/>
      <c r="N1318" s="214" t="n"/>
    </row>
    <row r="1319">
      <c r="A1319" s="207" t="n"/>
      <c r="B1319" s="209" t="n"/>
      <c r="C1319" s="207" t="n"/>
      <c r="D1319" s="963" t="n"/>
      <c r="E1319" s="214" t="n"/>
      <c r="F1319" s="262" t="n">
        <v>142141</v>
      </c>
      <c r="G1319" s="263" t="inlineStr">
        <is>
          <t>Broche doppia in plastica per pannelli forati mm. 100 nera con aggancio porta etic</t>
        </is>
      </c>
      <c r="H1319" s="264" t="n">
        <v>100</v>
      </c>
      <c r="I1319" s="265" t="n">
        <v>0.19</v>
      </c>
      <c r="J1319" s="214" t="n"/>
      <c r="K1319" s="208" t="n"/>
      <c r="L1319" s="424" t="n"/>
      <c r="M1319" s="961" t="n"/>
      <c r="N1319" s="214" t="n"/>
    </row>
    <row r="1320">
      <c r="A1320" s="207" t="n"/>
      <c r="B1320" s="209" t="n"/>
      <c r="C1320" s="207" t="n"/>
      <c r="D1320" s="963" t="n"/>
      <c r="E1320" s="214" t="n"/>
      <c r="F1320" s="262" t="n">
        <v>142142</v>
      </c>
      <c r="G1320" s="263" t="inlineStr">
        <is>
          <t>Broche doppia in plastica per pannelli forati mm. 150 nera con aggancio porta etic</t>
        </is>
      </c>
      <c r="H1320" s="264" t="n">
        <v>100</v>
      </c>
      <c r="I1320" s="265" t="n">
        <v>0.22</v>
      </c>
      <c r="J1320" s="214" t="n"/>
      <c r="K1320" s="208" t="n"/>
      <c r="L1320" s="424" t="n"/>
      <c r="M1320" s="961" t="n"/>
      <c r="N1320" s="214" t="n"/>
    </row>
    <row r="1321">
      <c r="A1321" s="207" t="n"/>
      <c r="B1321" s="209" t="n"/>
      <c r="C1321" s="207" t="n"/>
      <c r="D1321" s="963" t="n"/>
      <c r="E1321" s="214" t="n"/>
      <c r="F1321" s="262" t="n">
        <v>142143</v>
      </c>
      <c r="G1321" s="263" t="inlineStr">
        <is>
          <t>Broche doppia in plastica per pannelli forati mm. 200 nera con aggancio porta etic</t>
        </is>
      </c>
      <c r="H1321" s="264" t="n">
        <v>100</v>
      </c>
      <c r="I1321" s="265" t="n">
        <v>0.262</v>
      </c>
      <c r="J1321" s="214" t="n"/>
      <c r="K1321" s="208" t="n"/>
      <c r="L1321" s="424" t="n"/>
      <c r="M1321" s="961" t="n"/>
      <c r="N1321" s="214" t="n"/>
    </row>
    <row r="1322">
      <c r="A1322" s="207" t="n"/>
      <c r="B1322" s="209" t="n"/>
      <c r="C1322" s="207" t="n"/>
      <c r="D1322" s="963" t="n"/>
      <c r="E1322" s="214" t="n"/>
      <c r="F1322" s="262" t="n">
        <v>142144</v>
      </c>
      <c r="G1322" s="263" t="inlineStr">
        <is>
          <t>Broche doppia in plastica per pannelli forati mm. 250 nera con aggancio porta etic</t>
        </is>
      </c>
      <c r="H1322" s="264" t="n">
        <v>100</v>
      </c>
      <c r="I1322" s="265" t="n">
        <v>0.282</v>
      </c>
      <c r="J1322" s="214" t="n"/>
      <c r="K1322" s="208" t="n"/>
      <c r="L1322" s="424" t="n"/>
      <c r="M1322" s="961" t="n"/>
      <c r="N1322" s="214" t="n"/>
    </row>
    <row r="1323">
      <c r="A1323" s="207" t="n"/>
      <c r="B1323" s="209" t="n"/>
      <c r="C1323" s="207" t="n"/>
      <c r="D1323" s="963" t="n"/>
      <c r="E1323" s="214" t="n"/>
      <c r="F1323" s="262" t="n">
        <v>142150</v>
      </c>
      <c r="G1323" s="263" t="inlineStr">
        <is>
          <t>Broche doppia in plastica per pannelli forati mm. 50 trasparente con aggancio port</t>
        </is>
      </c>
      <c r="H1323" s="264" t="n">
        <v>100</v>
      </c>
      <c r="I1323" s="265" t="n">
        <v>0.189</v>
      </c>
      <c r="J1323" s="214" t="n"/>
      <c r="K1323" s="208" t="n"/>
      <c r="L1323" s="424" t="n"/>
      <c r="M1323" s="961" t="n"/>
      <c r="N1323" s="214" t="n"/>
    </row>
    <row r="1324">
      <c r="A1324" s="207" t="n"/>
      <c r="B1324" s="209" t="n"/>
      <c r="C1324" s="207" t="n"/>
      <c r="D1324" s="963" t="n"/>
      <c r="E1324" s="214" t="n"/>
      <c r="F1324" s="262" t="n">
        <v>142151</v>
      </c>
      <c r="G1324" s="263" t="inlineStr">
        <is>
          <t>Broche doppia in plastica per pannelli forati mm. 100 trasparente con aggancio po</t>
        </is>
      </c>
      <c r="H1324" s="264" t="n">
        <v>100</v>
      </c>
      <c r="I1324" s="265" t="n">
        <v>0.224</v>
      </c>
      <c r="J1324" s="214" t="n"/>
      <c r="K1324" s="208" t="n"/>
      <c r="L1324" s="424" t="n"/>
      <c r="M1324" s="961" t="n"/>
      <c r="N1324" s="214" t="n"/>
    </row>
    <row r="1325">
      <c r="A1325" s="207" t="n"/>
      <c r="B1325" s="209" t="n"/>
      <c r="C1325" s="207" t="n"/>
      <c r="D1325" s="963" t="n"/>
      <c r="E1325" s="214" t="n"/>
      <c r="F1325" s="262" t="n">
        <v>142152</v>
      </c>
      <c r="G1325" s="263" t="inlineStr">
        <is>
          <t>Broche doppia in plastica per pannelli forati mm. 150 trasparente con aggancio po</t>
        </is>
      </c>
      <c r="H1325" s="264" t="n">
        <v>100</v>
      </c>
      <c r="I1325" s="265" t="n">
        <v>0.26</v>
      </c>
      <c r="J1325" s="214" t="n"/>
      <c r="K1325" s="208" t="n"/>
      <c r="L1325" s="424" t="n"/>
      <c r="M1325" s="961" t="n"/>
      <c r="N1325" s="214" t="n"/>
    </row>
    <row r="1326">
      <c r="A1326" s="207" t="n"/>
      <c r="B1326" s="209" t="n"/>
      <c r="C1326" s="207" t="n"/>
      <c r="D1326" s="963" t="n"/>
      <c r="E1326" s="214" t="n"/>
      <c r="F1326" s="262" t="n">
        <v>142153</v>
      </c>
      <c r="G1326" s="263" t="inlineStr">
        <is>
          <t>Broche doppia in plastica per pannelli forati mm. 200 trasparente con aggancio po</t>
        </is>
      </c>
      <c r="H1326" s="264" t="n">
        <v>100</v>
      </c>
      <c r="I1326" s="265" t="n">
        <v>0.31</v>
      </c>
      <c r="J1326" s="214" t="n"/>
      <c r="K1326" s="208" t="n"/>
      <c r="L1326" s="424" t="n"/>
      <c r="M1326" s="961" t="n"/>
      <c r="N1326" s="214" t="n"/>
    </row>
    <row r="1327">
      <c r="A1327" s="207" t="n"/>
      <c r="B1327" s="209" t="n"/>
      <c r="C1327" s="207" t="n"/>
      <c r="D1327" s="963" t="n"/>
      <c r="E1327" s="214" t="n"/>
      <c r="F1327" s="262" t="n">
        <v>142154</v>
      </c>
      <c r="G1327" s="263" t="inlineStr">
        <is>
          <t>Broche doppia in plastica per pannelli forati mm. 250 trasparente con aggancio po</t>
        </is>
      </c>
      <c r="H1327" s="264" t="n">
        <v>100</v>
      </c>
      <c r="I1327" s="265" t="n">
        <v>0.334</v>
      </c>
      <c r="J1327" s="214" t="n"/>
      <c r="K1327" s="208" t="n"/>
      <c r="L1327" s="424" t="n"/>
      <c r="M1327" s="961" t="n"/>
      <c r="N1327" s="214" t="n"/>
    </row>
    <row r="1328">
      <c r="A1328" s="207" t="n"/>
      <c r="B1328" s="209" t="n"/>
      <c r="C1328" s="207" t="n"/>
      <c r="D1328" s="963" t="n"/>
      <c r="E1328" s="214" t="n"/>
      <c r="F1328" s="262" t="n">
        <v>142160</v>
      </c>
      <c r="G1328" s="263" t="inlineStr">
        <is>
          <t>Broche universale doppia mm. 50 bianca con aggancio porta etichette corto</t>
        </is>
      </c>
      <c r="H1328" s="264" t="n">
        <v>100</v>
      </c>
      <c r="I1328" s="265" t="n">
        <v>0.168</v>
      </c>
      <c r="J1328" s="214" t="n"/>
      <c r="K1328" s="208" t="n"/>
      <c r="L1328" s="424" t="n"/>
      <c r="M1328" s="961" t="n"/>
      <c r="N1328" s="214" t="n"/>
    </row>
    <row r="1329">
      <c r="A1329" s="207" t="n"/>
      <c r="B1329" s="209" t="n"/>
      <c r="C1329" s="207" t="n"/>
      <c r="D1329" s="963" t="n"/>
      <c r="E1329" s="214" t="n"/>
      <c r="F1329" s="262" t="n">
        <v>142161</v>
      </c>
      <c r="G1329" s="263" t="inlineStr">
        <is>
          <t>Broche universale doppia mm. 100 bianca con aggancio porta etichette corto</t>
        </is>
      </c>
      <c r="H1329" s="264" t="n">
        <v>100</v>
      </c>
      <c r="I1329" s="265" t="n">
        <v>0.255</v>
      </c>
      <c r="J1329" s="214" t="n"/>
      <c r="K1329" s="208" t="n"/>
      <c r="L1329" s="424" t="n"/>
      <c r="M1329" s="961" t="n"/>
      <c r="N1329" s="214" t="n"/>
    </row>
    <row r="1330">
      <c r="A1330" s="207" t="n"/>
      <c r="B1330" s="209" t="n"/>
      <c r="C1330" s="207" t="n"/>
      <c r="D1330" s="963" t="n"/>
      <c r="E1330" s="214" t="n"/>
      <c r="F1330" s="262" t="n">
        <v>142162</v>
      </c>
      <c r="G1330" s="263" t="inlineStr">
        <is>
          <t>Broche universale doppia mm. 150 bianca con aggancio porta etichette corto</t>
        </is>
      </c>
      <c r="H1330" s="264" t="n">
        <v>100</v>
      </c>
      <c r="I1330" s="265" t="n">
        <v>0.284</v>
      </c>
      <c r="J1330" s="214" t="n"/>
      <c r="K1330" s="208" t="n"/>
      <c r="L1330" s="424" t="n"/>
      <c r="M1330" s="961" t="n"/>
      <c r="N1330" s="214" t="n"/>
    </row>
    <row r="1331">
      <c r="A1331" s="207" t="n"/>
      <c r="B1331" s="209" t="n"/>
      <c r="C1331" s="207" t="n"/>
      <c r="D1331" s="963" t="n"/>
      <c r="E1331" s="214" t="n"/>
      <c r="F1331" s="262" t="n">
        <v>142163</v>
      </c>
      <c r="G1331" s="263" t="inlineStr">
        <is>
          <t>Broche universale doppia mm. 200 bianca con aggancio porta etichette corto</t>
        </is>
      </c>
      <c r="H1331" s="264" t="n">
        <v>100</v>
      </c>
      <c r="I1331" s="265" t="n">
        <v>0.304</v>
      </c>
      <c r="J1331" s="214" t="n"/>
      <c r="K1331" s="208" t="n"/>
      <c r="L1331" s="424" t="n"/>
      <c r="M1331" s="961" t="n"/>
      <c r="N1331" s="214" t="n"/>
    </row>
    <row r="1332">
      <c r="A1332" s="207" t="n"/>
      <c r="B1332" s="209" t="n"/>
      <c r="C1332" s="207" t="n"/>
      <c r="D1332" s="963" t="n"/>
      <c r="E1332" s="214" t="n"/>
      <c r="F1332" s="262" t="n">
        <v>142164</v>
      </c>
      <c r="G1332" s="263" t="inlineStr">
        <is>
          <t>Broche universale doppia mm. 250 bianca con aggancio porta etichette corto</t>
        </is>
      </c>
      <c r="H1332" s="264" t="n">
        <v>100</v>
      </c>
      <c r="I1332" s="265" t="n">
        <v>0.336</v>
      </c>
      <c r="J1332" s="214" t="n"/>
      <c r="K1332" s="208" t="n"/>
      <c r="L1332" s="424" t="n"/>
      <c r="M1332" s="961" t="n"/>
      <c r="N1332" s="214" t="n"/>
    </row>
    <row r="1333">
      <c r="A1333" s="207" t="n"/>
      <c r="B1333" s="209" t="n"/>
      <c r="C1333" s="207" t="n"/>
      <c r="D1333" s="963" t="n"/>
      <c r="E1333" s="214" t="n"/>
      <c r="F1333" s="262" t="n">
        <v>142170</v>
      </c>
      <c r="G1333" s="263" t="inlineStr">
        <is>
          <t>Broche universale doppia mm. 50 nera con aggancio porta etichette corto</t>
        </is>
      </c>
      <c r="H1333" s="264" t="n">
        <v>100</v>
      </c>
      <c r="I1333" s="265" t="n">
        <v>0.253</v>
      </c>
      <c r="J1333" s="214" t="n"/>
      <c r="K1333" s="208" t="n"/>
      <c r="L1333" s="424" t="n"/>
      <c r="M1333" s="961" t="n"/>
      <c r="N1333" s="214" t="n"/>
    </row>
    <row r="1334">
      <c r="A1334" s="207" t="n"/>
      <c r="B1334" s="209" t="n"/>
      <c r="C1334" s="207" t="n"/>
      <c r="D1334" s="963" t="n"/>
      <c r="E1334" s="214" t="n"/>
      <c r="F1334" s="262" t="n">
        <v>142171</v>
      </c>
      <c r="G1334" s="263" t="inlineStr">
        <is>
          <t>Broche universale doppia mm. 100 nera con aggancio porta etichette corto</t>
        </is>
      </c>
      <c r="H1334" s="264" t="n">
        <v>100</v>
      </c>
      <c r="I1334" s="265" t="n">
        <v>0.28</v>
      </c>
      <c r="J1334" s="214" t="n"/>
      <c r="K1334" s="208" t="n"/>
      <c r="L1334" s="424" t="n"/>
      <c r="M1334" s="961" t="n"/>
      <c r="N1334" s="214" t="n"/>
    </row>
    <row r="1335">
      <c r="A1335" s="207" t="n"/>
      <c r="B1335" s="209" t="n"/>
      <c r="C1335" s="207" t="n"/>
      <c r="D1335" s="963" t="n"/>
      <c r="E1335" s="214" t="n"/>
      <c r="F1335" s="262" t="n">
        <v>142172</v>
      </c>
      <c r="G1335" s="263" t="inlineStr">
        <is>
          <t>Broche universale doppia mm. 150 nera con aggancio porta etichette corto</t>
        </is>
      </c>
      <c r="H1335" s="264" t="n">
        <v>100</v>
      </c>
      <c r="I1335" s="265" t="n">
        <v>0.312</v>
      </c>
      <c r="J1335" s="214" t="n"/>
      <c r="K1335" s="208" t="n"/>
      <c r="L1335" s="424" t="n"/>
      <c r="M1335" s="961" t="n"/>
      <c r="N1335" s="214" t="n"/>
    </row>
    <row r="1336">
      <c r="A1336" s="207" t="n"/>
      <c r="B1336" s="209" t="n"/>
      <c r="C1336" s="207" t="n"/>
      <c r="D1336" s="963" t="n"/>
      <c r="E1336" s="214" t="n"/>
      <c r="F1336" s="262" t="n">
        <v>142173</v>
      </c>
      <c r="G1336" s="263" t="inlineStr">
        <is>
          <t>Broche universale doppia mm. 200 nera con aggancio porta etichette corto</t>
        </is>
      </c>
      <c r="H1336" s="264" t="n">
        <v>100</v>
      </c>
      <c r="I1336" s="265" t="n">
        <v>0.334</v>
      </c>
      <c r="J1336" s="214" t="n"/>
      <c r="K1336" s="208" t="n"/>
      <c r="L1336" s="424" t="n"/>
      <c r="M1336" s="961" t="n"/>
      <c r="N1336" s="214" t="n"/>
    </row>
    <row r="1337">
      <c r="A1337" s="207" t="n"/>
      <c r="B1337" s="209" t="n"/>
      <c r="C1337" s="207" t="n"/>
      <c r="D1337" s="963" t="n"/>
      <c r="E1337" s="214" t="n"/>
      <c r="F1337" s="262" t="n">
        <v>142174</v>
      </c>
      <c r="G1337" s="263" t="inlineStr">
        <is>
          <t>Broche universale doppia mm. 250 nera con aggancio porta etichette corto</t>
        </is>
      </c>
      <c r="H1337" s="264" t="n">
        <v>100</v>
      </c>
      <c r="I1337" s="265" t="n">
        <v>0.37</v>
      </c>
      <c r="J1337" s="214" t="n"/>
      <c r="K1337" s="208" t="n"/>
      <c r="L1337" s="424" t="n"/>
      <c r="M1337" s="961" t="n"/>
      <c r="N1337" s="214" t="n"/>
    </row>
    <row r="1338">
      <c r="A1338" s="207" t="n"/>
      <c r="B1338" s="209" t="n"/>
      <c r="C1338" s="207" t="n"/>
      <c r="D1338" s="963" t="n"/>
      <c r="E1338" s="214" t="n"/>
      <c r="F1338" s="262" t="n">
        <v>142180</v>
      </c>
      <c r="G1338" s="263" t="inlineStr">
        <is>
          <t>Broche universale doppia mm. 50 trasparente con aggancio porta etichette corto</t>
        </is>
      </c>
      <c r="H1338" s="264" t="n">
        <v>100</v>
      </c>
      <c r="I1338" s="265" t="n">
        <v>0.218</v>
      </c>
      <c r="J1338" s="214" t="n"/>
      <c r="K1338" s="208" t="n"/>
      <c r="L1338" s="424" t="n"/>
      <c r="M1338" s="961" t="n"/>
      <c r="N1338" s="214" t="n"/>
    </row>
    <row r="1339">
      <c r="A1339" s="207" t="n"/>
      <c r="B1339" s="209" t="n"/>
      <c r="C1339" s="207" t="n"/>
      <c r="D1339" s="963" t="n"/>
      <c r="E1339" s="214" t="n"/>
      <c r="F1339" s="262" t="n">
        <v>142181</v>
      </c>
      <c r="G1339" s="263" t="inlineStr">
        <is>
          <t>Broche universale doppia mm. 100 trasparente con aggancio porta etichette corto</t>
        </is>
      </c>
      <c r="H1339" s="264" t="n">
        <v>100</v>
      </c>
      <c r="I1339" s="265" t="n">
        <v>0.331</v>
      </c>
      <c r="J1339" s="214" t="n"/>
      <c r="K1339" s="208" t="n"/>
      <c r="L1339" s="424" t="n"/>
      <c r="M1339" s="961" t="n"/>
      <c r="N1339" s="214" t="n"/>
    </row>
    <row r="1340">
      <c r="A1340" s="207" t="n"/>
      <c r="B1340" s="209" t="n"/>
      <c r="C1340" s="207" t="n"/>
      <c r="D1340" s="963" t="n"/>
      <c r="E1340" s="214" t="n"/>
      <c r="F1340" s="262" t="n">
        <v>142182</v>
      </c>
      <c r="G1340" s="263" t="inlineStr">
        <is>
          <t>Broche universale doppia mm. 150 trasparente con aggancio porta etichette corto</t>
        </is>
      </c>
      <c r="H1340" s="264" t="n">
        <v>100</v>
      </c>
      <c r="I1340" s="265" t="n">
        <v>0.369</v>
      </c>
      <c r="J1340" s="214" t="n"/>
      <c r="K1340" s="208" t="n"/>
      <c r="L1340" s="424" t="n"/>
      <c r="M1340" s="961" t="n"/>
      <c r="N1340" s="214" t="n"/>
    </row>
    <row r="1341">
      <c r="A1341" s="207" t="n"/>
      <c r="B1341" s="209" t="n"/>
      <c r="C1341" s="207" t="n"/>
      <c r="D1341" s="963" t="n"/>
      <c r="E1341" s="214" t="n"/>
      <c r="F1341" s="262" t="n">
        <v>142183</v>
      </c>
      <c r="G1341" s="263" t="inlineStr">
        <is>
          <t>Broche universale doppia mm. 200 trasparente con aggancio porta etichette corto</t>
        </is>
      </c>
      <c r="H1341" s="264" t="n">
        <v>100</v>
      </c>
      <c r="I1341" s="265" t="n">
        <v>0.395</v>
      </c>
      <c r="J1341" s="214" t="n"/>
      <c r="K1341" s="208" t="n"/>
      <c r="L1341" s="424" t="n"/>
      <c r="M1341" s="961" t="n"/>
      <c r="N1341" s="214" t="n"/>
    </row>
    <row r="1342">
      <c r="A1342" s="207" t="n"/>
      <c r="B1342" s="209" t="n"/>
      <c r="C1342" s="207" t="n"/>
      <c r="D1342" s="963" t="n"/>
      <c r="E1342" s="214" t="n"/>
      <c r="F1342" s="262" t="n">
        <v>142184</v>
      </c>
      <c r="G1342" s="263" t="inlineStr">
        <is>
          <t>Broche universale doppia mm. 250 trasparente con aggancio porta etichette corto</t>
        </is>
      </c>
      <c r="H1342" s="264" t="n">
        <v>100</v>
      </c>
      <c r="I1342" s="265" t="n">
        <v>0.437</v>
      </c>
      <c r="J1342" s="214" t="n"/>
      <c r="K1342" s="208" t="n"/>
      <c r="L1342" s="424" t="n"/>
      <c r="M1342" s="961" t="n"/>
      <c r="N1342" s="214" t="n"/>
    </row>
    <row r="1343">
      <c r="A1343" s="207" t="n"/>
      <c r="B1343" s="209" t="n"/>
      <c r="C1343" s="207" t="n"/>
      <c r="D1343" s="963" t="n"/>
      <c r="E1343" s="214" t="n"/>
      <c r="F1343" s="262" t="n">
        <v>142190</v>
      </c>
      <c r="G1343" s="263" t="inlineStr">
        <is>
          <t>Broche doppia con placca antirimozione bianca mm. 50 con aggancio porta etiche</t>
        </is>
      </c>
      <c r="H1343" s="264" t="n">
        <v>100</v>
      </c>
      <c r="I1343" s="265" t="n">
        <v>0.223</v>
      </c>
      <c r="J1343" s="214" t="n"/>
      <c r="K1343" s="208" t="n"/>
      <c r="L1343" s="424" t="n"/>
      <c r="M1343" s="961" t="n"/>
      <c r="N1343" s="214" t="n"/>
    </row>
    <row r="1344">
      <c r="A1344" s="207" t="n"/>
      <c r="B1344" s="209" t="n"/>
      <c r="C1344" s="207" t="n"/>
      <c r="D1344" s="963" t="n"/>
      <c r="E1344" s="214" t="n"/>
      <c r="F1344" s="262" t="n">
        <v>142191</v>
      </c>
      <c r="G1344" s="263" t="inlineStr">
        <is>
          <t>Broche doppia con placca antirimozione bianca mm. 100 con aggancio porta etich</t>
        </is>
      </c>
      <c r="H1344" s="264" t="n">
        <v>100</v>
      </c>
      <c r="I1344" s="265" t="n">
        <v>0.247</v>
      </c>
      <c r="J1344" s="214" t="n"/>
      <c r="K1344" s="208" t="n"/>
      <c r="L1344" s="424" t="n"/>
      <c r="M1344" s="961" t="n"/>
      <c r="N1344" s="214" t="n"/>
    </row>
    <row r="1345">
      <c r="A1345" s="207" t="n"/>
      <c r="B1345" s="209" t="n"/>
      <c r="C1345" s="207" t="n"/>
      <c r="D1345" s="963" t="n"/>
      <c r="E1345" s="214" t="n"/>
      <c r="F1345" s="262" t="n">
        <v>142192</v>
      </c>
      <c r="G1345" s="263" t="inlineStr">
        <is>
          <t>Broche doppia con placca antirimozione bianca mm. 150 con aggancio porta etich</t>
        </is>
      </c>
      <c r="H1345" s="264" t="n">
        <v>100</v>
      </c>
      <c r="I1345" s="265" t="n">
        <v>0.274</v>
      </c>
      <c r="J1345" s="214" t="n"/>
      <c r="K1345" s="208" t="n"/>
      <c r="L1345" s="424" t="n"/>
      <c r="M1345" s="961" t="n"/>
      <c r="N1345" s="214" t="n"/>
    </row>
    <row r="1346">
      <c r="A1346" s="207" t="n"/>
      <c r="B1346" s="209" t="n"/>
      <c r="C1346" s="207" t="n"/>
      <c r="D1346" s="963" t="n"/>
      <c r="E1346" s="214" t="n"/>
      <c r="F1346" s="262" t="n">
        <v>142193</v>
      </c>
      <c r="G1346" s="263" t="inlineStr">
        <is>
          <t>Broche doppia con placca antirimozione bianca mm. 200 con aggancio porta etich</t>
        </is>
      </c>
      <c r="H1346" s="264" t="n">
        <v>100</v>
      </c>
      <c r="I1346" s="265" t="n">
        <v>0.302</v>
      </c>
      <c r="J1346" s="214" t="n"/>
      <c r="K1346" s="208" t="n"/>
      <c r="L1346" s="424" t="n"/>
      <c r="M1346" s="961" t="n"/>
      <c r="N1346" s="214" t="n"/>
    </row>
    <row r="1347">
      <c r="A1347" s="207" t="n"/>
      <c r="B1347" s="209" t="n"/>
      <c r="C1347" s="207" t="n"/>
      <c r="D1347" s="963" t="n"/>
      <c r="E1347" s="214" t="n"/>
      <c r="F1347" s="262" t="n">
        <v>142194</v>
      </c>
      <c r="G1347" s="263" t="inlineStr">
        <is>
          <t>Broche doppia con placca antirimozione bianca mm. 250 con aggancio porta etich</t>
        </is>
      </c>
      <c r="H1347" s="264" t="n">
        <v>100</v>
      </c>
      <c r="I1347" s="265" t="n">
        <v>0.33</v>
      </c>
      <c r="J1347" s="214" t="n"/>
      <c r="K1347" s="208" t="n"/>
      <c r="L1347" s="424" t="n"/>
      <c r="M1347" s="961" t="n"/>
      <c r="N1347" s="214" t="n"/>
    </row>
    <row r="1348">
      <c r="A1348" s="207" t="n"/>
      <c r="B1348" s="209" t="n"/>
      <c r="C1348" s="207" t="n"/>
      <c r="D1348" s="963" t="n"/>
      <c r="E1348" s="214" t="n"/>
      <c r="F1348" s="262" t="n">
        <v>142200</v>
      </c>
      <c r="G1348" s="263" t="inlineStr">
        <is>
          <t>Broche doppia con placca antirimozione nera mm. 50 con aggancio porta etichette</t>
        </is>
      </c>
      <c r="H1348" s="264" t="n">
        <v>100</v>
      </c>
      <c r="I1348" s="265" t="n">
        <v>0.245</v>
      </c>
      <c r="J1348" s="214" t="n"/>
      <c r="K1348" s="208" t="n"/>
      <c r="L1348" s="424" t="n"/>
      <c r="M1348" s="961" t="n"/>
      <c r="N1348" s="214" t="n"/>
    </row>
    <row r="1349">
      <c r="A1349" s="207" t="n"/>
      <c r="B1349" s="209" t="n"/>
      <c r="C1349" s="207" t="n"/>
      <c r="D1349" s="963" t="n"/>
      <c r="E1349" s="214" t="n"/>
      <c r="F1349" s="262" t="n">
        <v>142201</v>
      </c>
      <c r="G1349" s="263" t="inlineStr">
        <is>
          <t>Broche doppia con placca antirimozione nera mm. 100 con aggancio porta etichet</t>
        </is>
      </c>
      <c r="H1349" s="264" t="n">
        <v>100</v>
      </c>
      <c r="I1349" s="265" t="n">
        <v>0.272</v>
      </c>
      <c r="J1349" s="214" t="n"/>
      <c r="K1349" s="208" t="n"/>
      <c r="L1349" s="424" t="n"/>
      <c r="M1349" s="961" t="n"/>
      <c r="N1349" s="214" t="n"/>
    </row>
    <row r="1350">
      <c r="A1350" s="207" t="n"/>
      <c r="B1350" s="209" t="n"/>
      <c r="C1350" s="207" t="n"/>
      <c r="D1350" s="963" t="n"/>
      <c r="E1350" s="214" t="n"/>
      <c r="F1350" s="262" t="n">
        <v>142202</v>
      </c>
      <c r="G1350" s="263" t="inlineStr">
        <is>
          <t>Broche doppia con placca antirimozione nera mm. 150 con aggancio porta etichet</t>
        </is>
      </c>
      <c r="H1350" s="264" t="n">
        <v>100</v>
      </c>
      <c r="I1350" s="265" t="n">
        <v>0.301</v>
      </c>
      <c r="J1350" s="214" t="n"/>
      <c r="K1350" s="208" t="n"/>
      <c r="L1350" s="424" t="n"/>
      <c r="M1350" s="961" t="n"/>
      <c r="N1350" s="214" t="n"/>
    </row>
    <row r="1351">
      <c r="A1351" s="207" t="n"/>
      <c r="B1351" s="209" t="n"/>
      <c r="C1351" s="207" t="n"/>
      <c r="D1351" s="963" t="n"/>
      <c r="E1351" s="214" t="n"/>
      <c r="F1351" s="262" t="n">
        <v>142203</v>
      </c>
      <c r="G1351" s="263" t="inlineStr">
        <is>
          <t>Broche doppia con placca antirimozione nera mm. 200 con aggancio porta etichet</t>
        </is>
      </c>
      <c r="H1351" s="264" t="n">
        <v>100</v>
      </c>
      <c r="I1351" s="265" t="n">
        <v>0.332</v>
      </c>
      <c r="J1351" s="214" t="n"/>
      <c r="K1351" s="208" t="n"/>
      <c r="L1351" s="424" t="n"/>
      <c r="M1351" s="961" t="n"/>
      <c r="N1351" s="214" t="n"/>
    </row>
    <row r="1352">
      <c r="A1352" s="207" t="n"/>
      <c r="B1352" s="209" t="n"/>
      <c r="C1352" s="207" t="n"/>
      <c r="D1352" s="963" t="n"/>
      <c r="E1352" s="214" t="n"/>
      <c r="F1352" s="262" t="n">
        <v>142204</v>
      </c>
      <c r="G1352" s="263" t="inlineStr">
        <is>
          <t>Broche doppia con placca antirimozione nera mm. 250 con aggancio porta etichet</t>
        </is>
      </c>
      <c r="H1352" s="264" t="n">
        <v>100</v>
      </c>
      <c r="I1352" s="265" t="n">
        <v>0.363</v>
      </c>
      <c r="J1352" s="214" t="n"/>
      <c r="K1352" s="208" t="n"/>
      <c r="L1352" s="424" t="n"/>
      <c r="M1352" s="961" t="n"/>
      <c r="N1352" s="214" t="n"/>
    </row>
    <row r="1353">
      <c r="A1353" s="207" t="n"/>
      <c r="B1353" s="209" t="n"/>
      <c r="C1353" s="207" t="n"/>
      <c r="D1353" s="963" t="n"/>
      <c r="E1353" s="214" t="n"/>
      <c r="F1353" s="262" t="n">
        <v>142210</v>
      </c>
      <c r="G1353" s="263" t="inlineStr">
        <is>
          <t>Broche doppia con placca antirimozione trasparente mm. 50 con aggancio porta e</t>
        </is>
      </c>
      <c r="H1353" s="264" t="n">
        <v>100</v>
      </c>
      <c r="I1353" s="265" t="n">
        <v>0.29</v>
      </c>
      <c r="J1353" s="214" t="n"/>
      <c r="K1353" s="208" t="n"/>
      <c r="L1353" s="424" t="n"/>
      <c r="M1353" s="961" t="n"/>
      <c r="N1353" s="214" t="n"/>
    </row>
    <row r="1354">
      <c r="A1354" s="207" t="n"/>
      <c r="B1354" s="209" t="n"/>
      <c r="C1354" s="207" t="n"/>
      <c r="D1354" s="963" t="n"/>
      <c r="E1354" s="214" t="n"/>
      <c r="F1354" s="262" t="n">
        <v>142211</v>
      </c>
      <c r="G1354" s="263" t="inlineStr">
        <is>
          <t>Broche doppia con placca antirimozione trasparente mm. 100 con aggancio porta</t>
        </is>
      </c>
      <c r="H1354" s="264" t="n">
        <v>100</v>
      </c>
      <c r="I1354" s="265" t="n">
        <v>0.321</v>
      </c>
      <c r="J1354" s="214" t="n"/>
      <c r="K1354" s="208" t="n"/>
      <c r="L1354" s="424" t="n"/>
      <c r="M1354" s="961" t="n"/>
      <c r="N1354" s="214" t="n"/>
    </row>
    <row r="1355">
      <c r="A1355" s="207" t="n"/>
      <c r="B1355" s="209" t="n"/>
      <c r="C1355" s="207" t="n"/>
      <c r="D1355" s="963" t="n"/>
      <c r="E1355" s="214" t="n"/>
      <c r="F1355" s="262" t="n">
        <v>142212</v>
      </c>
      <c r="G1355" s="263" t="inlineStr">
        <is>
          <t>Broche doppia con placca antirimozione trasparente mm. 150 con aggancio porta</t>
        </is>
      </c>
      <c r="H1355" s="264" t="n">
        <v>100</v>
      </c>
      <c r="I1355" s="265" t="n">
        <v>0.356</v>
      </c>
      <c r="J1355" s="214" t="n"/>
      <c r="K1355" s="208" t="n"/>
      <c r="L1355" s="424" t="n"/>
      <c r="M1355" s="961" t="n"/>
      <c r="N1355" s="214" t="n"/>
    </row>
    <row r="1356">
      <c r="A1356" s="207" t="n"/>
      <c r="B1356" s="209" t="n"/>
      <c r="C1356" s="207" t="n"/>
      <c r="D1356" s="963" t="n"/>
      <c r="E1356" s="214" t="n"/>
      <c r="F1356" s="262" t="n">
        <v>142213</v>
      </c>
      <c r="G1356" s="263" t="inlineStr">
        <is>
          <t>Broche doppia con placca antirimozione trasparente mm. 200 con aggancio porta</t>
        </is>
      </c>
      <c r="H1356" s="264" t="n">
        <v>100</v>
      </c>
      <c r="I1356" s="265" t="n">
        <v>0.393</v>
      </c>
      <c r="J1356" s="214" t="n"/>
      <c r="K1356" s="208" t="n"/>
      <c r="L1356" s="424" t="n"/>
      <c r="M1356" s="961" t="n"/>
      <c r="N1356" s="214" t="n"/>
    </row>
    <row r="1357">
      <c r="A1357" s="207" t="n"/>
      <c r="B1357" s="209" t="n"/>
      <c r="C1357" s="207" t="n"/>
      <c r="D1357" s="963" t="n"/>
      <c r="E1357" s="214" t="n"/>
      <c r="F1357" s="262" t="n">
        <v>142214</v>
      </c>
      <c r="G1357" s="263" t="inlineStr">
        <is>
          <t>Broche doppia con placca antirimozione trasparente mm. 250 con aggancio porta</t>
        </is>
      </c>
      <c r="H1357" s="264" t="n">
        <v>100</v>
      </c>
      <c r="I1357" s="265" t="n">
        <v>0.43</v>
      </c>
      <c r="J1357" s="214" t="n"/>
      <c r="K1357" s="208" t="n"/>
      <c r="L1357" s="424" t="n"/>
      <c r="M1357" s="961" t="n"/>
      <c r="N1357" s="214" t="n"/>
    </row>
    <row r="1358">
      <c r="A1358" s="207" t="n"/>
      <c r="B1358" s="209" t="n"/>
      <c r="C1358" s="207" t="n"/>
      <c r="D1358" s="963" t="n"/>
      <c r="E1358" s="214" t="n"/>
      <c r="F1358" s="262" t="n">
        <v>142222</v>
      </c>
      <c r="G1358" s="263" t="inlineStr">
        <is>
          <t>Broche doppia in plastica per pannelli dogati mm. 150 bianca con aggancio porta</t>
        </is>
      </c>
      <c r="H1358" s="264" t="n">
        <v>100</v>
      </c>
      <c r="I1358" s="265" t="n">
        <v>0.219</v>
      </c>
      <c r="J1358" s="214" t="n"/>
      <c r="K1358" s="208" t="n"/>
      <c r="L1358" s="424" t="n"/>
      <c r="M1358" s="961" t="n"/>
      <c r="N1358" s="214" t="n"/>
    </row>
    <row r="1359">
      <c r="A1359" s="207" t="n"/>
      <c r="B1359" s="209" t="n"/>
      <c r="C1359" s="207" t="n"/>
      <c r="D1359" s="963" t="n"/>
      <c r="E1359" s="214" t="n"/>
      <c r="F1359" s="262" t="n">
        <v>142223</v>
      </c>
      <c r="G1359" s="263" t="inlineStr">
        <is>
          <t>Broche doppia in plastica per pannelli dogati mm. 200 bianca con aggancio porta</t>
        </is>
      </c>
      <c r="H1359" s="264" t="n">
        <v>100</v>
      </c>
      <c r="I1359" s="265" t="n">
        <v>0.251</v>
      </c>
      <c r="J1359" s="214" t="n"/>
      <c r="K1359" s="208" t="n"/>
      <c r="L1359" s="424" t="n"/>
      <c r="M1359" s="961" t="n"/>
      <c r="N1359" s="214" t="n"/>
    </row>
    <row r="1360">
      <c r="A1360" s="207" t="n"/>
      <c r="B1360" s="209" t="n"/>
      <c r="C1360" s="207" t="n"/>
      <c r="D1360" s="963" t="n"/>
      <c r="E1360" s="214" t="n"/>
      <c r="F1360" s="262" t="n">
        <v>142232</v>
      </c>
      <c r="G1360" s="263" t="inlineStr">
        <is>
          <t>Broche doppia in plastica per pannelli dogati mm. 150 nera con aggancio porta eti</t>
        </is>
      </c>
      <c r="H1360" s="264" t="n">
        <v>100</v>
      </c>
      <c r="I1360" s="265" t="n">
        <v>0.241</v>
      </c>
      <c r="J1360" s="214" t="n"/>
      <c r="K1360" s="208" t="n"/>
      <c r="L1360" s="424" t="n"/>
      <c r="M1360" s="961" t="n"/>
      <c r="N1360" s="214" t="n"/>
    </row>
    <row r="1361">
      <c r="A1361" s="207" t="n"/>
      <c r="B1361" s="209" t="n"/>
      <c r="C1361" s="207" t="n"/>
      <c r="D1361" s="963" t="n"/>
      <c r="E1361" s="214" t="n"/>
      <c r="F1361" s="262" t="n">
        <v>142233</v>
      </c>
      <c r="G1361" s="263" t="inlineStr">
        <is>
          <t>Broche doppia in plastica per pannelli dogati mm. 200 nera con aggancio porta eti</t>
        </is>
      </c>
      <c r="H1361" s="264" t="n">
        <v>100</v>
      </c>
      <c r="I1361" s="265" t="n">
        <v>0.276</v>
      </c>
      <c r="J1361" s="214" t="n"/>
      <c r="K1361" s="208" t="n"/>
      <c r="L1361" s="424" t="n"/>
      <c r="M1361" s="961" t="n"/>
      <c r="N1361" s="214" t="n"/>
    </row>
    <row r="1362">
      <c r="A1362" s="207" t="n"/>
      <c r="B1362" s="209" t="n"/>
      <c r="C1362" s="207" t="n"/>
      <c r="D1362" s="963" t="n"/>
      <c r="E1362" s="214" t="n"/>
      <c r="F1362" s="262" t="n">
        <v>142242</v>
      </c>
      <c r="G1362" s="263" t="inlineStr">
        <is>
          <t>Broche doppia in plastica per pannelli dogati mm. 150 trasparente con aggancio p</t>
        </is>
      </c>
      <c r="H1362" s="264" t="n">
        <v>100</v>
      </c>
      <c r="I1362" s="265" t="n">
        <v>0.285</v>
      </c>
      <c r="J1362" s="214" t="n"/>
      <c r="K1362" s="208" t="n"/>
      <c r="L1362" s="424" t="n"/>
      <c r="M1362" s="961" t="n"/>
      <c r="N1362" s="214" t="n"/>
    </row>
    <row r="1363">
      <c r="A1363" s="207" t="n"/>
      <c r="B1363" s="209" t="n"/>
      <c r="C1363" s="207" t="n"/>
      <c r="D1363" s="963" t="n"/>
      <c r="E1363" s="214" t="n"/>
      <c r="F1363" s="262" t="n">
        <v>142243</v>
      </c>
      <c r="G1363" s="263" t="inlineStr">
        <is>
          <t>Broche doppia in plastica per pannelli dogati mm. 200 trasparente con aggancio p</t>
        </is>
      </c>
      <c r="H1363" s="264" t="n">
        <v>100</v>
      </c>
      <c r="I1363" s="265" t="n">
        <v>0.326</v>
      </c>
      <c r="J1363" s="214" t="n"/>
      <c r="K1363" s="208" t="n"/>
      <c r="L1363" s="424" t="n"/>
      <c r="M1363" s="961" t="n"/>
      <c r="N1363" s="214" t="n"/>
    </row>
    <row r="1364">
      <c r="A1364" s="207" t="n"/>
      <c r="B1364" s="209" t="n"/>
      <c r="C1364" s="207" t="n"/>
      <c r="D1364" s="963" t="n"/>
      <c r="E1364" s="214" t="n"/>
      <c r="F1364" s="262" t="n">
        <v>142300</v>
      </c>
      <c r="G1364" s="263" t="inlineStr">
        <is>
          <t>Broche doppia in plastica ad inserimento automatico mm. 50 bianca porta etichett</t>
        </is>
      </c>
      <c r="H1364" s="264" t="n">
        <v>100</v>
      </c>
      <c r="I1364" s="265" t="n">
        <v>0.233</v>
      </c>
      <c r="J1364" s="214" t="n"/>
      <c r="K1364" s="208" t="n"/>
      <c r="L1364" s="424" t="n"/>
      <c r="M1364" s="961" t="n"/>
      <c r="N1364" s="214" t="n"/>
    </row>
    <row r="1365">
      <c r="A1365" s="207" t="n"/>
      <c r="B1365" s="209" t="n"/>
      <c r="C1365" s="207" t="n"/>
      <c r="D1365" s="963" t="n"/>
      <c r="E1365" s="214" t="n"/>
      <c r="F1365" s="262" t="n">
        <v>142301</v>
      </c>
      <c r="G1365" s="263" t="inlineStr">
        <is>
          <t>Broche doppia in plastica ad inserimento automatico mm. 100 bianca porta etichet</t>
        </is>
      </c>
      <c r="H1365" s="264" t="n">
        <v>100</v>
      </c>
      <c r="I1365" s="265" t="n">
        <v>0.254</v>
      </c>
      <c r="J1365" s="214" t="n"/>
      <c r="K1365" s="208" t="n"/>
      <c r="L1365" s="424" t="n"/>
      <c r="M1365" s="961" t="n"/>
      <c r="N1365" s="214" t="n"/>
    </row>
    <row r="1366">
      <c r="A1366" s="207" t="n"/>
      <c r="B1366" s="209" t="n"/>
      <c r="C1366" s="207" t="n"/>
      <c r="D1366" s="963" t="n"/>
      <c r="E1366" s="214" t="n"/>
      <c r="F1366" s="262" t="n">
        <v>142302</v>
      </c>
      <c r="G1366" s="263" t="inlineStr">
        <is>
          <t>Broche doppia in plastica ad inserimento automatico mm. 150 bianca porta etichet</t>
        </is>
      </c>
      <c r="H1366" s="264" t="n">
        <v>100</v>
      </c>
      <c r="I1366" s="265" t="n">
        <v>0.279</v>
      </c>
      <c r="J1366" s="214" t="n"/>
      <c r="K1366" s="208" t="n"/>
      <c r="L1366" s="424" t="n"/>
      <c r="M1366" s="961" t="n"/>
      <c r="N1366" s="214" t="n"/>
    </row>
    <row r="1367">
      <c r="A1367" s="207" t="n"/>
      <c r="B1367" s="209" t="n"/>
      <c r="C1367" s="207" t="n"/>
      <c r="D1367" s="963" t="n"/>
      <c r="E1367" s="214" t="n"/>
      <c r="F1367" s="262" t="n">
        <v>142303</v>
      </c>
      <c r="G1367" s="263" t="inlineStr">
        <is>
          <t>Broche doppia in plastica ad inserimento automatico mm. 200 bianca porta etichet</t>
        </is>
      </c>
      <c r="H1367" s="264" t="n">
        <v>100</v>
      </c>
      <c r="I1367" s="265" t="n">
        <v>0.31</v>
      </c>
      <c r="J1367" s="214" t="n"/>
      <c r="K1367" s="208" t="n"/>
      <c r="L1367" s="424" t="n"/>
      <c r="M1367" s="961" t="n"/>
      <c r="N1367" s="214" t="n"/>
    </row>
    <row r="1368">
      <c r="A1368" s="207" t="n"/>
      <c r="B1368" s="209" t="n"/>
      <c r="C1368" s="207" t="n"/>
      <c r="D1368" s="963" t="n"/>
      <c r="E1368" s="214" t="n"/>
      <c r="F1368" s="262" t="n">
        <v>142304</v>
      </c>
      <c r="G1368" s="263" t="inlineStr">
        <is>
          <t>Broche doppia in plastica ad inserimento automatico mm. 250 bianca porta etichet</t>
        </is>
      </c>
      <c r="H1368" s="264" t="n">
        <v>100</v>
      </c>
      <c r="I1368" s="265" t="n">
        <v>0.345</v>
      </c>
      <c r="J1368" s="214" t="n"/>
      <c r="K1368" s="208" t="n"/>
      <c r="L1368" s="424" t="n"/>
      <c r="M1368" s="961" t="n"/>
      <c r="N1368" s="214" t="n"/>
    </row>
    <row r="1369">
      <c r="A1369" s="207" t="n"/>
      <c r="B1369" s="209" t="n"/>
      <c r="C1369" s="207" t="n"/>
      <c r="D1369" s="963" t="n"/>
      <c r="E1369" s="214" t="n"/>
      <c r="F1369" s="262" t="n">
        <v>142310</v>
      </c>
      <c r="G1369" s="263" t="inlineStr">
        <is>
          <t>Broche doppia in plastica ad inserimento automatico mm. 50 nera porta etichette l</t>
        </is>
      </c>
      <c r="H1369" s="264" t="n">
        <v>100</v>
      </c>
      <c r="I1369" s="265" t="n">
        <v>0.257</v>
      </c>
      <c r="J1369" s="214" t="n"/>
      <c r="K1369" s="208" t="n"/>
      <c r="L1369" s="424" t="n"/>
      <c r="M1369" s="961" t="n"/>
      <c r="N1369" s="214" t="n"/>
    </row>
    <row r="1370">
      <c r="A1370" s="207" t="n"/>
      <c r="B1370" s="209" t="n"/>
      <c r="C1370" s="207" t="n"/>
      <c r="D1370" s="963" t="n"/>
      <c r="E1370" s="214" t="n"/>
      <c r="F1370" s="262" t="n">
        <v>142311</v>
      </c>
      <c r="G1370" s="263" t="inlineStr">
        <is>
          <t>Broche doppia in plastica ad inserimento automatico mm. 100 nera porta etichette</t>
        </is>
      </c>
      <c r="H1370" s="264" t="n">
        <v>100</v>
      </c>
      <c r="I1370" s="265" t="n">
        <v>0.279</v>
      </c>
      <c r="J1370" s="214" t="n"/>
      <c r="K1370" s="208" t="n"/>
      <c r="L1370" s="424" t="n"/>
      <c r="M1370" s="961" t="n"/>
      <c r="N1370" s="214" t="n"/>
    </row>
    <row r="1371">
      <c r="A1371" s="207" t="n"/>
      <c r="B1371" s="209" t="n"/>
      <c r="C1371" s="207" t="n"/>
      <c r="D1371" s="963" t="n"/>
      <c r="E1371" s="214" t="n"/>
      <c r="F1371" s="262" t="n">
        <v>142312</v>
      </c>
      <c r="G1371" s="263" t="inlineStr">
        <is>
          <t>Broche doppia in plastica ad inserimento automatico mm. 150 nera porta etichette</t>
        </is>
      </c>
      <c r="H1371" s="264" t="n">
        <v>100</v>
      </c>
      <c r="I1371" s="265" t="n">
        <v>0.307</v>
      </c>
      <c r="J1371" s="214" t="n"/>
      <c r="K1371" s="208" t="n"/>
      <c r="L1371" s="424" t="n"/>
      <c r="M1371" s="961" t="n"/>
      <c r="N1371" s="214" t="n"/>
    </row>
    <row r="1372">
      <c r="A1372" s="207" t="n"/>
      <c r="B1372" s="209" t="n"/>
      <c r="C1372" s="207" t="n"/>
      <c r="D1372" s="963" t="n"/>
      <c r="E1372" s="214" t="n"/>
      <c r="F1372" s="262" t="n">
        <v>142313</v>
      </c>
      <c r="G1372" s="263" t="inlineStr">
        <is>
          <t>Broche doppia in plastica ad inserimento automatico mm. 200 nera porta etichette</t>
        </is>
      </c>
      <c r="H1372" s="264" t="n">
        <v>100</v>
      </c>
      <c r="I1372" s="265" t="n">
        <v>0.341</v>
      </c>
      <c r="J1372" s="214" t="n"/>
      <c r="K1372" s="208" t="n"/>
      <c r="L1372" s="424" t="n"/>
      <c r="M1372" s="961" t="n"/>
      <c r="N1372" s="214" t="n"/>
    </row>
    <row r="1373">
      <c r="A1373" s="207" t="n"/>
      <c r="B1373" s="209" t="n"/>
      <c r="C1373" s="207" t="n"/>
      <c r="D1373" s="963" t="n"/>
      <c r="E1373" s="214" t="n"/>
      <c r="F1373" s="262" t="n">
        <v>142314</v>
      </c>
      <c r="G1373" s="263" t="inlineStr">
        <is>
          <t>Broche doppia in plastica ad inserimento automatico mm. 250 nera porta etichette</t>
        </is>
      </c>
      <c r="H1373" s="264" t="n">
        <v>100</v>
      </c>
      <c r="I1373" s="265" t="n">
        <v>0.379</v>
      </c>
      <c r="J1373" s="214" t="n"/>
      <c r="K1373" s="208" t="n"/>
      <c r="L1373" s="424" t="n"/>
      <c r="M1373" s="961" t="n"/>
      <c r="N1373" s="214" t="n"/>
    </row>
    <row r="1374">
      <c r="A1374" s="207" t="n"/>
      <c r="B1374" s="209" t="n"/>
      <c r="C1374" s="207" t="n"/>
      <c r="D1374" s="963" t="n"/>
      <c r="E1374" s="214" t="n"/>
      <c r="F1374" s="262" t="n">
        <v>142320</v>
      </c>
      <c r="G1374" s="263" t="inlineStr">
        <is>
          <t>Broche doppia in plastica ad inserimento automatico mm. 50 trasparente porta etic</t>
        </is>
      </c>
      <c r="H1374" s="264" t="n">
        <v>100</v>
      </c>
      <c r="I1374" s="265" t="n">
        <v>0.303</v>
      </c>
      <c r="J1374" s="214" t="n"/>
      <c r="K1374" s="208" t="n"/>
      <c r="L1374" s="424" t="n"/>
      <c r="M1374" s="961" t="n"/>
      <c r="N1374" s="214" t="n"/>
    </row>
    <row r="1375">
      <c r="A1375" s="207" t="n"/>
      <c r="B1375" s="209" t="n"/>
      <c r="C1375" s="207" t="n"/>
      <c r="D1375" s="963" t="n"/>
      <c r="E1375" s="214" t="n"/>
      <c r="F1375" s="262" t="n">
        <v>142321</v>
      </c>
      <c r="G1375" s="263" t="inlineStr">
        <is>
          <t>Broche doppia in plastica ad inserimento automatico mm. 100 trasparente porta et</t>
        </is>
      </c>
      <c r="H1375" s="264" t="n">
        <v>100</v>
      </c>
      <c r="I1375" s="265" t="n">
        <v>0.33</v>
      </c>
      <c r="J1375" s="214" t="n"/>
      <c r="K1375" s="208" t="n"/>
      <c r="L1375" s="424" t="n"/>
      <c r="M1375" s="961" t="n"/>
      <c r="N1375" s="214" t="n"/>
    </row>
    <row r="1376">
      <c r="A1376" s="207" t="n"/>
      <c r="B1376" s="209" t="n"/>
      <c r="C1376" s="207" t="n"/>
      <c r="D1376" s="963" t="n"/>
      <c r="E1376" s="214" t="n"/>
      <c r="F1376" s="262" t="n">
        <v>142322</v>
      </c>
      <c r="G1376" s="263" t="inlineStr">
        <is>
          <t>Broche doppia in plastica ad inserimento automatico mm. 150 trasparente porta et</t>
        </is>
      </c>
      <c r="H1376" s="264" t="n">
        <v>100</v>
      </c>
      <c r="I1376" s="265" t="n">
        <v>0.363</v>
      </c>
      <c r="J1376" s="214" t="n"/>
      <c r="K1376" s="208" t="n"/>
      <c r="L1376" s="424" t="n"/>
      <c r="M1376" s="961" t="n"/>
      <c r="N1376" s="214" t="n"/>
    </row>
    <row r="1377">
      <c r="A1377" s="207" t="n"/>
      <c r="B1377" s="209" t="n"/>
      <c r="C1377" s="207" t="n"/>
      <c r="D1377" s="963" t="n"/>
      <c r="E1377" s="214" t="n"/>
      <c r="F1377" s="262" t="n">
        <v>142323</v>
      </c>
      <c r="G1377" s="263" t="inlineStr">
        <is>
          <t>Broche doppia in plastica ad inserimento automatico mm. 200 trasparente porta et</t>
        </is>
      </c>
      <c r="H1377" s="264" t="n">
        <v>100</v>
      </c>
      <c r="I1377" s="265" t="n">
        <v>0.403</v>
      </c>
      <c r="J1377" s="214" t="n"/>
      <c r="K1377" s="208" t="n"/>
      <c r="L1377" s="424" t="n"/>
      <c r="M1377" s="961" t="n"/>
      <c r="N1377" s="214" t="n"/>
    </row>
    <row r="1378">
      <c r="A1378" s="207" t="n"/>
      <c r="B1378" s="209" t="n"/>
      <c r="C1378" s="207" t="n"/>
      <c r="D1378" s="963" t="n"/>
      <c r="E1378" s="214" t="n"/>
      <c r="F1378" s="262" t="n">
        <v>142324</v>
      </c>
      <c r="G1378" s="263" t="inlineStr">
        <is>
          <t>Broche doppia in plastica ad inserimento automatico mm. 250 trasparente porta et</t>
        </is>
      </c>
      <c r="H1378" s="264" t="n">
        <v>100</v>
      </c>
      <c r="I1378" s="265" t="n">
        <v>0.448</v>
      </c>
      <c r="J1378" s="214" t="n"/>
      <c r="K1378" s="208" t="n"/>
      <c r="L1378" s="424" t="n"/>
      <c r="M1378" s="961" t="n"/>
      <c r="N1378" s="214" t="n"/>
    </row>
    <row r="1379">
      <c r="A1379" s="207" t="n"/>
      <c r="B1379" s="209" t="n"/>
      <c r="C1379" s="207" t="n"/>
      <c r="D1379" s="963" t="n"/>
      <c r="E1379" s="214" t="n"/>
      <c r="F1379" s="262" t="n">
        <v>142330</v>
      </c>
      <c r="G1379" s="263" t="inlineStr">
        <is>
          <t>Broche doppia in plastica per pannelli forati mm. 50 bianca con aggancio porta eti</t>
        </is>
      </c>
      <c r="H1379" s="264" t="n">
        <v>100</v>
      </c>
      <c r="I1379" s="265" t="n">
        <v>0.156</v>
      </c>
      <c r="J1379" s="214" t="n"/>
      <c r="K1379" s="208" t="n"/>
      <c r="L1379" s="424" t="n"/>
      <c r="M1379" s="961" t="n"/>
      <c r="N1379" s="214" t="n"/>
    </row>
    <row r="1380">
      <c r="A1380" s="207" t="n"/>
      <c r="B1380" s="209" t="n"/>
      <c r="C1380" s="207" t="n"/>
      <c r="D1380" s="963" t="n"/>
      <c r="E1380" s="214" t="n"/>
      <c r="F1380" s="262" t="n">
        <v>142331</v>
      </c>
      <c r="G1380" s="263" t="inlineStr">
        <is>
          <t>Broche doppia in plastica per pannelli forati mm. 100 bianca con aggancio porta e</t>
        </is>
      </c>
      <c r="H1380" s="264" t="n">
        <v>100</v>
      </c>
      <c r="I1380" s="265" t="n">
        <v>0.182</v>
      </c>
      <c r="J1380" s="214" t="n"/>
      <c r="K1380" s="208" t="n"/>
      <c r="L1380" s="424" t="n"/>
      <c r="M1380" s="961" t="n"/>
      <c r="N1380" s="214" t="n"/>
    </row>
    <row r="1381">
      <c r="A1381" s="207" t="n"/>
      <c r="B1381" s="209" t="n"/>
      <c r="C1381" s="207" t="n"/>
      <c r="D1381" s="963" t="n"/>
      <c r="E1381" s="214" t="n"/>
      <c r="F1381" s="262" t="n">
        <v>142332</v>
      </c>
      <c r="G1381" s="263" t="inlineStr">
        <is>
          <t>Broche doppia in plastica per pannelli forati mm. 150 bianca con aggancio porta e</t>
        </is>
      </c>
      <c r="H1381" s="264" t="n">
        <v>100</v>
      </c>
      <c r="I1381" s="265" t="n">
        <v>0.211</v>
      </c>
      <c r="J1381" s="214" t="n"/>
      <c r="K1381" s="208" t="n"/>
      <c r="L1381" s="424" t="n"/>
      <c r="M1381" s="961" t="n"/>
      <c r="N1381" s="214" t="n"/>
    </row>
    <row r="1382">
      <c r="A1382" s="207" t="n"/>
      <c r="B1382" s="209" t="n"/>
      <c r="C1382" s="207" t="n"/>
      <c r="D1382" s="963" t="n"/>
      <c r="E1382" s="214" t="n"/>
      <c r="F1382" s="262" t="n">
        <v>142333</v>
      </c>
      <c r="G1382" s="263" t="inlineStr">
        <is>
          <t>Broche doppia in plastica per pannelli forati mm. 200 bianca con aggancio porta e</t>
        </is>
      </c>
      <c r="H1382" s="264" t="n">
        <v>100</v>
      </c>
      <c r="I1382" s="265" t="n">
        <v>0.238</v>
      </c>
      <c r="J1382" s="214" t="n"/>
      <c r="K1382" s="208" t="n"/>
      <c r="L1382" s="424" t="n"/>
      <c r="M1382" s="961" t="n"/>
      <c r="N1382" s="214" t="n"/>
    </row>
    <row r="1383">
      <c r="A1383" s="207" t="n"/>
      <c r="B1383" s="209" t="n"/>
      <c r="C1383" s="207" t="n"/>
      <c r="D1383" s="963" t="n"/>
      <c r="E1383" s="214" t="n"/>
      <c r="F1383" s="262" t="n">
        <v>142334</v>
      </c>
      <c r="G1383" s="263" t="inlineStr">
        <is>
          <t>Broche doppia in plastica per pannelli forati mm. 250 bianca con aggancio porta e</t>
        </is>
      </c>
      <c r="H1383" s="264" t="n">
        <v>100</v>
      </c>
      <c r="I1383" s="265" t="n">
        <v>0.264</v>
      </c>
      <c r="J1383" s="214" t="n"/>
      <c r="K1383" s="208" t="n"/>
      <c r="L1383" s="424" t="n"/>
      <c r="M1383" s="961" t="n"/>
      <c r="N1383" s="214" t="n"/>
    </row>
    <row r="1384">
      <c r="A1384" s="207" t="n"/>
      <c r="B1384" s="209" t="n"/>
      <c r="C1384" s="207" t="n"/>
      <c r="D1384" s="963" t="n"/>
      <c r="E1384" s="214" t="n"/>
      <c r="F1384" s="262" t="n">
        <v>142340</v>
      </c>
      <c r="G1384" s="263" t="inlineStr">
        <is>
          <t>Broche doppia in plastica per pannelli forati mm. 50 nera con aggancio porta etich</t>
        </is>
      </c>
      <c r="H1384" s="264" t="n">
        <v>100</v>
      </c>
      <c r="I1384" s="265" t="n">
        <v>0.171</v>
      </c>
      <c r="J1384" s="214" t="n"/>
      <c r="K1384" s="208" t="n"/>
      <c r="L1384" s="424" t="n"/>
      <c r="M1384" s="961" t="n"/>
      <c r="N1384" s="214" t="n"/>
    </row>
    <row r="1385">
      <c r="A1385" s="207" t="n"/>
      <c r="B1385" s="209" t="n"/>
      <c r="C1385" s="207" t="n"/>
      <c r="D1385" s="963" t="n"/>
      <c r="E1385" s="214" t="n"/>
      <c r="F1385" s="262" t="n">
        <v>142341</v>
      </c>
      <c r="G1385" s="263" t="inlineStr">
        <is>
          <t>Broche doppia in plastica per pannelli forati mm. 100 nera con aggancio porta etic</t>
        </is>
      </c>
      <c r="H1385" s="264" t="n">
        <v>100</v>
      </c>
      <c r="I1385" s="265" t="n">
        <v>0.2</v>
      </c>
      <c r="J1385" s="214" t="n"/>
      <c r="K1385" s="208" t="n"/>
      <c r="L1385" s="424" t="n"/>
      <c r="M1385" s="961" t="n"/>
      <c r="N1385" s="214" t="n"/>
    </row>
    <row r="1386">
      <c r="A1386" s="207" t="n"/>
      <c r="B1386" s="209" t="n"/>
      <c r="C1386" s="207" t="n"/>
      <c r="D1386" s="963" t="n"/>
      <c r="E1386" s="214" t="n"/>
      <c r="F1386" s="262" t="n">
        <v>142342</v>
      </c>
      <c r="G1386" s="263" t="inlineStr">
        <is>
          <t>Broche doppia in plastica per pannelli forati mm. 150 nera con aggancio porta etic</t>
        </is>
      </c>
      <c r="H1386" s="264" t="n">
        <v>100</v>
      </c>
      <c r="I1386" s="265" t="n">
        <v>0.232</v>
      </c>
      <c r="J1386" s="214" t="n"/>
      <c r="K1386" s="208" t="n"/>
      <c r="L1386" s="424" t="n"/>
      <c r="M1386" s="961" t="n"/>
      <c r="N1386" s="214" t="n"/>
    </row>
    <row r="1387">
      <c r="A1387" s="207" t="n"/>
      <c r="B1387" s="209" t="n"/>
      <c r="C1387" s="207" t="n"/>
      <c r="D1387" s="963" t="n"/>
      <c r="E1387" s="214" t="n"/>
      <c r="F1387" s="262" t="n">
        <v>142343</v>
      </c>
      <c r="G1387" s="263" t="inlineStr">
        <is>
          <t>Broche doppia in plastica per pannelli forati mm. 200 nera con aggancio porta etic</t>
        </is>
      </c>
      <c r="H1387" s="264" t="n">
        <v>100</v>
      </c>
      <c r="I1387" s="265" t="n">
        <v>0.262</v>
      </c>
      <c r="J1387" s="214" t="n"/>
      <c r="K1387" s="208" t="n"/>
      <c r="L1387" s="424" t="n"/>
      <c r="M1387" s="961" t="n"/>
      <c r="N1387" s="214" t="n"/>
    </row>
    <row r="1388">
      <c r="A1388" s="207" t="n"/>
      <c r="B1388" s="209" t="n"/>
      <c r="C1388" s="207" t="n"/>
      <c r="D1388" s="963" t="n"/>
      <c r="E1388" s="214" t="n"/>
      <c r="F1388" s="262" t="n">
        <v>142344</v>
      </c>
      <c r="G1388" s="263" t="inlineStr">
        <is>
          <t>Broche doppia in plastica per pannelli forati mm. 250 nera con aggancio porta etic</t>
        </is>
      </c>
      <c r="H1388" s="264" t="n">
        <v>100</v>
      </c>
      <c r="I1388" s="265" t="n">
        <v>0.291</v>
      </c>
      <c r="J1388" s="214" t="n"/>
      <c r="K1388" s="208" t="n"/>
      <c r="L1388" s="424" t="n"/>
      <c r="M1388" s="961" t="n"/>
      <c r="N1388" s="214" t="n"/>
    </row>
    <row r="1389">
      <c r="A1389" s="207" t="n"/>
      <c r="B1389" s="209" t="n"/>
      <c r="C1389" s="207" t="n"/>
      <c r="D1389" s="963" t="n"/>
      <c r="E1389" s="214" t="n"/>
      <c r="F1389" s="262" t="n">
        <v>142350</v>
      </c>
      <c r="G1389" s="263" t="inlineStr">
        <is>
          <t>Broche doppia in plastica per pannelli forati mm. 50 trasparente con aggancio port</t>
        </is>
      </c>
      <c r="H1389" s="264" t="n">
        <v>100</v>
      </c>
      <c r="I1389" s="265" t="n">
        <v>0.203</v>
      </c>
      <c r="J1389" s="214" t="n"/>
      <c r="K1389" s="208" t="n"/>
      <c r="L1389" s="424" t="n"/>
      <c r="M1389" s="961" t="n"/>
      <c r="N1389" s="214" t="n"/>
    </row>
    <row r="1390">
      <c r="A1390" s="207" t="n"/>
      <c r="B1390" s="209" t="n"/>
      <c r="C1390" s="207" t="n"/>
      <c r="D1390" s="963" t="n"/>
      <c r="E1390" s="214" t="n"/>
      <c r="F1390" s="262" t="n">
        <v>142351</v>
      </c>
      <c r="G1390" s="263" t="inlineStr">
        <is>
          <t>Broche doppia in plastica per pannelli forati mm. 100 trasparente con aggancio po</t>
        </is>
      </c>
      <c r="H1390" s="264" t="n">
        <v>100</v>
      </c>
      <c r="I1390" s="265" t="n">
        <v>0.237</v>
      </c>
      <c r="J1390" s="214" t="n"/>
      <c r="K1390" s="208" t="n"/>
      <c r="L1390" s="424" t="n"/>
      <c r="M1390" s="961" t="n"/>
      <c r="N1390" s="214" t="n"/>
    </row>
    <row r="1391">
      <c r="A1391" s="207" t="n"/>
      <c r="B1391" s="209" t="n"/>
      <c r="C1391" s="207" t="n"/>
      <c r="D1391" s="963" t="n"/>
      <c r="E1391" s="214" t="n"/>
      <c r="F1391" s="262" t="n">
        <v>142352</v>
      </c>
      <c r="G1391" s="263" t="inlineStr">
        <is>
          <t>Broche doppia in plastica per pannelli forati mm. 150 trasparente con aggancio po</t>
        </is>
      </c>
      <c r="H1391" s="264" t="n">
        <v>100</v>
      </c>
      <c r="I1391" s="265" t="n">
        <v>0.274</v>
      </c>
      <c r="J1391" s="214" t="n"/>
      <c r="K1391" s="208" t="n"/>
      <c r="L1391" s="424" t="n"/>
      <c r="M1391" s="961" t="n"/>
      <c r="N1391" s="214" t="n"/>
    </row>
    <row r="1392">
      <c r="A1392" s="207" t="n"/>
      <c r="B1392" s="209" t="n"/>
      <c r="C1392" s="207" t="n"/>
      <c r="D1392" s="963" t="n"/>
      <c r="E1392" s="214" t="n"/>
      <c r="F1392" s="262" t="n">
        <v>142353</v>
      </c>
      <c r="G1392" s="263" t="inlineStr">
        <is>
          <t>Broche doppia in plastica per pannelli forati mm. 200 trasparente con aggancio po</t>
        </is>
      </c>
      <c r="H1392" s="264" t="n">
        <v>100</v>
      </c>
      <c r="I1392" s="265" t="n">
        <v>0.31</v>
      </c>
      <c r="J1392" s="214" t="n"/>
      <c r="K1392" s="208" t="n"/>
      <c r="L1392" s="424" t="n"/>
      <c r="M1392" s="961" t="n"/>
      <c r="N1392" s="214" t="n"/>
    </row>
    <row r="1393">
      <c r="A1393" s="207" t="n"/>
      <c r="B1393" s="209" t="n"/>
      <c r="C1393" s="207" t="n"/>
      <c r="D1393" s="963" t="n"/>
      <c r="E1393" s="214" t="n"/>
      <c r="F1393" s="262" t="n">
        <v>142354</v>
      </c>
      <c r="G1393" s="263" t="inlineStr">
        <is>
          <t>Broche doppia in plastica per pannelli forati mm. 250 trasparente con aggancio co</t>
        </is>
      </c>
      <c r="H1393" s="264" t="n">
        <v>100</v>
      </c>
      <c r="I1393" s="265" t="n">
        <v>0.344</v>
      </c>
      <c r="J1393" s="214" t="n"/>
      <c r="K1393" s="208" t="n"/>
      <c r="L1393" s="424" t="n"/>
      <c r="M1393" s="961" t="n"/>
      <c r="N1393" s="214" t="n"/>
    </row>
    <row r="1394">
      <c r="A1394" s="207" t="n"/>
      <c r="B1394" s="209" t="n"/>
      <c r="C1394" s="207" t="n"/>
      <c r="D1394" s="963" t="n"/>
      <c r="E1394" s="214" t="n"/>
      <c r="F1394" s="262" t="n">
        <v>142360</v>
      </c>
      <c r="G1394" s="263" t="inlineStr">
        <is>
          <t>Broche universale doppia mm. 50 bianca con aggancio porta etichette lungo</t>
        </is>
      </c>
      <c r="H1394" s="264" t="n">
        <v>100</v>
      </c>
      <c r="I1394" s="265" t="n">
        <v>0.242</v>
      </c>
      <c r="J1394" s="214" t="n"/>
      <c r="K1394" s="208" t="n"/>
      <c r="L1394" s="424" t="n"/>
      <c r="M1394" s="961" t="n"/>
      <c r="N1394" s="214" t="n"/>
    </row>
    <row r="1395">
      <c r="A1395" s="207" t="n"/>
      <c r="B1395" s="209" t="n"/>
      <c r="C1395" s="207" t="n"/>
      <c r="D1395" s="963" t="n"/>
      <c r="E1395" s="214" t="n"/>
      <c r="F1395" s="262" t="n">
        <v>142361</v>
      </c>
      <c r="G1395" s="263" t="inlineStr">
        <is>
          <t>Broche universale doppia mm. 100 bianca con aggancio porta etichette lungo</t>
        </is>
      </c>
      <c r="H1395" s="264" t="n">
        <v>100</v>
      </c>
      <c r="I1395" s="265" t="n">
        <v>0.274</v>
      </c>
      <c r="J1395" s="214" t="n"/>
      <c r="K1395" s="208" t="n"/>
      <c r="L1395" s="424" t="n"/>
      <c r="M1395" s="961" t="n"/>
      <c r="N1395" s="214" t="n"/>
    </row>
    <row r="1396">
      <c r="A1396" s="207" t="n"/>
      <c r="B1396" s="209" t="n"/>
      <c r="C1396" s="207" t="n"/>
      <c r="D1396" s="963" t="n"/>
      <c r="E1396" s="214" t="n"/>
      <c r="F1396" s="262" t="n">
        <v>142362</v>
      </c>
      <c r="G1396" s="263" t="inlineStr">
        <is>
          <t>Broche universale doppia mm. 150 bianca con aggancio porta etichette lungo</t>
        </is>
      </c>
      <c r="H1396" s="264" t="n">
        <v>100</v>
      </c>
      <c r="I1396" s="265" t="n">
        <v>0.29</v>
      </c>
      <c r="J1396" s="214" t="n"/>
      <c r="K1396" s="208" t="n"/>
      <c r="L1396" s="424" t="n"/>
      <c r="M1396" s="961" t="n"/>
      <c r="N1396" s="214" t="n"/>
    </row>
    <row r="1397">
      <c r="A1397" s="207" t="n"/>
      <c r="B1397" s="209" t="n"/>
      <c r="C1397" s="207" t="n"/>
      <c r="D1397" s="963" t="n"/>
      <c r="E1397" s="214" t="n"/>
      <c r="F1397" s="262" t="n">
        <v>142363</v>
      </c>
      <c r="G1397" s="263" t="inlineStr">
        <is>
          <t>Broche universale doppia mm. 200 bianca con aggancio porta etichette lungo</t>
        </is>
      </c>
      <c r="H1397" s="264" t="n">
        <v>100</v>
      </c>
      <c r="I1397" s="265" t="n">
        <v>0.309</v>
      </c>
      <c r="J1397" s="214" t="n"/>
      <c r="K1397" s="208" t="n"/>
      <c r="L1397" s="424" t="n"/>
      <c r="M1397" s="961" t="n"/>
      <c r="N1397" s="214" t="n"/>
    </row>
    <row r="1398">
      <c r="A1398" s="207" t="n"/>
      <c r="B1398" s="209" t="n"/>
      <c r="C1398" s="207" t="n"/>
      <c r="D1398" s="963" t="n"/>
      <c r="E1398" s="214" t="n"/>
      <c r="F1398" s="262" t="n">
        <v>142364</v>
      </c>
      <c r="G1398" s="263" t="inlineStr">
        <is>
          <t>Broche universale doppia mm. 250 bianca con aggancio porta etichette lungo</t>
        </is>
      </c>
      <c r="H1398" s="264" t="n">
        <v>100</v>
      </c>
      <c r="I1398" s="265" t="n">
        <v>0.352</v>
      </c>
      <c r="J1398" s="214" t="n"/>
      <c r="K1398" s="208" t="n"/>
      <c r="L1398" s="424" t="n"/>
      <c r="M1398" s="961" t="n"/>
      <c r="N1398" s="214" t="n"/>
    </row>
    <row r="1399">
      <c r="A1399" s="207" t="n"/>
      <c r="B1399" s="209" t="n"/>
      <c r="C1399" s="207" t="n"/>
      <c r="D1399" s="963" t="n"/>
      <c r="E1399" s="214" t="n"/>
      <c r="F1399" s="262" t="n">
        <v>142370</v>
      </c>
      <c r="G1399" s="263" t="inlineStr">
        <is>
          <t>Broche universale doppia mm. 50 nera con aggancio porta etichette lungo</t>
        </is>
      </c>
      <c r="H1399" s="264" t="n">
        <v>100</v>
      </c>
      <c r="I1399" s="265" t="n">
        <v>0.267</v>
      </c>
      <c r="J1399" s="214" t="n"/>
      <c r="K1399" s="208" t="n"/>
      <c r="L1399" s="424" t="n"/>
      <c r="M1399" s="961" t="n"/>
      <c r="N1399" s="214" t="n"/>
    </row>
    <row r="1400">
      <c r="A1400" s="207" t="n"/>
      <c r="B1400" s="209" t="n"/>
      <c r="C1400" s="207" t="n"/>
      <c r="D1400" s="963" t="n"/>
      <c r="E1400" s="214" t="n"/>
      <c r="F1400" s="262" t="n">
        <v>142371</v>
      </c>
      <c r="G1400" s="263" t="inlineStr">
        <is>
          <t>Broche universale doppia mm. 100 nera con aggancio porta etichette lungo</t>
        </is>
      </c>
      <c r="H1400" s="264" t="n">
        <v>100</v>
      </c>
      <c r="I1400" s="265" t="n">
        <v>0.301</v>
      </c>
      <c r="J1400" s="214" t="n"/>
      <c r="K1400" s="208" t="n"/>
      <c r="L1400" s="424" t="n"/>
      <c r="M1400" s="961" t="n"/>
      <c r="N1400" s="214" t="n"/>
    </row>
    <row r="1401">
      <c r="A1401" s="207" t="n"/>
      <c r="B1401" s="209" t="n"/>
      <c r="C1401" s="207" t="n"/>
      <c r="D1401" s="963" t="n"/>
      <c r="E1401" s="214" t="n"/>
      <c r="F1401" s="262" t="n">
        <v>142372</v>
      </c>
      <c r="G1401" s="263" t="inlineStr">
        <is>
          <t>Broche universale doppia mm. 150 nera con aggancio porta etichette lungo</t>
        </is>
      </c>
      <c r="H1401" s="264" t="n">
        <v>100</v>
      </c>
      <c r="I1401" s="265" t="n">
        <v>0.318</v>
      </c>
      <c r="J1401" s="214" t="n"/>
      <c r="K1401" s="208" t="n"/>
      <c r="L1401" s="424" t="n"/>
      <c r="M1401" s="961" t="n"/>
      <c r="N1401" s="214" t="n"/>
    </row>
    <row r="1402">
      <c r="A1402" s="207" t="n"/>
      <c r="B1402" s="209" t="n"/>
      <c r="C1402" s="207" t="n"/>
      <c r="D1402" s="963" t="n"/>
      <c r="E1402" s="214" t="n"/>
      <c r="F1402" s="262" t="n">
        <v>142373</v>
      </c>
      <c r="G1402" s="263" t="inlineStr">
        <is>
          <t>Broche universale doppia mm. 200 nera con aggancio porta etichette lungo</t>
        </is>
      </c>
      <c r="H1402" s="264" t="n">
        <v>100</v>
      </c>
      <c r="I1402" s="265" t="n">
        <v>0.34</v>
      </c>
      <c r="J1402" s="214" t="n"/>
      <c r="K1402" s="208" t="n"/>
      <c r="L1402" s="424" t="n"/>
      <c r="M1402" s="961" t="n"/>
      <c r="N1402" s="214" t="n"/>
    </row>
    <row r="1403">
      <c r="A1403" s="207" t="n"/>
      <c r="B1403" s="209" t="n"/>
      <c r="C1403" s="207" t="n"/>
      <c r="D1403" s="963" t="n"/>
      <c r="E1403" s="214" t="n"/>
      <c r="F1403" s="262" t="n">
        <v>142374</v>
      </c>
      <c r="G1403" s="263" t="inlineStr">
        <is>
          <t>Broche universale doppia mm. 250 nera con aggancio porta etichette lungo</t>
        </is>
      </c>
      <c r="H1403" s="264" t="n">
        <v>100</v>
      </c>
      <c r="I1403" s="265" t="n">
        <v>0.387</v>
      </c>
      <c r="J1403" s="214" t="n"/>
      <c r="K1403" s="208" t="n"/>
      <c r="L1403" s="424" t="n"/>
      <c r="M1403" s="961" t="n"/>
      <c r="N1403" s="214" t="n"/>
    </row>
    <row r="1404">
      <c r="A1404" s="207" t="n"/>
      <c r="B1404" s="209" t="n"/>
      <c r="C1404" s="207" t="n"/>
      <c r="D1404" s="963" t="n"/>
      <c r="E1404" s="214" t="n"/>
      <c r="F1404" s="262" t="n">
        <v>142380</v>
      </c>
      <c r="G1404" s="263" t="inlineStr">
        <is>
          <t>Broche universale doppia mm. 50 trasparente con aggancio porta etichette lungo</t>
        </is>
      </c>
      <c r="H1404" s="264" t="n">
        <v>100</v>
      </c>
      <c r="I1404" s="265" t="n">
        <v>0.315</v>
      </c>
      <c r="J1404" s="214" t="n"/>
      <c r="K1404" s="208" t="n"/>
      <c r="L1404" s="424" t="n"/>
      <c r="M1404" s="961" t="n"/>
      <c r="N1404" s="214" t="n"/>
    </row>
    <row r="1405">
      <c r="A1405" s="207" t="n"/>
      <c r="B1405" s="209" t="n"/>
      <c r="C1405" s="207" t="n"/>
      <c r="D1405" s="963" t="n"/>
      <c r="E1405" s="214" t="n"/>
      <c r="F1405" s="262" t="n">
        <v>142381</v>
      </c>
      <c r="G1405" s="263" t="inlineStr">
        <is>
          <t>Broche universale doppia mm. 100 trasparente con aggancio porta etichette lungo</t>
        </is>
      </c>
      <c r="H1405" s="264" t="n">
        <v>100</v>
      </c>
      <c r="I1405" s="265" t="n">
        <v>0.356</v>
      </c>
      <c r="J1405" s="214" t="n"/>
      <c r="K1405" s="208" t="n"/>
      <c r="L1405" s="424" t="n"/>
      <c r="M1405" s="961" t="n"/>
      <c r="N1405" s="214" t="n"/>
    </row>
    <row r="1406">
      <c r="A1406" s="207" t="n"/>
      <c r="B1406" s="209" t="n"/>
      <c r="C1406" s="207" t="n"/>
      <c r="D1406" s="963" t="n"/>
      <c r="E1406" s="214" t="n"/>
      <c r="F1406" s="262" t="n">
        <v>142382</v>
      </c>
      <c r="G1406" s="263" t="inlineStr">
        <is>
          <t>Broche universale doppia mm. 150 trasparente con aggancio porta etichette lungo</t>
        </is>
      </c>
      <c r="H1406" s="264" t="n">
        <v>100</v>
      </c>
      <c r="I1406" s="265" t="n">
        <v>0.376</v>
      </c>
      <c r="J1406" s="214" t="n"/>
      <c r="K1406" s="208" t="n"/>
      <c r="L1406" s="424" t="n"/>
      <c r="M1406" s="961" t="n"/>
      <c r="N1406" s="214" t="n"/>
    </row>
    <row r="1407">
      <c r="A1407" s="207" t="n"/>
      <c r="B1407" s="209" t="n"/>
      <c r="C1407" s="207" t="n"/>
      <c r="D1407" s="963" t="n"/>
      <c r="E1407" s="214" t="n"/>
      <c r="F1407" s="262" t="n">
        <v>142383</v>
      </c>
      <c r="G1407" s="263" t="inlineStr">
        <is>
          <t>Broche universale doppia mm. 200 trasparente con aggancio porta etichette lungo</t>
        </is>
      </c>
      <c r="H1407" s="264" t="n">
        <v>100</v>
      </c>
      <c r="I1407" s="265" t="n">
        <v>0.402</v>
      </c>
      <c r="J1407" s="214" t="n"/>
      <c r="K1407" s="208" t="n"/>
      <c r="L1407" s="424" t="n"/>
      <c r="M1407" s="961" t="n"/>
      <c r="N1407" s="214" t="n"/>
    </row>
    <row r="1408">
      <c r="A1408" s="207" t="n"/>
      <c r="B1408" s="209" t="n"/>
      <c r="C1408" s="207" t="n"/>
      <c r="D1408" s="963" t="n"/>
      <c r="E1408" s="214" t="n"/>
      <c r="F1408" s="262" t="n">
        <v>142384</v>
      </c>
      <c r="G1408" s="263" t="inlineStr">
        <is>
          <t>Broche universale doppia mm. 250 trasparente con aggancio porta etichette lungo</t>
        </is>
      </c>
      <c r="H1408" s="264" t="n">
        <v>100</v>
      </c>
      <c r="I1408" s="265" t="n">
        <v>0.458</v>
      </c>
      <c r="J1408" s="214" t="n"/>
      <c r="K1408" s="208" t="n"/>
      <c r="L1408" s="424" t="n"/>
      <c r="M1408" s="961" t="n"/>
      <c r="N1408" s="214" t="n"/>
    </row>
    <row r="1409">
      <c r="A1409" s="207" t="n"/>
      <c r="B1409" s="209" t="n"/>
      <c r="C1409" s="207" t="n"/>
      <c r="D1409" s="963" t="n"/>
      <c r="E1409" s="214" t="n"/>
      <c r="F1409" s="262" t="n">
        <v>142390</v>
      </c>
      <c r="G1409" s="263" t="inlineStr">
        <is>
          <t>Broche doppia con placca antirimozione bianca mm. 50 con aggancio porta etiche</t>
        </is>
      </c>
      <c r="H1409" s="264" t="n">
        <v>100</v>
      </c>
      <c r="I1409" s="265" t="n">
        <v>0.236</v>
      </c>
      <c r="J1409" s="214" t="n"/>
      <c r="K1409" s="208" t="n"/>
      <c r="L1409" s="424" t="n"/>
      <c r="M1409" s="961" t="n"/>
      <c r="N1409" s="214" t="n"/>
    </row>
    <row r="1410">
      <c r="A1410" s="207" t="n"/>
      <c r="B1410" s="209" t="n"/>
      <c r="C1410" s="207" t="n"/>
      <c r="D1410" s="963" t="n"/>
      <c r="E1410" s="214" t="n"/>
      <c r="F1410" s="262" t="n">
        <v>142391</v>
      </c>
      <c r="G1410" s="263" t="inlineStr">
        <is>
          <t>Broche doppia con placca antirimozione bianca mm. 100 con aggancio porta etich</t>
        </is>
      </c>
      <c r="H1410" s="264" t="n">
        <v>100</v>
      </c>
      <c r="I1410" s="265" t="n">
        <v>0.26</v>
      </c>
      <c r="J1410" s="214" t="n"/>
      <c r="K1410" s="208" t="n"/>
      <c r="L1410" s="424" t="n"/>
      <c r="M1410" s="961" t="n"/>
      <c r="N1410" s="214" t="n"/>
    </row>
    <row r="1411">
      <c r="A1411" s="207" t="n"/>
      <c r="B1411" s="209" t="n"/>
      <c r="C1411" s="207" t="n"/>
      <c r="D1411" s="963" t="n"/>
      <c r="E1411" s="214" t="n"/>
      <c r="F1411" s="262" t="n">
        <v>142392</v>
      </c>
      <c r="G1411" s="263" t="inlineStr">
        <is>
          <t>Broche doppia con placca antirimozione bianca mm. 150 con aggancio porta etich</t>
        </is>
      </c>
      <c r="H1411" s="264" t="n">
        <v>100</v>
      </c>
      <c r="I1411" s="265" t="n">
        <v>0.286</v>
      </c>
      <c r="J1411" s="214" t="n"/>
      <c r="K1411" s="208" t="n"/>
      <c r="L1411" s="424" t="n"/>
      <c r="M1411" s="961" t="n"/>
      <c r="N1411" s="214" t="n"/>
    </row>
    <row r="1412">
      <c r="A1412" s="207" t="n"/>
      <c r="B1412" s="209" t="n"/>
      <c r="C1412" s="207" t="n"/>
      <c r="D1412" s="963" t="n"/>
      <c r="E1412" s="214" t="n"/>
      <c r="F1412" s="262" t="n">
        <v>142393</v>
      </c>
      <c r="G1412" s="263" t="inlineStr">
        <is>
          <t>Broche doppia con placca antirimozione bianca mm. 200 con aggancio porta etich</t>
        </is>
      </c>
      <c r="H1412" s="264" t="n">
        <v>100</v>
      </c>
      <c r="I1412" s="265" t="n">
        <v>0.306</v>
      </c>
      <c r="J1412" s="214" t="n"/>
      <c r="K1412" s="208" t="n"/>
      <c r="L1412" s="424" t="n"/>
      <c r="M1412" s="961" t="n"/>
      <c r="N1412" s="214" t="n"/>
    </row>
    <row r="1413">
      <c r="A1413" s="207" t="n"/>
      <c r="B1413" s="209" t="n"/>
      <c r="C1413" s="207" t="n"/>
      <c r="D1413" s="963" t="n"/>
      <c r="E1413" s="214" t="n"/>
      <c r="F1413" s="262" t="n">
        <v>142394</v>
      </c>
      <c r="G1413" s="263" t="inlineStr">
        <is>
          <t>Broche doppia con placca antirimozione bianca mm. 250 con aggancio porta etich</t>
        </is>
      </c>
      <c r="H1413" s="264" t="n">
        <v>100</v>
      </c>
      <c r="I1413" s="265" t="n">
        <v>0.345</v>
      </c>
      <c r="J1413" s="214" t="n"/>
      <c r="K1413" s="208" t="n"/>
      <c r="L1413" s="424" t="n"/>
      <c r="M1413" s="961" t="n"/>
      <c r="N1413" s="214" t="n"/>
    </row>
    <row r="1414">
      <c r="A1414" s="207" t="n"/>
      <c r="B1414" s="209" t="n"/>
      <c r="C1414" s="207" t="n"/>
      <c r="D1414" s="963" t="n"/>
      <c r="E1414" s="214" t="n"/>
      <c r="F1414" s="262" t="n">
        <v>142400</v>
      </c>
      <c r="G1414" s="263" t="inlineStr">
        <is>
          <t>Broche doppia con placca antirimozione nera mm. 50 con aggancio porta etichette</t>
        </is>
      </c>
      <c r="H1414" s="264" t="n">
        <v>100</v>
      </c>
      <c r="I1414" s="265" t="n">
        <v>0.259</v>
      </c>
      <c r="J1414" s="214" t="n"/>
      <c r="K1414" s="208" t="n"/>
      <c r="L1414" s="424" t="n"/>
      <c r="M1414" s="961" t="n"/>
      <c r="N1414" s="214" t="n"/>
    </row>
    <row r="1415">
      <c r="A1415" s="207" t="n"/>
      <c r="B1415" s="209" t="n"/>
      <c r="C1415" s="207" t="n"/>
      <c r="D1415" s="963" t="n"/>
      <c r="E1415" s="214" t="n"/>
      <c r="F1415" s="262" t="n">
        <v>142401</v>
      </c>
      <c r="G1415" s="263" t="inlineStr">
        <is>
          <t>Broche doppia con placca antirimozione nera mm. 100 con aggancio porta etichet</t>
        </is>
      </c>
      <c r="H1415" s="264" t="n">
        <v>100</v>
      </c>
      <c r="I1415" s="265" t="n">
        <v>0.286</v>
      </c>
      <c r="J1415" s="214" t="n"/>
      <c r="K1415" s="208" t="n"/>
      <c r="L1415" s="424" t="n"/>
      <c r="M1415" s="961" t="n"/>
      <c r="N1415" s="214" t="n"/>
    </row>
    <row r="1416">
      <c r="A1416" s="207" t="n"/>
      <c r="B1416" s="209" t="n"/>
      <c r="C1416" s="207" t="n"/>
      <c r="D1416" s="963" t="n"/>
      <c r="E1416" s="214" t="n"/>
      <c r="F1416" s="262" t="n">
        <v>142402</v>
      </c>
      <c r="G1416" s="263" t="inlineStr">
        <is>
          <t>Broche doppia con placca antirimozione nera mm. 150 con aggancio porta etichet</t>
        </is>
      </c>
      <c r="H1416" s="264" t="n">
        <v>100</v>
      </c>
      <c r="I1416" s="265" t="n">
        <v>0.315</v>
      </c>
      <c r="J1416" s="214" t="n"/>
      <c r="K1416" s="208" t="n"/>
      <c r="L1416" s="424" t="n"/>
      <c r="M1416" s="961" t="n"/>
      <c r="N1416" s="214" t="n"/>
    </row>
    <row r="1417">
      <c r="A1417" s="207" t="n"/>
      <c r="B1417" s="209" t="n"/>
      <c r="C1417" s="207" t="n"/>
      <c r="D1417" s="963" t="n"/>
      <c r="E1417" s="214" t="n"/>
      <c r="F1417" s="262" t="n">
        <v>142403</v>
      </c>
      <c r="G1417" s="263" t="inlineStr">
        <is>
          <t>Broche doppia con placca antirimozione nera mm. 200 con aggancio porta etichet</t>
        </is>
      </c>
      <c r="H1417" s="264" t="n">
        <v>100</v>
      </c>
      <c r="I1417" s="265" t="n">
        <v>0.337</v>
      </c>
      <c r="J1417" s="214" t="n"/>
      <c r="K1417" s="208" t="n"/>
      <c r="L1417" s="424" t="n"/>
      <c r="M1417" s="961" t="n"/>
      <c r="N1417" s="214" t="n"/>
    </row>
    <row r="1418">
      <c r="A1418" s="207" t="n"/>
      <c r="B1418" s="209" t="n"/>
      <c r="C1418" s="207" t="n"/>
      <c r="D1418" s="963" t="n"/>
      <c r="E1418" s="214" t="n"/>
      <c r="F1418" s="262" t="n">
        <v>142404</v>
      </c>
      <c r="G1418" s="263" t="inlineStr">
        <is>
          <t>Broche doppia con placca antirimozione nera mm. 250 con aggancio porta etichet</t>
        </is>
      </c>
      <c r="H1418" s="264" t="n">
        <v>100</v>
      </c>
      <c r="I1418" s="265" t="n">
        <v>0.38</v>
      </c>
      <c r="J1418" s="214" t="n"/>
      <c r="K1418" s="208" t="n"/>
      <c r="L1418" s="424" t="n"/>
      <c r="M1418" s="961" t="n"/>
      <c r="N1418" s="214" t="n"/>
    </row>
    <row r="1419">
      <c r="A1419" s="207" t="n"/>
      <c r="B1419" s="209" t="n"/>
      <c r="C1419" s="207" t="n"/>
      <c r="D1419" s="963" t="n"/>
      <c r="E1419" s="214" t="n"/>
      <c r="F1419" s="262" t="n">
        <v>142410</v>
      </c>
      <c r="G1419" s="263" t="inlineStr">
        <is>
          <t>Broche doppia con placca antirimozione trasparente mm. 50 con aggancio porta e</t>
        </is>
      </c>
      <c r="H1419" s="264" t="n">
        <v>100</v>
      </c>
      <c r="I1419" s="265" t="n">
        <v>0.306</v>
      </c>
      <c r="J1419" s="214" t="n"/>
      <c r="K1419" s="208" t="n"/>
      <c r="L1419" s="424" t="n"/>
      <c r="M1419" s="961" t="n"/>
      <c r="N1419" s="214" t="n"/>
    </row>
    <row r="1420">
      <c r="A1420" s="207" t="n"/>
      <c r="B1420" s="209" t="n"/>
      <c r="C1420" s="207" t="n"/>
      <c r="D1420" s="963" t="n"/>
      <c r="E1420" s="214" t="n"/>
      <c r="F1420" s="262" t="n">
        <v>142411</v>
      </c>
      <c r="G1420" s="263" t="inlineStr">
        <is>
          <t>Broche doppia con placca antirimozione trasparente mm. 100 con aggancio porta</t>
        </is>
      </c>
      <c r="H1420" s="264" t="n">
        <v>100</v>
      </c>
      <c r="I1420" s="265" t="n">
        <v>0.338</v>
      </c>
      <c r="J1420" s="214" t="n"/>
      <c r="K1420" s="208" t="n"/>
      <c r="L1420" s="424" t="n"/>
      <c r="M1420" s="961" t="n"/>
      <c r="N1420" s="214" t="n"/>
    </row>
    <row r="1421">
      <c r="A1421" s="207" t="n"/>
      <c r="B1421" s="209" t="n"/>
      <c r="C1421" s="207" t="n"/>
      <c r="D1421" s="963" t="n"/>
      <c r="E1421" s="214" t="n"/>
      <c r="F1421" s="262" t="n">
        <v>142412</v>
      </c>
      <c r="G1421" s="263" t="inlineStr">
        <is>
          <t>Broche doppia con placca antirimozione trasparente mm. 150 con aggancio porta</t>
        </is>
      </c>
      <c r="H1421" s="264" t="n">
        <v>100</v>
      </c>
      <c r="I1421" s="265" t="n">
        <v>0.372</v>
      </c>
      <c r="J1421" s="214" t="n"/>
      <c r="K1421" s="208" t="n"/>
      <c r="L1421" s="424" t="n"/>
      <c r="M1421" s="961" t="n"/>
      <c r="N1421" s="214" t="n"/>
    </row>
    <row r="1422">
      <c r="A1422" s="207" t="n"/>
      <c r="B1422" s="209" t="n"/>
      <c r="C1422" s="207" t="n"/>
      <c r="D1422" s="963" t="n"/>
      <c r="E1422" s="214" t="n"/>
      <c r="F1422" s="262" t="n">
        <v>142413</v>
      </c>
      <c r="G1422" s="263" t="inlineStr">
        <is>
          <t>Broche doppia con placca antirimozione trasparente mm. 200 con aggancio porta</t>
        </is>
      </c>
      <c r="H1422" s="264" t="n">
        <v>100</v>
      </c>
      <c r="I1422" s="265" t="n">
        <v>0.398</v>
      </c>
      <c r="J1422" s="214" t="n"/>
      <c r="K1422" s="208" t="n"/>
      <c r="L1422" s="424" t="n"/>
      <c r="M1422" s="961" t="n"/>
      <c r="N1422" s="214" t="n"/>
    </row>
    <row r="1423">
      <c r="A1423" s="207" t="n"/>
      <c r="B1423" s="209" t="n"/>
      <c r="C1423" s="207" t="n"/>
      <c r="D1423" s="963" t="n"/>
      <c r="E1423" s="214" t="n"/>
      <c r="F1423" s="262" t="n">
        <v>142414</v>
      </c>
      <c r="G1423" s="263" t="inlineStr">
        <is>
          <t>Broche doppia con placca antirimozione trasparente mm. 250 con aggancio porta</t>
        </is>
      </c>
      <c r="H1423" s="264" t="n">
        <v>100</v>
      </c>
      <c r="I1423" s="265" t="n">
        <v>0.449</v>
      </c>
      <c r="J1423" s="214" t="n"/>
      <c r="K1423" s="208" t="n"/>
      <c r="L1423" s="424" t="n"/>
      <c r="M1423" s="961" t="n"/>
      <c r="N1423" s="214" t="n"/>
    </row>
    <row r="1424">
      <c r="A1424" s="207" t="n"/>
      <c r="B1424" s="209" t="n"/>
      <c r="C1424" s="207" t="n"/>
      <c r="D1424" s="963" t="n"/>
      <c r="E1424" s="214" t="n"/>
      <c r="F1424" s="262" t="n">
        <v>142422</v>
      </c>
      <c r="G1424" s="263" t="inlineStr">
        <is>
          <t>Broche doppia in plastica per pannelli dogati mm. 150 bianca con aggancio porta</t>
        </is>
      </c>
      <c r="H1424" s="264" t="n">
        <v>100</v>
      </c>
      <c r="I1424" s="265" t="n">
        <v>0.23</v>
      </c>
      <c r="J1424" s="214" t="n"/>
      <c r="K1424" s="208" t="n"/>
      <c r="L1424" s="424" t="n"/>
      <c r="M1424" s="961" t="n"/>
      <c r="N1424" s="214" t="n"/>
    </row>
    <row r="1425">
      <c r="A1425" s="207" t="n"/>
      <c r="B1425" s="209" t="n"/>
      <c r="C1425" s="207" t="n"/>
      <c r="D1425" s="963" t="n"/>
      <c r="E1425" s="214" t="n"/>
      <c r="F1425" s="262" t="n">
        <v>142432</v>
      </c>
      <c r="G1425" s="263" t="inlineStr">
        <is>
          <t>Broche doppia in plastica per pannelli dogati mm. 150 nera con aggancio porta eti</t>
        </is>
      </c>
      <c r="H1425" s="264" t="n">
        <v>100</v>
      </c>
      <c r="I1425" s="265" t="n">
        <v>0.253</v>
      </c>
      <c r="J1425" s="214" t="n"/>
      <c r="K1425" s="208" t="n"/>
      <c r="L1425" s="424" t="n"/>
      <c r="M1425" s="961" t="n"/>
      <c r="N1425" s="214" t="n"/>
    </row>
    <row r="1426">
      <c r="A1426" s="207" t="n"/>
      <c r="B1426" s="209" t="n"/>
      <c r="C1426" s="207" t="n"/>
      <c r="D1426" s="963" t="n"/>
      <c r="E1426" s="214" t="n"/>
      <c r="F1426" s="262" t="n">
        <v>142442</v>
      </c>
      <c r="G1426" s="263" t="inlineStr">
        <is>
          <t>Broche doppia in plastica per pannelli dogati mm. 150 trasparente con aggancio p</t>
        </is>
      </c>
      <c r="H1426" s="264" t="n">
        <v>100</v>
      </c>
      <c r="I1426" s="265" t="n">
        <v>0.299</v>
      </c>
      <c r="J1426" s="214" t="n"/>
      <c r="K1426" s="208" t="n"/>
      <c r="L1426" s="424" t="n"/>
      <c r="M1426" s="961" t="n"/>
      <c r="N1426" s="214" t="n"/>
    </row>
    <row r="1427">
      <c r="A1427" s="207" t="n"/>
      <c r="B1427" s="209" t="n"/>
      <c r="C1427" s="207" t="n"/>
      <c r="D1427" s="963" t="n"/>
      <c r="E1427" s="214" t="n"/>
      <c r="F1427" s="262" t="n">
        <v>142500</v>
      </c>
      <c r="G1427" s="263" t="inlineStr">
        <is>
          <t>Broche larga rinforzata in plastica ad inserimento automatico mm. 50 bianca con a</t>
        </is>
      </c>
      <c r="H1427" s="264" t="n">
        <v>100</v>
      </c>
      <c r="I1427" s="265" t="n">
        <v>0.246</v>
      </c>
      <c r="J1427" s="214" t="n"/>
      <c r="K1427" s="208" t="n"/>
      <c r="L1427" s="424" t="n"/>
      <c r="M1427" s="961" t="n"/>
      <c r="N1427" s="214" t="n"/>
    </row>
    <row r="1428">
      <c r="A1428" s="207" t="n"/>
      <c r="B1428" s="209" t="n"/>
      <c r="C1428" s="207" t="n"/>
      <c r="D1428" s="963" t="n"/>
      <c r="E1428" s="214" t="n"/>
      <c r="F1428" s="262" t="n">
        <v>142501</v>
      </c>
      <c r="G1428" s="263" t="inlineStr">
        <is>
          <t>Broche larga rinforzata in plastica ad inserimento automatico mm. 100 bianca con</t>
        </is>
      </c>
      <c r="H1428" s="264" t="n">
        <v>100</v>
      </c>
      <c r="I1428" s="265" t="n">
        <v>0.291</v>
      </c>
      <c r="J1428" s="214" t="n"/>
      <c r="K1428" s="208" t="n"/>
      <c r="L1428" s="424" t="n"/>
      <c r="M1428" s="961" t="n"/>
      <c r="N1428" s="214" t="n"/>
    </row>
    <row r="1429">
      <c r="A1429" s="207" t="n"/>
      <c r="B1429" s="209" t="n"/>
      <c r="C1429" s="207" t="n"/>
      <c r="D1429" s="963" t="n"/>
      <c r="E1429" s="214" t="n"/>
      <c r="F1429" s="262" t="n">
        <v>142502</v>
      </c>
      <c r="G1429" s="263" t="inlineStr">
        <is>
          <t>Broche larga rinforzata in plastica ad inserimento automatico mm. 150 bianca con</t>
        </is>
      </c>
      <c r="H1429" s="264" t="n">
        <v>100</v>
      </c>
      <c r="I1429" s="265" t="n">
        <v>0.327</v>
      </c>
      <c r="J1429" s="214" t="n"/>
      <c r="K1429" s="208" t="n"/>
      <c r="L1429" s="424" t="n"/>
      <c r="M1429" s="961" t="n"/>
      <c r="N1429" s="214" t="n"/>
    </row>
    <row r="1430">
      <c r="A1430" s="207" t="n"/>
      <c r="B1430" s="209" t="n"/>
      <c r="C1430" s="207" t="n"/>
      <c r="D1430" s="963" t="n"/>
      <c r="E1430" s="214" t="n"/>
      <c r="F1430" s="262" t="n">
        <v>142503</v>
      </c>
      <c r="G1430" s="263" t="inlineStr">
        <is>
          <t>Broche larga rinforzata in plastica ad inserimento automatico mm. 200 bianca con</t>
        </is>
      </c>
      <c r="H1430" s="264" t="n">
        <v>100</v>
      </c>
      <c r="I1430" s="265" t="n">
        <v>0.379</v>
      </c>
      <c r="J1430" s="214" t="n"/>
      <c r="K1430" s="208" t="n"/>
      <c r="L1430" s="424" t="n"/>
      <c r="M1430" s="961" t="n"/>
      <c r="N1430" s="214" t="n"/>
    </row>
    <row r="1431">
      <c r="A1431" s="207" t="n"/>
      <c r="B1431" s="209" t="n"/>
      <c r="C1431" s="207" t="n"/>
      <c r="D1431" s="963" t="n"/>
      <c r="E1431" s="214" t="n"/>
      <c r="F1431" s="262" t="n">
        <v>142504</v>
      </c>
      <c r="G1431" s="263" t="inlineStr">
        <is>
          <t>Broche larga rinforzata in plastica ad inserimento automatico mm. 250 bianca con</t>
        </is>
      </c>
      <c r="H1431" s="264" t="n">
        <v>100</v>
      </c>
      <c r="I1431" s="265" t="n">
        <v>0.435</v>
      </c>
      <c r="J1431" s="214" t="n"/>
      <c r="K1431" s="208" t="n"/>
      <c r="L1431" s="424" t="n"/>
      <c r="M1431" s="961" t="n"/>
      <c r="N1431" s="214" t="n"/>
    </row>
    <row r="1432">
      <c r="A1432" s="207" t="n"/>
      <c r="B1432" s="209" t="n"/>
      <c r="C1432" s="207" t="n"/>
      <c r="D1432" s="963" t="n"/>
      <c r="E1432" s="214" t="n"/>
      <c r="F1432" s="262" t="n">
        <v>142510</v>
      </c>
      <c r="G1432" s="263" t="inlineStr">
        <is>
          <t>Broche larga rinforzata in plastica ad inserimento automatico mm. 50 nera con ag</t>
        </is>
      </c>
      <c r="H1432" s="264" t="n">
        <v>100</v>
      </c>
      <c r="I1432" s="265" t="n">
        <v>0.271</v>
      </c>
      <c r="J1432" s="214" t="n"/>
      <c r="K1432" s="208" t="n"/>
      <c r="L1432" s="424" t="n"/>
      <c r="M1432" s="961" t="n"/>
      <c r="N1432" s="214" t="n"/>
    </row>
    <row r="1433">
      <c r="A1433" s="207" t="n"/>
      <c r="B1433" s="209" t="n"/>
      <c r="C1433" s="207" t="n"/>
      <c r="D1433" s="963" t="n"/>
      <c r="E1433" s="214" t="n"/>
      <c r="F1433" s="262" t="n">
        <v>142511</v>
      </c>
      <c r="G1433" s="263" t="inlineStr">
        <is>
          <t>Broche larga rinforzata in plastica ad inserimento automatico mm. 100 nera con a</t>
        </is>
      </c>
      <c r="H1433" s="264" t="n">
        <v>100</v>
      </c>
      <c r="I1433" s="265" t="n">
        <v>0.321</v>
      </c>
      <c r="J1433" s="214" t="n"/>
      <c r="K1433" s="208" t="n"/>
      <c r="L1433" s="424" t="n"/>
      <c r="M1433" s="961" t="n"/>
      <c r="N1433" s="214" t="n"/>
    </row>
    <row r="1434">
      <c r="A1434" s="207" t="n"/>
      <c r="B1434" s="209" t="n"/>
      <c r="C1434" s="207" t="n"/>
      <c r="D1434" s="963" t="n"/>
      <c r="E1434" s="214" t="n"/>
      <c r="F1434" s="262" t="n">
        <v>142512</v>
      </c>
      <c r="G1434" s="263" t="inlineStr">
        <is>
          <t>Broche larga rinforzata in plastica ad inserimento automatico mm. 150 nera con a</t>
        </is>
      </c>
      <c r="H1434" s="264" t="n">
        <v>100</v>
      </c>
      <c r="I1434" s="265" t="n">
        <v>0.36</v>
      </c>
      <c r="J1434" s="214" t="n"/>
      <c r="K1434" s="208" t="n"/>
      <c r="L1434" s="424" t="n"/>
      <c r="M1434" s="961" t="n"/>
      <c r="N1434" s="214" t="n"/>
    </row>
    <row r="1435">
      <c r="A1435" s="207" t="n"/>
      <c r="B1435" s="209" t="n"/>
      <c r="C1435" s="207" t="n"/>
      <c r="D1435" s="963" t="n"/>
      <c r="E1435" s="214" t="n"/>
      <c r="F1435" s="262" t="n">
        <v>142513</v>
      </c>
      <c r="G1435" s="263" t="inlineStr">
        <is>
          <t>Broche larga rinforzata in plastica ad inserimento automatico mm. 200 nera con a</t>
        </is>
      </c>
      <c r="H1435" s="264" t="n">
        <v>100</v>
      </c>
      <c r="I1435" s="265" t="n">
        <v>0.417</v>
      </c>
      <c r="J1435" s="214" t="n"/>
      <c r="K1435" s="208" t="n"/>
      <c r="L1435" s="424" t="n"/>
      <c r="M1435" s="961" t="n"/>
      <c r="N1435" s="214" t="n"/>
    </row>
    <row r="1436">
      <c r="A1436" s="207" t="n"/>
      <c r="B1436" s="209" t="n"/>
      <c r="C1436" s="207" t="n"/>
      <c r="D1436" s="963" t="n"/>
      <c r="E1436" s="214" t="n"/>
      <c r="F1436" s="262" t="n">
        <v>142514</v>
      </c>
      <c r="G1436" s="263" t="inlineStr">
        <is>
          <t>Broche larga rinforzata in plastica ad inserimento automatico mm. 250 nera con a</t>
        </is>
      </c>
      <c r="H1436" s="264" t="n">
        <v>100</v>
      </c>
      <c r="I1436" s="265" t="n">
        <v>0.479</v>
      </c>
      <c r="J1436" s="214" t="n"/>
      <c r="K1436" s="208" t="n"/>
      <c r="L1436" s="424" t="n"/>
      <c r="M1436" s="961" t="n"/>
      <c r="N1436" s="214" t="n"/>
    </row>
    <row r="1437">
      <c r="A1437" s="207" t="n"/>
      <c r="B1437" s="209" t="n"/>
      <c r="C1437" s="207" t="n"/>
      <c r="D1437" s="963" t="n"/>
      <c r="E1437" s="214" t="n"/>
      <c r="F1437" s="262" t="n">
        <v>142520</v>
      </c>
      <c r="G1437" s="263" t="inlineStr">
        <is>
          <t>Broche larga rinforzata in plastica ad inserimento automatico mm. 50 trasparente</t>
        </is>
      </c>
      <c r="H1437" s="264" t="n">
        <v>100</v>
      </c>
      <c r="I1437" s="265" t="n">
        <v>0.32</v>
      </c>
      <c r="J1437" s="214" t="n"/>
      <c r="K1437" s="208" t="n"/>
      <c r="L1437" s="424" t="n"/>
      <c r="M1437" s="961" t="n"/>
      <c r="N1437" s="214" t="n"/>
    </row>
    <row r="1438">
      <c r="A1438" s="207" t="n"/>
      <c r="B1438" s="209" t="n"/>
      <c r="C1438" s="207" t="n"/>
      <c r="D1438" s="963" t="n"/>
      <c r="E1438" s="214" t="n"/>
      <c r="F1438" s="262" t="n">
        <v>142521</v>
      </c>
      <c r="G1438" s="263" t="inlineStr">
        <is>
          <t>Broche larga rinforzata in plastica ad inserimento automatico mm. 100 trasparente</t>
        </is>
      </c>
      <c r="H1438" s="264" t="n">
        <v>100</v>
      </c>
      <c r="I1438" s="265" t="n">
        <v>0.379</v>
      </c>
      <c r="J1438" s="214" t="n"/>
      <c r="K1438" s="208" t="n"/>
      <c r="L1438" s="424" t="n"/>
      <c r="M1438" s="961" t="n"/>
      <c r="N1438" s="214" t="n"/>
    </row>
    <row r="1439">
      <c r="A1439" s="207" t="n"/>
      <c r="B1439" s="209" t="n"/>
      <c r="C1439" s="207" t="n"/>
      <c r="D1439" s="963" t="n"/>
      <c r="E1439" s="214" t="n"/>
      <c r="F1439" s="262" t="n">
        <v>142522</v>
      </c>
      <c r="G1439" s="263" t="inlineStr">
        <is>
          <t>Broche larga rinforzata in plastica ad inserimento automatico mm. 150 trasparente</t>
        </is>
      </c>
      <c r="H1439" s="264" t="n">
        <v>100</v>
      </c>
      <c r="I1439" s="265" t="n">
        <v>0.425</v>
      </c>
      <c r="J1439" s="214" t="n"/>
      <c r="K1439" s="208" t="n"/>
      <c r="L1439" s="424" t="n"/>
      <c r="M1439" s="961" t="n"/>
      <c r="N1439" s="214" t="n"/>
    </row>
    <row r="1440">
      <c r="A1440" s="207" t="n"/>
      <c r="B1440" s="209" t="n"/>
      <c r="C1440" s="207" t="n"/>
      <c r="D1440" s="963" t="n"/>
      <c r="E1440" s="214" t="n"/>
      <c r="F1440" s="262" t="n">
        <v>142523</v>
      </c>
      <c r="G1440" s="263" t="inlineStr">
        <is>
          <t>Broche larga rinforzata in plastica ad inserimento automatico mm. 200 trasparente</t>
        </is>
      </c>
      <c r="H1440" s="264" t="n">
        <v>100</v>
      </c>
      <c r="I1440" s="265" t="n">
        <v>0.492</v>
      </c>
      <c r="J1440" s="214" t="n"/>
      <c r="K1440" s="208" t="n"/>
      <c r="L1440" s="424" t="n"/>
      <c r="M1440" s="961" t="n"/>
      <c r="N1440" s="214" t="n"/>
    </row>
    <row r="1441">
      <c r="A1441" s="207" t="n"/>
      <c r="B1441" s="209" t="n"/>
      <c r="C1441" s="207" t="n"/>
      <c r="D1441" s="963" t="n"/>
      <c r="E1441" s="214" t="n"/>
      <c r="F1441" s="262" t="n">
        <v>142524</v>
      </c>
      <c r="G1441" s="263" t="inlineStr">
        <is>
          <t>Broche larga rinforzata in plastica ad inserimento automatico mm. 250 trasparente</t>
        </is>
      </c>
      <c r="H1441" s="264" t="n">
        <v>100</v>
      </c>
      <c r="I1441" s="265" t="n">
        <v>0.5659999999999999</v>
      </c>
      <c r="J1441" s="214" t="n"/>
      <c r="K1441" s="208" t="n"/>
      <c r="L1441" s="424" t="n"/>
      <c r="M1441" s="961" t="n"/>
      <c r="N1441" s="214" t="n"/>
    </row>
    <row r="1442">
      <c r="A1442" s="207" t="n"/>
      <c r="B1442" s="209" t="n"/>
      <c r="C1442" s="207" t="n"/>
      <c r="D1442" s="963" t="n"/>
      <c r="E1442" s="214" t="n"/>
      <c r="F1442" s="262" t="n">
        <v>142530</v>
      </c>
      <c r="G1442" s="263" t="inlineStr">
        <is>
          <t>Broche rinforzata in plastica per pannelli forati mm. 50 bianca con aggancio porta</t>
        </is>
      </c>
      <c r="H1442" s="264" t="n">
        <v>100</v>
      </c>
      <c r="I1442" s="265" t="n">
        <v>0.161</v>
      </c>
      <c r="J1442" s="214" t="n"/>
      <c r="K1442" s="208" t="n"/>
      <c r="L1442" s="424" t="n"/>
      <c r="M1442" s="961" t="n"/>
      <c r="N1442" s="214" t="n"/>
    </row>
    <row r="1443">
      <c r="A1443" s="207" t="n"/>
      <c r="B1443" s="209" t="n"/>
      <c r="C1443" s="207" t="n"/>
      <c r="D1443" s="963" t="n"/>
      <c r="E1443" s="214" t="n"/>
      <c r="F1443" s="262" t="n">
        <v>142531</v>
      </c>
      <c r="G1443" s="263" t="inlineStr">
        <is>
          <t>Broche rinforzata in plastica per pannelli forati mm. 100 bianca con aggancio porta</t>
        </is>
      </c>
      <c r="H1443" s="264" t="n">
        <v>100</v>
      </c>
      <c r="I1443" s="265" t="n">
        <v>0.205</v>
      </c>
      <c r="J1443" s="214" t="n"/>
      <c r="K1443" s="208" t="n"/>
      <c r="L1443" s="424" t="n"/>
      <c r="M1443" s="961" t="n"/>
      <c r="N1443" s="214" t="n"/>
    </row>
    <row r="1444">
      <c r="A1444" s="207" t="n"/>
      <c r="B1444" s="209" t="n"/>
      <c r="C1444" s="207" t="n"/>
      <c r="D1444" s="963" t="n"/>
      <c r="E1444" s="214" t="n"/>
      <c r="F1444" s="262" t="n">
        <v>142532</v>
      </c>
      <c r="G1444" s="263" t="inlineStr">
        <is>
          <t>Broche rinforzata in plastica per pannelli forati mm. 150 bianca con aggancio porta</t>
        </is>
      </c>
      <c r="H1444" s="264" t="n">
        <v>100</v>
      </c>
      <c r="I1444" s="265" t="n">
        <v>0.246</v>
      </c>
      <c r="J1444" s="214" t="n"/>
      <c r="K1444" s="208" t="n"/>
      <c r="L1444" s="424" t="n"/>
      <c r="M1444" s="961" t="n"/>
      <c r="N1444" s="214" t="n"/>
    </row>
    <row r="1445">
      <c r="A1445" s="207" t="n"/>
      <c r="B1445" s="209" t="n"/>
      <c r="C1445" s="207" t="n"/>
      <c r="D1445" s="963" t="n"/>
      <c r="E1445" s="214" t="n"/>
      <c r="F1445" s="262" t="n">
        <v>142533</v>
      </c>
      <c r="G1445" s="263" t="inlineStr">
        <is>
          <t>Broche rinforzata in plastica per pannelli forati mm. 200 bianca con aggancio porta</t>
        </is>
      </c>
      <c r="H1445" s="264" t="n">
        <v>100</v>
      </c>
      <c r="I1445" s="265" t="n">
        <v>0.288</v>
      </c>
      <c r="J1445" s="214" t="n"/>
      <c r="K1445" s="208" t="n"/>
      <c r="L1445" s="424" t="n"/>
      <c r="M1445" s="961" t="n"/>
      <c r="N1445" s="214" t="n"/>
    </row>
    <row r="1446">
      <c r="A1446" s="207" t="n"/>
      <c r="B1446" s="209" t="n"/>
      <c r="C1446" s="207" t="n"/>
      <c r="D1446" s="963" t="n"/>
      <c r="E1446" s="214" t="n"/>
      <c r="F1446" s="262" t="n">
        <v>142534</v>
      </c>
      <c r="G1446" s="263" t="inlineStr">
        <is>
          <t>Broche rinforzata in plastica per pannelli forati mm. 250 bianca con aggancio porta</t>
        </is>
      </c>
      <c r="H1446" s="264" t="n">
        <v>100</v>
      </c>
      <c r="I1446" s="265" t="n">
        <v>0.33</v>
      </c>
      <c r="J1446" s="214" t="n"/>
      <c r="K1446" s="208" t="n"/>
      <c r="L1446" s="424" t="n"/>
      <c r="M1446" s="961" t="n"/>
      <c r="N1446" s="214" t="n"/>
    </row>
    <row r="1447">
      <c r="A1447" s="207" t="n"/>
      <c r="B1447" s="209" t="n"/>
      <c r="C1447" s="207" t="n"/>
      <c r="D1447" s="963" t="n"/>
      <c r="E1447" s="214" t="n"/>
      <c r="F1447" s="262" t="n">
        <v>142540</v>
      </c>
      <c r="G1447" s="263" t="inlineStr">
        <is>
          <t>Broche rinforzata in plastica per pannelli forati mm. 50 nera con aggancio porta eti</t>
        </is>
      </c>
      <c r="H1447" s="264" t="n">
        <v>100</v>
      </c>
      <c r="I1447" s="265" t="n">
        <v>0.177</v>
      </c>
      <c r="J1447" s="214" t="n"/>
      <c r="K1447" s="208" t="n"/>
      <c r="L1447" s="424" t="n"/>
      <c r="M1447" s="961" t="n"/>
      <c r="N1447" s="214" t="n"/>
    </row>
    <row r="1448">
      <c r="A1448" s="207" t="n"/>
      <c r="B1448" s="209" t="n"/>
      <c r="C1448" s="207" t="n"/>
      <c r="D1448" s="963" t="n"/>
      <c r="E1448" s="214" t="n"/>
      <c r="F1448" s="262" t="n">
        <v>142541</v>
      </c>
      <c r="G1448" s="263" t="inlineStr">
        <is>
          <t>Broche rinforzata in plastica per pannelli forati mm. 100 nera con aggancio porta e</t>
        </is>
      </c>
      <c r="H1448" s="264" t="n">
        <v>100</v>
      </c>
      <c r="I1448" s="265" t="n">
        <v>0.225</v>
      </c>
      <c r="J1448" s="214" t="n"/>
      <c r="K1448" s="208" t="n"/>
      <c r="L1448" s="424" t="n"/>
      <c r="M1448" s="961" t="n"/>
      <c r="N1448" s="214" t="n"/>
    </row>
    <row r="1449">
      <c r="A1449" s="207" t="n"/>
      <c r="B1449" s="209" t="n"/>
      <c r="C1449" s="207" t="n"/>
      <c r="D1449" s="963" t="n"/>
      <c r="E1449" s="214" t="n"/>
      <c r="F1449" s="262" t="n">
        <v>142542</v>
      </c>
      <c r="G1449" s="263" t="inlineStr">
        <is>
          <t>Broche rinforzata in plastica per pannelli forati mm. 150 nera con aggancio porta e</t>
        </is>
      </c>
      <c r="H1449" s="264" t="n">
        <v>100</v>
      </c>
      <c r="I1449" s="265" t="n">
        <v>0.27</v>
      </c>
      <c r="J1449" s="214" t="n"/>
      <c r="K1449" s="208" t="n"/>
      <c r="L1449" s="424" t="n"/>
      <c r="M1449" s="961" t="n"/>
      <c r="N1449" s="214" t="n"/>
    </row>
    <row r="1450">
      <c r="A1450" s="207" t="n"/>
      <c r="B1450" s="209" t="n"/>
      <c r="C1450" s="207" t="n"/>
      <c r="D1450" s="963" t="n"/>
      <c r="E1450" s="214" t="n"/>
      <c r="F1450" s="262" t="n">
        <v>142543</v>
      </c>
      <c r="G1450" s="263" t="inlineStr">
        <is>
          <t>Broche rinforzata in plastica per pannelli forati mm. 200 nera con aggancio porta e</t>
        </is>
      </c>
      <c r="H1450" s="264" t="n">
        <v>100</v>
      </c>
      <c r="I1450" s="265" t="n">
        <v>0.317</v>
      </c>
      <c r="J1450" s="214" t="n"/>
      <c r="K1450" s="208" t="n"/>
      <c r="L1450" s="424" t="n"/>
      <c r="M1450" s="961" t="n"/>
      <c r="N1450" s="214" t="n"/>
    </row>
    <row r="1451">
      <c r="A1451" s="207" t="n"/>
      <c r="B1451" s="209" t="n"/>
      <c r="C1451" s="207" t="n"/>
      <c r="D1451" s="963" t="n"/>
      <c r="E1451" s="214" t="n"/>
      <c r="F1451" s="262" t="n">
        <v>142544</v>
      </c>
      <c r="G1451" s="263" t="inlineStr">
        <is>
          <t>Broche rinforzata in plastica per pannelli forati mm. 250 nera con aggancio porta e</t>
        </is>
      </c>
      <c r="H1451" s="264" t="n">
        <v>100</v>
      </c>
      <c r="I1451" s="265" t="n">
        <v>0.363</v>
      </c>
      <c r="J1451" s="214" t="n"/>
      <c r="K1451" s="208" t="n"/>
      <c r="L1451" s="424" t="n"/>
      <c r="M1451" s="961" t="n"/>
      <c r="N1451" s="214" t="n"/>
    </row>
    <row r="1452">
      <c r="A1452" s="207" t="n"/>
      <c r="B1452" s="209" t="n"/>
      <c r="C1452" s="207" t="n"/>
      <c r="D1452" s="963" t="n"/>
      <c r="E1452" s="214" t="n"/>
      <c r="F1452" s="262" t="n">
        <v>142550</v>
      </c>
      <c r="G1452" s="263" t="inlineStr">
        <is>
          <t>Broche rinforzata in plastica per pannelli forati mm. 50 trasparente con aggancio p</t>
        </is>
      </c>
      <c r="H1452" s="264" t="n">
        <v>100</v>
      </c>
      <c r="I1452" s="265" t="n">
        <v>0.209</v>
      </c>
      <c r="J1452" s="214" t="n"/>
      <c r="K1452" s="208" t="n"/>
      <c r="L1452" s="424" t="n"/>
      <c r="M1452" s="961" t="n"/>
      <c r="N1452" s="214" t="n"/>
    </row>
    <row r="1453">
      <c r="A1453" s="207" t="n"/>
      <c r="B1453" s="209" t="n"/>
      <c r="C1453" s="207" t="n"/>
      <c r="D1453" s="963" t="n"/>
      <c r="E1453" s="214" t="n"/>
      <c r="F1453" s="262" t="n">
        <v>142551</v>
      </c>
      <c r="G1453" s="263" t="inlineStr">
        <is>
          <t>Broche rinforzata in plastica per pannelli forati mm. 100 trasparente con aggancio</t>
        </is>
      </c>
      <c r="H1453" s="264" t="n">
        <v>100</v>
      </c>
      <c r="I1453" s="265" t="n">
        <v>0.266</v>
      </c>
      <c r="J1453" s="214" t="n"/>
      <c r="K1453" s="208" t="n"/>
      <c r="L1453" s="424" t="n"/>
      <c r="M1453" s="961" t="n"/>
      <c r="N1453" s="214" t="n"/>
    </row>
    <row r="1454">
      <c r="A1454" s="207" t="n"/>
      <c r="B1454" s="209" t="n"/>
      <c r="C1454" s="207" t="n"/>
      <c r="D1454" s="963" t="n"/>
      <c r="E1454" s="214" t="n"/>
      <c r="F1454" s="262" t="n">
        <v>142552</v>
      </c>
      <c r="G1454" s="263" t="inlineStr">
        <is>
          <t>Broche rinforzata in plastica per pannelli forati mm. 150 trasparente con aggancio</t>
        </is>
      </c>
      <c r="H1454" s="264" t="n">
        <v>100</v>
      </c>
      <c r="I1454" s="265" t="n">
        <v>0.32</v>
      </c>
      <c r="J1454" s="214" t="n"/>
      <c r="K1454" s="208" t="n"/>
      <c r="L1454" s="424" t="n"/>
      <c r="M1454" s="961" t="n"/>
      <c r="N1454" s="214" t="n"/>
    </row>
    <row r="1455">
      <c r="A1455" s="207" t="n"/>
      <c r="B1455" s="209" t="n"/>
      <c r="C1455" s="207" t="n"/>
      <c r="D1455" s="963" t="n"/>
      <c r="E1455" s="214" t="n"/>
      <c r="F1455" s="262" t="n">
        <v>142553</v>
      </c>
      <c r="G1455" s="263" t="inlineStr">
        <is>
          <t>Broche rinforzata in plastica per pannelli forati mm. 200 trasparente con aggancio</t>
        </is>
      </c>
      <c r="H1455" s="264" t="n">
        <v>100</v>
      </c>
      <c r="I1455" s="265" t="n">
        <v>0.375</v>
      </c>
      <c r="J1455" s="214" t="n"/>
      <c r="K1455" s="208" t="n"/>
      <c r="L1455" s="424" t="n"/>
      <c r="M1455" s="961" t="n"/>
      <c r="N1455" s="214" t="n"/>
    </row>
    <row r="1456">
      <c r="A1456" s="207" t="n"/>
      <c r="B1456" s="209" t="n"/>
      <c r="C1456" s="207" t="n"/>
      <c r="D1456" s="963" t="n"/>
      <c r="E1456" s="214" t="n"/>
      <c r="F1456" s="262" t="n">
        <v>142554</v>
      </c>
      <c r="G1456" s="263" t="inlineStr">
        <is>
          <t>Broche rinforzata in plastica per pannelli forati mm. 250 trasparente con aggancio</t>
        </is>
      </c>
      <c r="H1456" s="264" t="n">
        <v>100</v>
      </c>
      <c r="I1456" s="265" t="n">
        <v>0.429</v>
      </c>
      <c r="J1456" s="214" t="n"/>
      <c r="K1456" s="208" t="n"/>
      <c r="L1456" s="424" t="n"/>
      <c r="M1456" s="961" t="n"/>
      <c r="N1456" s="214" t="n"/>
    </row>
    <row r="1457">
      <c r="A1457" s="207" t="n"/>
      <c r="B1457" s="209" t="n"/>
      <c r="C1457" s="207" t="n"/>
      <c r="D1457" s="963" t="n"/>
      <c r="E1457" s="214" t="n"/>
      <c r="F1457" s="262" t="n">
        <v>142561</v>
      </c>
      <c r="G1457" s="263" t="inlineStr">
        <is>
          <t>Broche larga rinforzata mm. 100 bianca con aggancio porta etichette corto</t>
        </is>
      </c>
      <c r="H1457" s="264" t="n">
        <v>100</v>
      </c>
      <c r="I1457" s="265" t="n">
        <v>0.307</v>
      </c>
      <c r="J1457" s="214" t="n"/>
      <c r="K1457" s="208" t="n"/>
      <c r="L1457" s="424" t="n"/>
      <c r="M1457" s="961" t="n"/>
      <c r="N1457" s="214" t="n"/>
    </row>
    <row r="1458">
      <c r="A1458" s="207" t="n"/>
      <c r="B1458" s="209" t="n"/>
      <c r="C1458" s="207" t="n"/>
      <c r="D1458" s="963" t="n"/>
      <c r="E1458" s="214" t="n"/>
      <c r="F1458" s="262" t="n">
        <v>142562</v>
      </c>
      <c r="G1458" s="263" t="inlineStr">
        <is>
          <t>Broche larga rinforzata mm. 150 bianca con aggancio porta etichette corto</t>
        </is>
      </c>
      <c r="H1458" s="264" t="n">
        <v>100</v>
      </c>
      <c r="I1458" s="265" t="n">
        <v>0.335</v>
      </c>
      <c r="J1458" s="214" t="n"/>
      <c r="K1458" s="208" t="n"/>
      <c r="L1458" s="424" t="n"/>
      <c r="M1458" s="961" t="n"/>
      <c r="N1458" s="214" t="n"/>
    </row>
    <row r="1459">
      <c r="A1459" s="207" t="n"/>
      <c r="B1459" s="209" t="n"/>
      <c r="C1459" s="207" t="n"/>
      <c r="D1459" s="963" t="n"/>
      <c r="E1459" s="214" t="n"/>
      <c r="F1459" s="262" t="n">
        <v>142563</v>
      </c>
      <c r="G1459" s="263" t="inlineStr">
        <is>
          <t>Broche larga rinforzata mm. 200 bianca con aggancio porta etichette corto</t>
        </is>
      </c>
      <c r="H1459" s="264" t="n">
        <v>100</v>
      </c>
      <c r="I1459" s="265" t="n">
        <v>0.393</v>
      </c>
      <c r="J1459" s="214" t="n"/>
      <c r="K1459" s="208" t="n"/>
      <c r="L1459" s="424" t="n"/>
      <c r="M1459" s="961" t="n"/>
      <c r="N1459" s="214" t="n"/>
    </row>
    <row r="1460">
      <c r="A1460" s="207" t="n"/>
      <c r="B1460" s="209" t="n"/>
      <c r="C1460" s="207" t="n"/>
      <c r="D1460" s="963" t="n"/>
      <c r="E1460" s="214" t="n"/>
      <c r="F1460" s="262" t="n">
        <v>142564</v>
      </c>
      <c r="G1460" s="263" t="inlineStr">
        <is>
          <t>Broche larga rinforzata mm. 250 bianca con aggancio porta etichette corto</t>
        </is>
      </c>
      <c r="H1460" s="264" t="n">
        <v>100</v>
      </c>
      <c r="I1460" s="265" t="n">
        <v>0.442</v>
      </c>
      <c r="J1460" s="214" t="n"/>
      <c r="K1460" s="208" t="n"/>
      <c r="L1460" s="424" t="n"/>
      <c r="M1460" s="961" t="n"/>
      <c r="N1460" s="214" t="n"/>
    </row>
    <row r="1461">
      <c r="A1461" s="207" t="n"/>
      <c r="B1461" s="209" t="n"/>
      <c r="C1461" s="207" t="n"/>
      <c r="D1461" s="963" t="n"/>
      <c r="E1461" s="214" t="n"/>
      <c r="F1461" s="262" t="n">
        <v>142581</v>
      </c>
      <c r="G1461" s="263" t="inlineStr">
        <is>
          <t>Broche larga rinforzata mm. 100 trasparente con aggancio porta etichette corto</t>
        </is>
      </c>
      <c r="H1461" s="264" t="n">
        <v>100</v>
      </c>
      <c r="I1461" s="265" t="n">
        <v>0.399</v>
      </c>
      <c r="J1461" s="214" t="n"/>
      <c r="K1461" s="208" t="n"/>
      <c r="L1461" s="424" t="n"/>
      <c r="M1461" s="961" t="n"/>
      <c r="N1461" s="214" t="n"/>
    </row>
    <row r="1462">
      <c r="A1462" s="207" t="n"/>
      <c r="B1462" s="209" t="n"/>
      <c r="C1462" s="207" t="n"/>
      <c r="D1462" s="963" t="n"/>
      <c r="E1462" s="214" t="n"/>
      <c r="F1462" s="262" t="n">
        <v>142582</v>
      </c>
      <c r="G1462" s="263" t="inlineStr">
        <is>
          <t>Broche larga rinforzata mm. 150 trasparente con aggancio porta etichette corto</t>
        </is>
      </c>
      <c r="H1462" s="264" t="n">
        <v>100</v>
      </c>
      <c r="I1462" s="265" t="n">
        <v>0.436</v>
      </c>
      <c r="J1462" s="214" t="n"/>
      <c r="K1462" s="208" t="n"/>
      <c r="L1462" s="424" t="n"/>
      <c r="M1462" s="961" t="n"/>
      <c r="N1462" s="214" t="n"/>
    </row>
    <row r="1463">
      <c r="A1463" s="207" t="n"/>
      <c r="B1463" s="209" t="n"/>
      <c r="C1463" s="207" t="n"/>
      <c r="D1463" s="963" t="n"/>
      <c r="E1463" s="214" t="n"/>
      <c r="F1463" s="262" t="n">
        <v>142583</v>
      </c>
      <c r="G1463" s="263" t="inlineStr">
        <is>
          <t>Broche larga rinforzata mm. 200 trasparente con aggancio porta etichette corto</t>
        </is>
      </c>
      <c r="H1463" s="264" t="n">
        <v>100</v>
      </c>
      <c r="I1463" s="265" t="n">
        <v>0.511</v>
      </c>
      <c r="J1463" s="214" t="n"/>
      <c r="K1463" s="208" t="n"/>
      <c r="L1463" s="424" t="n"/>
      <c r="M1463" s="961" t="n"/>
      <c r="N1463" s="214" t="n"/>
    </row>
    <row r="1464">
      <c r="A1464" s="207" t="n"/>
      <c r="B1464" s="209" t="n"/>
      <c r="C1464" s="207" t="n"/>
      <c r="D1464" s="963" t="n"/>
      <c r="E1464" s="214" t="n"/>
      <c r="F1464" s="262" t="n">
        <v>142584</v>
      </c>
      <c r="G1464" s="263" t="inlineStr">
        <is>
          <t>Broche larga rinforzata mm. 250 trasparente con aggancio porta etichette corto</t>
        </is>
      </c>
      <c r="H1464" s="264" t="n">
        <v>100</v>
      </c>
      <c r="I1464" s="265" t="n">
        <v>0.575</v>
      </c>
      <c r="J1464" s="214" t="n"/>
      <c r="K1464" s="208" t="n"/>
      <c r="L1464" s="424" t="n"/>
      <c r="M1464" s="961" t="n"/>
      <c r="N1464" s="214" t="n"/>
    </row>
    <row r="1465">
      <c r="A1465" s="207" t="n"/>
      <c r="B1465" s="209" t="n"/>
      <c r="C1465" s="207" t="n"/>
      <c r="D1465" s="963" t="n"/>
      <c r="E1465" s="214" t="n"/>
      <c r="F1465" s="262" t="n">
        <v>142590</v>
      </c>
      <c r="G1465" s="263" t="inlineStr">
        <is>
          <t>Broche larga rinforzata con placca antirimozione bianca mm. 50 con aggancio por</t>
        </is>
      </c>
      <c r="H1465" s="264" t="n">
        <v>100</v>
      </c>
      <c r="I1465" s="265" t="n">
        <v>0.254</v>
      </c>
      <c r="J1465" s="214" t="n"/>
      <c r="K1465" s="208" t="n"/>
      <c r="L1465" s="424" t="n"/>
      <c r="M1465" s="961" t="n"/>
      <c r="N1465" s="214" t="n"/>
    </row>
    <row r="1466">
      <c r="A1466" s="207" t="n"/>
      <c r="B1466" s="209" t="n"/>
      <c r="C1466" s="207" t="n"/>
      <c r="D1466" s="963" t="n"/>
      <c r="E1466" s="214" t="n"/>
      <c r="F1466" s="262" t="n">
        <v>142591</v>
      </c>
      <c r="G1466" s="263" t="inlineStr">
        <is>
          <t>Broche larga rinforzata con placca antirimozione bianca mm. 100 con aggancio po</t>
        </is>
      </c>
      <c r="H1466" s="264" t="n">
        <v>100</v>
      </c>
      <c r="I1466" s="265" t="n">
        <v>0.293</v>
      </c>
      <c r="J1466" s="214" t="n"/>
      <c r="K1466" s="208" t="n"/>
      <c r="L1466" s="424" t="n"/>
      <c r="M1466" s="961" t="n"/>
      <c r="N1466" s="214" t="n"/>
    </row>
    <row r="1467">
      <c r="A1467" s="207" t="n"/>
      <c r="B1467" s="209" t="n"/>
      <c r="C1467" s="207" t="n"/>
      <c r="D1467" s="963" t="n"/>
      <c r="E1467" s="214" t="n"/>
      <c r="F1467" s="262" t="n">
        <v>142592</v>
      </c>
      <c r="G1467" s="263" t="inlineStr">
        <is>
          <t>Broche larga rinforzata con placca antirimozione bianca mm. 150 con aggancio po</t>
        </is>
      </c>
      <c r="H1467" s="264" t="n">
        <v>100</v>
      </c>
      <c r="I1467" s="265" t="n">
        <v>0.334</v>
      </c>
      <c r="J1467" s="214" t="n"/>
      <c r="K1467" s="208" t="n"/>
      <c r="L1467" s="424" t="n"/>
      <c r="M1467" s="961" t="n"/>
      <c r="N1467" s="214" t="n"/>
    </row>
    <row r="1468">
      <c r="A1468" s="207" t="n"/>
      <c r="B1468" s="209" t="n"/>
      <c r="C1468" s="207" t="n"/>
      <c r="D1468" s="963" t="n"/>
      <c r="E1468" s="214" t="n"/>
      <c r="F1468" s="262" t="n">
        <v>142593</v>
      </c>
      <c r="G1468" s="263" t="inlineStr">
        <is>
          <t>Broche larga rinforzata con placca antirimozione bianca mm. 200 con aggancio po</t>
        </is>
      </c>
      <c r="H1468" s="264" t="n">
        <v>100</v>
      </c>
      <c r="I1468" s="265" t="n">
        <v>0.376</v>
      </c>
      <c r="J1468" s="214" t="n"/>
      <c r="K1468" s="208" t="n"/>
      <c r="L1468" s="424" t="n"/>
      <c r="M1468" s="961" t="n"/>
      <c r="N1468" s="214" t="n"/>
    </row>
    <row r="1469">
      <c r="A1469" s="207" t="n"/>
      <c r="B1469" s="209" t="n"/>
      <c r="C1469" s="207" t="n"/>
      <c r="D1469" s="963" t="n"/>
      <c r="E1469" s="214" t="n"/>
      <c r="F1469" s="262" t="n">
        <v>142594</v>
      </c>
      <c r="G1469" s="263" t="inlineStr">
        <is>
          <t>Broche larga rinforzata con placca antirimozione bianca mm. 250 con aggancio po</t>
        </is>
      </c>
      <c r="H1469" s="264" t="n">
        <v>100</v>
      </c>
      <c r="I1469" s="265" t="n">
        <v>0.44</v>
      </c>
      <c r="J1469" s="214" t="n"/>
      <c r="K1469" s="208" t="n"/>
      <c r="L1469" s="424" t="n"/>
      <c r="M1469" s="961" t="n"/>
      <c r="N1469" s="214" t="n"/>
    </row>
    <row r="1470">
      <c r="A1470" s="207" t="n"/>
      <c r="B1470" s="209" t="n"/>
      <c r="C1470" s="207" t="n"/>
      <c r="D1470" s="963" t="n"/>
      <c r="E1470" s="214" t="n"/>
      <c r="F1470" s="262" t="n">
        <v>142600</v>
      </c>
      <c r="G1470" s="263" t="inlineStr">
        <is>
          <t>Broche larga rinforzata con placca antirimozione nera mm. 50 con aggancio porta</t>
        </is>
      </c>
      <c r="H1470" s="264" t="n">
        <v>100</v>
      </c>
      <c r="I1470" s="265" t="n">
        <v>0.279</v>
      </c>
      <c r="J1470" s="214" t="n"/>
      <c r="K1470" s="208" t="n"/>
      <c r="L1470" s="424" t="n"/>
      <c r="M1470" s="961" t="n"/>
      <c r="N1470" s="214" t="n"/>
    </row>
    <row r="1471">
      <c r="A1471" s="207" t="n"/>
      <c r="B1471" s="209" t="n"/>
      <c r="C1471" s="207" t="n"/>
      <c r="D1471" s="963" t="n"/>
      <c r="E1471" s="214" t="n"/>
      <c r="F1471" s="262" t="n">
        <v>142601</v>
      </c>
      <c r="G1471" s="263" t="inlineStr">
        <is>
          <t>Broche larga rinforzata con placca antirimozione nera mm. 100 con aggancio port</t>
        </is>
      </c>
      <c r="H1471" s="264" t="n">
        <v>100</v>
      </c>
      <c r="I1471" s="265" t="n">
        <v>0.322</v>
      </c>
      <c r="J1471" s="214" t="n"/>
      <c r="K1471" s="208" t="n"/>
      <c r="L1471" s="424" t="n"/>
      <c r="M1471" s="961" t="n"/>
      <c r="N1471" s="214" t="n"/>
    </row>
    <row r="1472">
      <c r="A1472" s="207" t="n"/>
      <c r="B1472" s="209" t="n"/>
      <c r="C1472" s="207" t="n"/>
      <c r="D1472" s="963" t="n"/>
      <c r="E1472" s="214" t="n"/>
      <c r="F1472" s="262" t="n">
        <v>142602</v>
      </c>
      <c r="G1472" s="263" t="inlineStr">
        <is>
          <t>Broche larga rinforzata con placca antirimozione nera mm. 150 con aggancio port</t>
        </is>
      </c>
      <c r="H1472" s="264" t="n">
        <v>100</v>
      </c>
      <c r="I1472" s="265" t="n">
        <v>0.367</v>
      </c>
      <c r="J1472" s="214" t="n"/>
      <c r="K1472" s="208" t="n"/>
      <c r="L1472" s="424" t="n"/>
      <c r="M1472" s="961" t="n"/>
      <c r="N1472" s="214" t="n"/>
    </row>
    <row r="1473">
      <c r="A1473" s="207" t="n"/>
      <c r="B1473" s="209" t="n"/>
      <c r="C1473" s="207" t="n"/>
      <c r="D1473" s="963" t="n"/>
      <c r="E1473" s="214" t="n"/>
      <c r="F1473" s="262" t="n">
        <v>142603</v>
      </c>
      <c r="G1473" s="263" t="inlineStr">
        <is>
          <t>Broche larga rinforzata con placca antirimozione nera mm. 200 con aggancio port</t>
        </is>
      </c>
      <c r="H1473" s="264" t="n">
        <v>100</v>
      </c>
      <c r="I1473" s="265" t="n">
        <v>0.414</v>
      </c>
      <c r="J1473" s="214" t="n"/>
      <c r="K1473" s="208" t="n"/>
      <c r="L1473" s="424" t="n"/>
      <c r="M1473" s="961" t="n"/>
      <c r="N1473" s="214" t="n"/>
    </row>
    <row r="1474">
      <c r="A1474" s="207" t="n"/>
      <c r="B1474" s="209" t="n"/>
      <c r="C1474" s="207" t="n"/>
      <c r="D1474" s="963" t="n"/>
      <c r="E1474" s="214" t="n"/>
      <c r="F1474" s="262" t="n">
        <v>142604</v>
      </c>
      <c r="G1474" s="263" t="inlineStr">
        <is>
          <t>Broche larga rinforzata con placca antirimozione nera mm. 250 con aggancio port</t>
        </is>
      </c>
      <c r="H1474" s="264" t="n">
        <v>100</v>
      </c>
      <c r="I1474" s="265" t="n">
        <v>0.484</v>
      </c>
      <c r="J1474" s="214" t="n"/>
      <c r="K1474" s="208" t="n"/>
      <c r="L1474" s="424" t="n"/>
      <c r="M1474" s="961" t="n"/>
      <c r="N1474" s="214" t="n"/>
    </row>
    <row r="1475">
      <c r="A1475" s="207" t="n"/>
      <c r="B1475" s="209" t="n"/>
      <c r="C1475" s="207" t="n"/>
      <c r="D1475" s="963" t="n"/>
      <c r="E1475" s="214" t="n"/>
      <c r="F1475" s="262" t="n">
        <v>142610</v>
      </c>
      <c r="G1475" s="263" t="inlineStr">
        <is>
          <t>Broche larga rinforzata con placca antirimozione trasparente mm. 50 con agganci</t>
        </is>
      </c>
      <c r="H1475" s="264" t="n">
        <v>100</v>
      </c>
      <c r="I1475" s="265" t="n">
        <v>0.33</v>
      </c>
      <c r="J1475" s="214" t="n"/>
      <c r="K1475" s="208" t="n"/>
      <c r="L1475" s="424" t="n"/>
      <c r="M1475" s="961" t="n"/>
      <c r="N1475" s="214" t="n"/>
    </row>
    <row r="1476">
      <c r="A1476" s="207" t="n"/>
      <c r="B1476" s="209" t="n"/>
      <c r="C1476" s="207" t="n"/>
      <c r="D1476" s="963" t="n"/>
      <c r="E1476" s="214" t="n"/>
      <c r="F1476" s="262" t="n">
        <v>142611</v>
      </c>
      <c r="G1476" s="263" t="inlineStr">
        <is>
          <t>Broche larga rinforzata con placca antirimozione trasparente mm. 100 con agganc</t>
        </is>
      </c>
      <c r="H1476" s="264" t="n">
        <v>100</v>
      </c>
      <c r="I1476" s="265" t="n">
        <v>0.381</v>
      </c>
      <c r="J1476" s="214" t="n"/>
      <c r="K1476" s="208" t="n"/>
      <c r="L1476" s="424" t="n"/>
      <c r="M1476" s="961" t="n"/>
      <c r="N1476" s="214" t="n"/>
    </row>
    <row r="1477">
      <c r="A1477" s="207" t="n"/>
      <c r="B1477" s="209" t="n"/>
      <c r="C1477" s="207" t="n"/>
      <c r="D1477" s="963" t="n"/>
      <c r="E1477" s="214" t="n"/>
      <c r="F1477" s="262" t="n">
        <v>142612</v>
      </c>
      <c r="G1477" s="263" t="inlineStr">
        <is>
          <t>Broche larga rinforzata con placca antirimozione trasparente mm. 150 con agganc</t>
        </is>
      </c>
      <c r="H1477" s="264" t="n">
        <v>100</v>
      </c>
      <c r="I1477" s="265" t="n">
        <v>0.434</v>
      </c>
      <c r="J1477" s="214" t="n"/>
      <c r="K1477" s="208" t="n"/>
      <c r="L1477" s="424" t="n"/>
      <c r="M1477" s="961" t="n"/>
      <c r="N1477" s="214" t="n"/>
    </row>
    <row r="1478">
      <c r="A1478" s="207" t="n"/>
      <c r="B1478" s="209" t="n"/>
      <c r="C1478" s="207" t="n"/>
      <c r="D1478" s="963" t="n"/>
      <c r="E1478" s="214" t="n"/>
      <c r="F1478" s="262" t="n">
        <v>142613</v>
      </c>
      <c r="G1478" s="263" t="inlineStr">
        <is>
          <t>Broche larga rinforzata con placca antirimozione trasparente mm. 200 con agganc</t>
        </is>
      </c>
      <c r="H1478" s="264" t="n">
        <v>100</v>
      </c>
      <c r="I1478" s="265" t="n">
        <v>0.489</v>
      </c>
      <c r="J1478" s="214" t="n"/>
      <c r="K1478" s="208" t="n"/>
      <c r="L1478" s="424" t="n"/>
      <c r="M1478" s="961" t="n"/>
      <c r="N1478" s="214" t="n"/>
    </row>
    <row r="1479">
      <c r="A1479" s="207" t="n"/>
      <c r="B1479" s="209" t="n"/>
      <c r="C1479" s="207" t="n"/>
      <c r="D1479" s="963" t="n"/>
      <c r="E1479" s="214" t="n"/>
      <c r="F1479" s="262" t="n">
        <v>142614</v>
      </c>
      <c r="G1479" s="263" t="inlineStr">
        <is>
          <t>Broche larga rinforzata con placca antirimozione trasparente mm. 250 con agganc</t>
        </is>
      </c>
      <c r="H1479" s="264" t="n">
        <v>100</v>
      </c>
      <c r="I1479" s="265" t="n">
        <v>0.572</v>
      </c>
      <c r="J1479" s="214" t="n"/>
      <c r="K1479" s="208" t="n"/>
      <c r="L1479" s="424" t="n"/>
      <c r="M1479" s="961" t="n"/>
      <c r="N1479" s="214" t="n"/>
    </row>
    <row r="1480">
      <c r="A1480" s="207" t="n"/>
      <c r="B1480" s="209" t="n"/>
      <c r="C1480" s="207" t="n"/>
      <c r="D1480" s="963" t="n"/>
      <c r="E1480" s="214" t="n"/>
      <c r="F1480" s="262" t="n">
        <v>142620</v>
      </c>
      <c r="G1480" s="263" t="inlineStr">
        <is>
          <t>Broche larga rinforzata in plastica per pannelli dogati mm. 50 bianca con aggancio</t>
        </is>
      </c>
      <c r="H1480" s="264" t="n">
        <v>100</v>
      </c>
      <c r="I1480" s="265" t="n">
        <v>0.175</v>
      </c>
      <c r="J1480" s="214" t="n"/>
      <c r="K1480" s="208" t="n"/>
      <c r="L1480" s="424" t="n"/>
      <c r="M1480" s="961" t="n"/>
      <c r="N1480" s="214" t="n"/>
    </row>
    <row r="1481">
      <c r="A1481" s="207" t="n"/>
      <c r="B1481" s="209" t="n"/>
      <c r="C1481" s="207" t="n"/>
      <c r="D1481" s="963" t="n"/>
      <c r="E1481" s="214" t="n"/>
      <c r="F1481" s="262" t="n">
        <v>142621</v>
      </c>
      <c r="G1481" s="263" t="inlineStr">
        <is>
          <t>Broche larga rinforzata in plastica per pannelli dogati mm. 100 bianca con agganci</t>
        </is>
      </c>
      <c r="H1481" s="264" t="n">
        <v>100</v>
      </c>
      <c r="I1481" s="265" t="n">
        <v>0.219</v>
      </c>
      <c r="J1481" s="214" t="n"/>
      <c r="K1481" s="208" t="n"/>
      <c r="L1481" s="424" t="n"/>
      <c r="M1481" s="961" t="n"/>
      <c r="N1481" s="214" t="n"/>
    </row>
    <row r="1482">
      <c r="A1482" s="207" t="n"/>
      <c r="B1482" s="209" t="n"/>
      <c r="C1482" s="207" t="n"/>
      <c r="D1482" s="963" t="n"/>
      <c r="E1482" s="214" t="n"/>
      <c r="F1482" s="262" t="n">
        <v>142622</v>
      </c>
      <c r="G1482" s="263" t="inlineStr">
        <is>
          <t>Broche larga rinforzata in plastica per pannelli dogati mm. 150 bianca con agganci</t>
        </is>
      </c>
      <c r="H1482" s="264" t="n">
        <v>100</v>
      </c>
      <c r="I1482" s="265" t="n">
        <v>0.265</v>
      </c>
      <c r="J1482" s="214" t="n"/>
      <c r="K1482" s="208" t="n"/>
      <c r="L1482" s="424" t="n"/>
      <c r="M1482" s="961" t="n"/>
      <c r="N1482" s="214" t="n"/>
    </row>
    <row r="1483">
      <c r="A1483" s="207" t="n"/>
      <c r="B1483" s="209" t="n"/>
      <c r="C1483" s="207" t="n"/>
      <c r="D1483" s="963" t="n"/>
      <c r="E1483" s="214" t="n"/>
      <c r="F1483" s="262" t="n">
        <v>142630</v>
      </c>
      <c r="G1483" s="263" t="inlineStr">
        <is>
          <t>Broche larga rinforzata in plastica per pannelli dogati mm. 50 nera con aggancio p</t>
        </is>
      </c>
      <c r="H1483" s="264" t="n">
        <v>100</v>
      </c>
      <c r="I1483" s="265" t="n">
        <v>0.193</v>
      </c>
      <c r="J1483" s="214" t="n"/>
      <c r="K1483" s="208" t="n"/>
      <c r="L1483" s="424" t="n"/>
      <c r="M1483" s="961" t="n"/>
      <c r="N1483" s="214" t="n"/>
    </row>
    <row r="1484">
      <c r="A1484" s="207" t="n"/>
      <c r="B1484" s="209" t="n"/>
      <c r="C1484" s="207" t="n"/>
      <c r="D1484" s="963" t="n"/>
      <c r="E1484" s="214" t="n"/>
      <c r="F1484" s="262" t="n">
        <v>142631</v>
      </c>
      <c r="G1484" s="263" t="inlineStr">
        <is>
          <t>Broche larga rinforzata in plastica per pannelli dogati mm. 100 nera con aggancio</t>
        </is>
      </c>
      <c r="H1484" s="264" t="n">
        <v>100</v>
      </c>
      <c r="I1484" s="265" t="n">
        <v>0.241</v>
      </c>
      <c r="J1484" s="214" t="n"/>
      <c r="K1484" s="208" t="n"/>
      <c r="L1484" s="424" t="n"/>
      <c r="M1484" s="961" t="n"/>
      <c r="N1484" s="214" t="n"/>
    </row>
    <row r="1485" ht="12.75" customHeight="1">
      <c r="A1485" s="207" t="n"/>
      <c r="B1485" s="209" t="n"/>
      <c r="C1485" s="209" t="n"/>
      <c r="D1485" s="960" t="n"/>
      <c r="E1485" s="215" t="n"/>
      <c r="F1485" s="262" t="n">
        <v>142632</v>
      </c>
      <c r="G1485" s="263" t="inlineStr">
        <is>
          <t>Broche larga rinforzata in plastica per pannelli dogati mm. 150 nera con aggancio</t>
        </is>
      </c>
      <c r="H1485" s="264" t="n">
        <v>100</v>
      </c>
      <c r="I1485" s="265" t="n">
        <v>0.292</v>
      </c>
      <c r="J1485" s="215" t="n"/>
      <c r="K1485" s="209" t="n"/>
      <c r="L1485" s="425" t="n"/>
      <c r="M1485" s="962" t="n"/>
      <c r="N1485" s="215" t="n"/>
    </row>
    <row r="1486" ht="12.75" customHeight="1">
      <c r="A1486" s="207" t="n"/>
      <c r="B1486" s="209" t="n"/>
      <c r="C1486" s="209" t="n"/>
      <c r="D1486" s="960" t="n"/>
      <c r="E1486" s="215" t="n"/>
      <c r="F1486" s="262" t="n">
        <v>142640</v>
      </c>
      <c r="G1486" s="263" t="inlineStr">
        <is>
          <t>Broche larga rinforzata in plastica per pannelli dogati mm. 50 trasparente con agg</t>
        </is>
      </c>
      <c r="H1486" s="264" t="n">
        <v>100</v>
      </c>
      <c r="I1486" s="265" t="n">
        <v>0.228</v>
      </c>
      <c r="J1486" s="215" t="n"/>
      <c r="K1486" s="209" t="n"/>
      <c r="L1486" s="425" t="n"/>
      <c r="M1486" s="962" t="n"/>
      <c r="N1486" s="215" t="n"/>
    </row>
    <row r="1487" ht="12.75" customHeight="1">
      <c r="A1487" s="207" t="n"/>
      <c r="B1487" s="209" t="n"/>
      <c r="C1487" s="209" t="n"/>
      <c r="D1487" s="960" t="n"/>
      <c r="E1487" s="215" t="n"/>
      <c r="F1487" s="262" t="n">
        <v>142641</v>
      </c>
      <c r="G1487" s="263" t="inlineStr">
        <is>
          <t>Broche larga rinforzata in plastica per pannelli dogati mm. 100 trasparente con ag</t>
        </is>
      </c>
      <c r="H1487" s="264" t="n">
        <v>100</v>
      </c>
      <c r="I1487" s="265" t="n">
        <v>0.284</v>
      </c>
      <c r="J1487" s="215" t="n"/>
      <c r="K1487" s="209" t="n"/>
      <c r="L1487" s="425" t="n"/>
      <c r="M1487" s="962" t="n"/>
      <c r="N1487" s="215" t="n"/>
    </row>
    <row r="1488">
      <c r="A1488" s="207" t="n"/>
      <c r="B1488" s="209" t="n"/>
      <c r="C1488" s="209" t="n"/>
      <c r="D1488" s="960" t="n"/>
      <c r="E1488" s="215" t="n"/>
      <c r="F1488" s="262" t="n">
        <v>142642</v>
      </c>
      <c r="G1488" s="263" t="inlineStr">
        <is>
          <t>Broche larga rinforzata in plastica per pannelli dogati mm. 150 trasparente con ag</t>
        </is>
      </c>
      <c r="H1488" s="264" t="n">
        <v>100</v>
      </c>
      <c r="I1488" s="265" t="n">
        <v>0.345</v>
      </c>
      <c r="J1488" s="215" t="n"/>
      <c r="K1488" s="209" t="n"/>
      <c r="L1488" s="425" t="n"/>
      <c r="M1488" s="962" t="n"/>
      <c r="N1488" s="215" t="n"/>
    </row>
    <row r="1489">
      <c r="A1489" s="207" t="n"/>
      <c r="B1489" s="209" t="n"/>
      <c r="C1489" s="209" t="n"/>
      <c r="D1489" s="960" t="n"/>
      <c r="E1489" s="215" t="n"/>
      <c r="F1489" s="262" t="n">
        <v>142700</v>
      </c>
      <c r="G1489" s="263" t="inlineStr">
        <is>
          <t>Broche larga rinforzata in plastica ad inserimento automatico mm. 50 bianca con a</t>
        </is>
      </c>
      <c r="H1489" s="264" t="n">
        <v>100</v>
      </c>
      <c r="I1489" s="265" t="n">
        <v>0.26</v>
      </c>
      <c r="J1489" s="215" t="n"/>
      <c r="K1489" s="209" t="n"/>
      <c r="L1489" s="425" t="n"/>
      <c r="M1489" s="962" t="n"/>
      <c r="N1489" s="215" t="n"/>
    </row>
    <row r="1490">
      <c r="A1490" s="207" t="n"/>
      <c r="B1490" s="209" t="n"/>
      <c r="C1490" s="209" t="n"/>
      <c r="D1490" s="960" t="n"/>
      <c r="E1490" s="215" t="n"/>
      <c r="F1490" s="262" t="n">
        <v>142701</v>
      </c>
      <c r="G1490" s="263" t="inlineStr">
        <is>
          <t>Broche larga rinforzata in plastica ad inserimento automatico mm. 100 bianca con</t>
        </is>
      </c>
      <c r="H1490" s="264" t="n">
        <v>100</v>
      </c>
      <c r="I1490" s="265" t="n">
        <v>0.306</v>
      </c>
      <c r="J1490" s="215" t="n"/>
      <c r="K1490" s="209" t="n"/>
      <c r="L1490" s="425" t="n"/>
      <c r="M1490" s="962" t="n"/>
      <c r="N1490" s="215" t="n"/>
    </row>
    <row r="1491">
      <c r="A1491" s="207" t="n"/>
      <c r="B1491" s="209" t="n"/>
      <c r="C1491" s="209" t="n"/>
      <c r="D1491" s="960" t="n"/>
      <c r="E1491" s="215" t="n"/>
      <c r="F1491" s="262" t="n">
        <v>142702</v>
      </c>
      <c r="G1491" s="263" t="inlineStr">
        <is>
          <t>Broche larga rinforzata in plastica ad inserimento automatico mm. 150 bianca con</t>
        </is>
      </c>
      <c r="H1491" s="264" t="n">
        <v>100</v>
      </c>
      <c r="I1491" s="265" t="n">
        <v>0.346</v>
      </c>
      <c r="J1491" s="215" t="n"/>
      <c r="K1491" s="209" t="n"/>
      <c r="L1491" s="425" t="n"/>
      <c r="M1491" s="962" t="n"/>
      <c r="N1491" s="215" t="n"/>
    </row>
    <row r="1492" ht="12.75" customHeight="1">
      <c r="A1492" s="207" t="n"/>
      <c r="B1492" s="209" t="n"/>
      <c r="C1492" s="209" t="n"/>
      <c r="D1492" s="960" t="n"/>
      <c r="E1492" s="215" t="n"/>
      <c r="F1492" s="262" t="n">
        <v>142703</v>
      </c>
      <c r="G1492" s="263" t="inlineStr">
        <is>
          <t>Broche larga rinforzata in plastica ad inserimento automatico mm. 200 bianca con</t>
        </is>
      </c>
      <c r="H1492" s="264" t="n">
        <v>100</v>
      </c>
      <c r="I1492" s="265" t="n">
        <v>0.387</v>
      </c>
      <c r="J1492" s="215" t="n"/>
      <c r="K1492" s="209" t="n"/>
      <c r="L1492" s="425" t="n"/>
      <c r="M1492" s="962" t="n"/>
      <c r="N1492" s="215" t="n"/>
    </row>
    <row r="1493">
      <c r="A1493" s="207" t="n"/>
      <c r="B1493" s="209" t="n"/>
      <c r="C1493" s="209" t="n"/>
      <c r="D1493" s="960" t="n"/>
      <c r="E1493" s="215" t="n"/>
      <c r="F1493" s="262" t="n">
        <v>142704</v>
      </c>
      <c r="G1493" s="263" t="inlineStr">
        <is>
          <t>Broche larga rinforzata in plastica ad inserimento automatico mm. 250 bianca con</t>
        </is>
      </c>
      <c r="H1493" s="264" t="n">
        <v>100</v>
      </c>
      <c r="I1493" s="265" t="n">
        <v>0.47</v>
      </c>
      <c r="J1493" s="215" t="n"/>
      <c r="K1493" s="209" t="n"/>
      <c r="L1493" s="425" t="n"/>
      <c r="M1493" s="962" t="n"/>
      <c r="N1493" s="215" t="n"/>
    </row>
    <row r="1494">
      <c r="A1494" s="207" t="n"/>
      <c r="B1494" s="209" t="n"/>
      <c r="C1494" s="209" t="n"/>
      <c r="D1494" s="960" t="n"/>
      <c r="E1494" s="215" t="n"/>
      <c r="F1494" s="262" t="n">
        <v>142710</v>
      </c>
      <c r="G1494" s="263" t="inlineStr">
        <is>
          <t>Broche larga rinforzata in plastica ad inserimento automatico mm. 50 nera con ag</t>
        </is>
      </c>
      <c r="H1494" s="264" t="n">
        <v>100</v>
      </c>
      <c r="I1494" s="265" t="n">
        <v>0.286</v>
      </c>
      <c r="J1494" s="215" t="n"/>
      <c r="K1494" s="209" t="n"/>
      <c r="L1494" s="425" t="n"/>
      <c r="M1494" s="962" t="n"/>
      <c r="N1494" s="215" t="n"/>
    </row>
    <row r="1495">
      <c r="A1495" s="207" t="n"/>
      <c r="B1495" s="209" t="n"/>
      <c r="C1495" s="209" t="n"/>
      <c r="D1495" s="960" t="n"/>
      <c r="E1495" s="215" t="n"/>
      <c r="F1495" s="262" t="n">
        <v>142711</v>
      </c>
      <c r="G1495" s="263" t="inlineStr">
        <is>
          <t>Broche larga rinforzata in plastica ad inserimento automatico mm. 100 nera con a</t>
        </is>
      </c>
      <c r="H1495" s="264" t="n">
        <v>100</v>
      </c>
      <c r="I1495" s="265" t="n">
        <v>0.336</v>
      </c>
      <c r="J1495" s="215" t="n"/>
      <c r="K1495" s="209" t="n"/>
      <c r="L1495" s="425" t="n"/>
      <c r="M1495" s="962" t="n"/>
      <c r="N1495" s="215" t="n"/>
    </row>
    <row r="1496">
      <c r="A1496" s="207" t="n"/>
      <c r="B1496" s="209" t="n"/>
      <c r="C1496" s="209" t="n"/>
      <c r="D1496" s="960" t="n"/>
      <c r="E1496" s="215" t="n"/>
      <c r="F1496" s="262" t="n">
        <v>142712</v>
      </c>
      <c r="G1496" s="263" t="inlineStr">
        <is>
          <t>Broche larga rinforzata in plastica ad inserimento automatico mm. 150 nera con a</t>
        </is>
      </c>
      <c r="H1496" s="264" t="n">
        <v>100</v>
      </c>
      <c r="I1496" s="265" t="n">
        <v>0.38</v>
      </c>
      <c r="J1496" s="215" t="n"/>
      <c r="K1496" s="209" t="n"/>
      <c r="L1496" s="425" t="n"/>
      <c r="M1496" s="962" t="n"/>
      <c r="N1496" s="215" t="n"/>
    </row>
    <row r="1497">
      <c r="A1497" s="207" t="n"/>
      <c r="B1497" s="209" t="n"/>
      <c r="C1497" s="209" t="n"/>
      <c r="D1497" s="960" t="n"/>
      <c r="E1497" s="215" t="n"/>
      <c r="F1497" s="262" t="n">
        <v>142713</v>
      </c>
      <c r="G1497" s="263" t="inlineStr">
        <is>
          <t>Broche larga rinforzata in plastica ad inserimento automatico mm. 200 nera con a</t>
        </is>
      </c>
      <c r="H1497" s="264" t="n">
        <v>100</v>
      </c>
      <c r="I1497" s="265" t="n">
        <v>0.426</v>
      </c>
      <c r="J1497" s="215" t="n"/>
      <c r="K1497" s="209" t="n"/>
      <c r="L1497" s="425" t="n"/>
      <c r="M1497" s="962" t="n"/>
      <c r="N1497" s="215" t="n"/>
    </row>
    <row r="1498">
      <c r="A1498" s="207" t="n"/>
      <c r="B1498" s="209" t="n"/>
      <c r="C1498" s="209" t="n"/>
      <c r="D1498" s="960" t="n"/>
      <c r="E1498" s="215" t="n"/>
      <c r="F1498" s="262" t="n">
        <v>142714</v>
      </c>
      <c r="G1498" s="263" t="inlineStr">
        <is>
          <t>Broche larga rinforzata in plastica ad inserimento automatico mm. 250 nera con a</t>
        </is>
      </c>
      <c r="H1498" s="264" t="n">
        <v>100</v>
      </c>
      <c r="I1498" s="265" t="n">
        <v>0.517</v>
      </c>
      <c r="J1498" s="215" t="n"/>
      <c r="K1498" s="209" t="n"/>
      <c r="L1498" s="425" t="n"/>
      <c r="M1498" s="962" t="n"/>
      <c r="N1498" s="215" t="n"/>
    </row>
    <row r="1499">
      <c r="A1499" s="207" t="n"/>
      <c r="B1499" s="209" t="n"/>
      <c r="C1499" s="207" t="n"/>
      <c r="D1499" s="963" t="n"/>
      <c r="E1499" s="214" t="n"/>
      <c r="F1499" s="262" t="n">
        <v>142720</v>
      </c>
      <c r="G1499" s="263" t="inlineStr">
        <is>
          <t>Broche larga rinforzata in plastica ad inserimento automatico mm. 50 trasparente</t>
        </is>
      </c>
      <c r="H1499" s="264" t="n">
        <v>100</v>
      </c>
      <c r="I1499" s="265" t="n">
        <v>0.338</v>
      </c>
      <c r="J1499" s="214" t="n"/>
      <c r="K1499" s="208" t="n"/>
      <c r="L1499" s="424" t="n"/>
      <c r="M1499" s="961" t="n"/>
      <c r="N1499" s="214" t="n"/>
    </row>
    <row r="1500">
      <c r="A1500" s="207" t="n"/>
      <c r="B1500" s="209" t="n"/>
      <c r="C1500" s="207" t="n"/>
      <c r="D1500" s="963" t="n"/>
      <c r="E1500" s="214" t="n"/>
      <c r="F1500" s="262" t="n">
        <v>142721</v>
      </c>
      <c r="G1500" s="263" t="inlineStr">
        <is>
          <t>Broche larga rinforzata in plastica ad inserimento automatico mm. 100 trasparente</t>
        </is>
      </c>
      <c r="H1500" s="264" t="n">
        <v>100</v>
      </c>
      <c r="I1500" s="265" t="n">
        <v>0.398</v>
      </c>
      <c r="J1500" s="214" t="n"/>
      <c r="K1500" s="208" t="n"/>
      <c r="L1500" s="424" t="n"/>
      <c r="M1500" s="961" t="n"/>
      <c r="N1500" s="214" t="n"/>
    </row>
    <row r="1501">
      <c r="A1501" s="207" t="n"/>
      <c r="B1501" s="209" t="n"/>
      <c r="C1501" s="207" t="n"/>
      <c r="D1501" s="963" t="n"/>
      <c r="E1501" s="214" t="n"/>
      <c r="F1501" s="262" t="n">
        <v>142722</v>
      </c>
      <c r="G1501" s="263" t="inlineStr">
        <is>
          <t>Broche larga rinforzata in plastica ad inserimento automatico mm. 150 trasparente</t>
        </is>
      </c>
      <c r="H1501" s="264" t="n">
        <v>100</v>
      </c>
      <c r="I1501" s="265" t="n">
        <v>0.45</v>
      </c>
      <c r="J1501" s="214" t="n"/>
      <c r="K1501" s="208" t="n"/>
      <c r="L1501" s="424" t="n"/>
      <c r="M1501" s="961" t="n"/>
      <c r="N1501" s="214" t="n"/>
    </row>
    <row r="1502">
      <c r="A1502" s="207" t="n"/>
      <c r="B1502" s="209" t="n"/>
      <c r="C1502" s="207" t="n"/>
      <c r="D1502" s="963" t="n"/>
      <c r="E1502" s="214" t="n"/>
      <c r="F1502" s="262" t="n">
        <v>142723</v>
      </c>
      <c r="G1502" s="263" t="inlineStr">
        <is>
          <t>Broche larga rinforzata in plastica ad inserimento automatico mm. 200 trasparente</t>
        </is>
      </c>
      <c r="H1502" s="264" t="n">
        <v>100</v>
      </c>
      <c r="I1502" s="265" t="n">
        <v>0.503</v>
      </c>
      <c r="J1502" s="214" t="n"/>
      <c r="K1502" s="208" t="n"/>
      <c r="L1502" s="424" t="n"/>
      <c r="M1502" s="961" t="n"/>
      <c r="N1502" s="214" t="n"/>
    </row>
    <row r="1503">
      <c r="A1503" s="207" t="n"/>
      <c r="B1503" s="209" t="n"/>
      <c r="C1503" s="207" t="n"/>
      <c r="D1503" s="963" t="n"/>
      <c r="E1503" s="214" t="n"/>
      <c r="F1503" s="262" t="n">
        <v>142724</v>
      </c>
      <c r="G1503" s="263" t="inlineStr">
        <is>
          <t>Broche larga rinforzata in plastica ad inserimento automatico mm. 250 trasparente</t>
        </is>
      </c>
      <c r="H1503" s="264" t="n">
        <v>100</v>
      </c>
      <c r="I1503" s="265" t="n">
        <v>0.611</v>
      </c>
      <c r="J1503" s="214" t="n"/>
      <c r="K1503" s="208" t="n"/>
      <c r="L1503" s="424" t="n"/>
      <c r="M1503" s="961" t="n"/>
      <c r="N1503" s="214" t="n"/>
    </row>
    <row r="1504">
      <c r="A1504" s="207" t="n"/>
      <c r="B1504" s="209" t="n"/>
      <c r="C1504" s="207" t="n"/>
      <c r="D1504" s="963" t="n"/>
      <c r="E1504" s="214" t="n"/>
      <c r="F1504" s="262" t="n">
        <v>142730</v>
      </c>
      <c r="G1504" s="263" t="inlineStr">
        <is>
          <t>Broche rinforzata in plastica per pannelli forati mm. 50 bianca con aggancio porta</t>
        </is>
      </c>
      <c r="H1504" s="264" t="n">
        <v>100</v>
      </c>
      <c r="I1504" s="265" t="n">
        <v>0.171</v>
      </c>
      <c r="J1504" s="214" t="n"/>
      <c r="K1504" s="208" t="n"/>
      <c r="L1504" s="424" t="n"/>
      <c r="M1504" s="961" t="n"/>
      <c r="N1504" s="214" t="n"/>
    </row>
    <row r="1505">
      <c r="A1505" s="207" t="n"/>
      <c r="B1505" s="209" t="n"/>
      <c r="C1505" s="207" t="n"/>
      <c r="D1505" s="963" t="n"/>
      <c r="E1505" s="214" t="n"/>
      <c r="F1505" s="262" t="n">
        <v>142731</v>
      </c>
      <c r="G1505" s="263" t="inlineStr">
        <is>
          <t>Broche rinforzata in plastica per pannelli forati mm. 100 bianca con aggancio porta</t>
        </is>
      </c>
      <c r="H1505" s="264" t="n">
        <v>100</v>
      </c>
      <c r="I1505" s="265" t="n">
        <v>0.216</v>
      </c>
      <c r="J1505" s="214" t="n"/>
      <c r="K1505" s="208" t="n"/>
      <c r="L1505" s="424" t="n"/>
      <c r="M1505" s="961" t="n"/>
      <c r="N1505" s="214" t="n"/>
    </row>
    <row r="1506">
      <c r="A1506" s="207" t="n"/>
      <c r="B1506" s="209" t="n"/>
      <c r="C1506" s="207" t="n"/>
      <c r="D1506" s="963" t="n"/>
      <c r="E1506" s="214" t="n"/>
      <c r="F1506" s="262" t="n">
        <v>142732</v>
      </c>
      <c r="G1506" s="263" t="inlineStr">
        <is>
          <t>Broche rinforzata in plastica per pannelli forati mm. 150 bianca con aggancio porta</t>
        </is>
      </c>
      <c r="H1506" s="264" t="n">
        <v>100</v>
      </c>
      <c r="I1506" s="265" t="n">
        <v>0.263</v>
      </c>
      <c r="J1506" s="214" t="n"/>
      <c r="K1506" s="208" t="n"/>
      <c r="L1506" s="424" t="n"/>
      <c r="M1506" s="961" t="n"/>
      <c r="N1506" s="214" t="n"/>
    </row>
    <row r="1507">
      <c r="A1507" s="207" t="n"/>
      <c r="B1507" s="209" t="n"/>
      <c r="C1507" s="207" t="n"/>
      <c r="D1507" s="963" t="n"/>
      <c r="E1507" s="214" t="n"/>
      <c r="F1507" s="262" t="n">
        <v>142733</v>
      </c>
      <c r="G1507" s="263" t="inlineStr">
        <is>
          <t>Broche rinforzata in plastica per pannelli forati mm. 200 bianca con aggancio porta</t>
        </is>
      </c>
      <c r="H1507" s="264" t="n">
        <v>100</v>
      </c>
      <c r="I1507" s="265" t="n">
        <v>0.302</v>
      </c>
      <c r="J1507" s="214" t="n"/>
      <c r="K1507" s="208" t="n"/>
      <c r="L1507" s="424" t="n"/>
      <c r="M1507" s="961" t="n"/>
      <c r="N1507" s="214" t="n"/>
    </row>
    <row r="1508">
      <c r="A1508" s="207" t="n"/>
      <c r="B1508" s="209" t="n"/>
      <c r="C1508" s="207" t="n"/>
      <c r="D1508" s="963" t="n"/>
      <c r="E1508" s="214" t="n"/>
      <c r="F1508" s="262" t="n">
        <v>142734</v>
      </c>
      <c r="G1508" s="263" t="inlineStr">
        <is>
          <t>Broche rinforzata in plastica per pannelli forati mm. 250 bianca con aggancio porta</t>
        </is>
      </c>
      <c r="H1508" s="264" t="n">
        <v>100</v>
      </c>
      <c r="I1508" s="265" t="n">
        <v>0.348</v>
      </c>
      <c r="J1508" s="214" t="n"/>
      <c r="K1508" s="208" t="n"/>
      <c r="L1508" s="424" t="n"/>
      <c r="M1508" s="961" t="n"/>
      <c r="N1508" s="214" t="n"/>
    </row>
    <row r="1509">
      <c r="A1509" s="207" t="n"/>
      <c r="B1509" s="209" t="n"/>
      <c r="C1509" s="207" t="n"/>
      <c r="D1509" s="963" t="n"/>
      <c r="E1509" s="214" t="n"/>
      <c r="F1509" s="262" t="n">
        <v>142740</v>
      </c>
      <c r="G1509" s="263" t="inlineStr">
        <is>
          <t>Broche rinforzata in plastica per pannelli forati mm. 50 nera con aggancio porta eti</t>
        </is>
      </c>
      <c r="H1509" s="264" t="n">
        <v>100</v>
      </c>
      <c r="I1509" s="265" t="n">
        <v>0.188</v>
      </c>
      <c r="J1509" s="214" t="n"/>
      <c r="K1509" s="208" t="n"/>
      <c r="L1509" s="424" t="n"/>
      <c r="M1509" s="961" t="n"/>
      <c r="N1509" s="214" t="n"/>
    </row>
    <row r="1510">
      <c r="A1510" s="207" t="n"/>
      <c r="B1510" s="209" t="n"/>
      <c r="C1510" s="207" t="n"/>
      <c r="D1510" s="963" t="n"/>
      <c r="E1510" s="214" t="n"/>
      <c r="F1510" s="262" t="n">
        <v>142741</v>
      </c>
      <c r="G1510" s="263" t="inlineStr">
        <is>
          <t>Broche rinforzata in plastica per pannelli forati mm. 100 nera con aggancio porta e</t>
        </is>
      </c>
      <c r="H1510" s="264" t="n">
        <v>100</v>
      </c>
      <c r="I1510" s="265" t="n">
        <v>0.237</v>
      </c>
      <c r="J1510" s="214" t="n"/>
      <c r="K1510" s="208" t="n"/>
      <c r="L1510" s="424" t="n"/>
      <c r="M1510" s="961" t="n"/>
      <c r="N1510" s="214" t="n"/>
    </row>
    <row r="1511">
      <c r="A1511" s="207" t="n"/>
      <c r="B1511" s="209" t="n"/>
      <c r="C1511" s="207" t="n"/>
      <c r="D1511" s="963" t="n"/>
      <c r="E1511" s="214" t="n"/>
      <c r="F1511" s="262" t="n">
        <v>142742</v>
      </c>
      <c r="G1511" s="263" t="inlineStr">
        <is>
          <t>Broche rinforzata in plastica per pannelli forati mm. 150 nera con aggancio porta e</t>
        </is>
      </c>
      <c r="H1511" s="264" t="n">
        <v>100</v>
      </c>
      <c r="I1511" s="265" t="n">
        <v>0.29</v>
      </c>
      <c r="J1511" s="214" t="n"/>
      <c r="K1511" s="208" t="n"/>
      <c r="L1511" s="424" t="n"/>
      <c r="M1511" s="961" t="n"/>
      <c r="N1511" s="214" t="n"/>
    </row>
    <row r="1512">
      <c r="A1512" s="207" t="n"/>
      <c r="B1512" s="209" t="n"/>
      <c r="C1512" s="207" t="n"/>
      <c r="D1512" s="963" t="n"/>
      <c r="E1512" s="214" t="n"/>
      <c r="F1512" s="262" t="n">
        <v>142743</v>
      </c>
      <c r="G1512" s="263" t="inlineStr">
        <is>
          <t>Broche rinforzata in plastica per pannelli forati mm. 200 nera con aggancio porta e</t>
        </is>
      </c>
      <c r="H1512" s="264" t="n">
        <v>100</v>
      </c>
      <c r="I1512" s="265" t="n">
        <v>0.332</v>
      </c>
      <c r="J1512" s="214" t="n"/>
      <c r="K1512" s="208" t="n"/>
      <c r="L1512" s="424" t="n"/>
      <c r="M1512" s="961" t="n"/>
      <c r="N1512" s="214" t="n"/>
    </row>
    <row r="1513">
      <c r="A1513" s="207" t="n"/>
      <c r="B1513" s="209" t="n"/>
      <c r="C1513" s="207" t="n"/>
      <c r="D1513" s="963" t="n"/>
      <c r="E1513" s="214" t="n"/>
      <c r="F1513" s="262" t="n">
        <v>142744</v>
      </c>
      <c r="G1513" s="263" t="inlineStr">
        <is>
          <t>Broche rinforzata in plastica per pannelli forati mm. 250 nera con aggancio porta e</t>
        </is>
      </c>
      <c r="H1513" s="264" t="n">
        <v>100</v>
      </c>
      <c r="I1513" s="265" t="n">
        <v>0.383</v>
      </c>
      <c r="J1513" s="214" t="n"/>
      <c r="K1513" s="208" t="n"/>
      <c r="L1513" s="424" t="n"/>
      <c r="M1513" s="961" t="n"/>
      <c r="N1513" s="214" t="n"/>
    </row>
    <row r="1514">
      <c r="A1514" s="207" t="n"/>
      <c r="B1514" s="209" t="n"/>
      <c r="C1514" s="207" t="n"/>
      <c r="D1514" s="963" t="n"/>
      <c r="E1514" s="214" t="n"/>
      <c r="F1514" s="262" t="n">
        <v>142750</v>
      </c>
      <c r="G1514" s="263" t="inlineStr">
        <is>
          <t>Broche rinforzata in plastica per pannelli forati mm. 50 trasparente con aggancio p</t>
        </is>
      </c>
      <c r="H1514" s="264" t="n">
        <v>100</v>
      </c>
      <c r="I1514" s="265" t="n">
        <v>0.223</v>
      </c>
      <c r="J1514" s="214" t="n"/>
      <c r="K1514" s="208" t="n"/>
      <c r="L1514" s="424" t="n"/>
      <c r="M1514" s="961" t="n"/>
      <c r="N1514" s="214" t="n"/>
    </row>
    <row r="1515">
      <c r="A1515" s="207" t="n"/>
      <c r="B1515" s="209" t="n"/>
      <c r="C1515" s="207" t="n"/>
      <c r="D1515" s="963" t="n"/>
      <c r="E1515" s="214" t="n"/>
      <c r="F1515" s="262" t="n">
        <v>142751</v>
      </c>
      <c r="G1515" s="263" t="inlineStr">
        <is>
          <t>Broche rinforzata in plastica per pannelli forati mm. 100 trasparente con aggancio</t>
        </is>
      </c>
      <c r="H1515" s="264" t="n">
        <v>100</v>
      </c>
      <c r="I1515" s="265" t="n">
        <v>0.28</v>
      </c>
      <c r="J1515" s="214" t="n"/>
      <c r="K1515" s="208" t="n"/>
      <c r="L1515" s="424" t="n"/>
      <c r="M1515" s="961" t="n"/>
      <c r="N1515" s="214" t="n"/>
    </row>
    <row r="1516">
      <c r="A1516" s="207" t="n"/>
      <c r="B1516" s="209" t="n"/>
      <c r="C1516" s="207" t="n"/>
      <c r="D1516" s="963" t="n"/>
      <c r="E1516" s="214" t="n"/>
      <c r="F1516" s="262" t="n">
        <v>142752</v>
      </c>
      <c r="G1516" s="263" t="inlineStr">
        <is>
          <t>Broche rinforzata in plastica per pannelli forati mm. 150 trasparente con aggancio</t>
        </is>
      </c>
      <c r="H1516" s="264" t="n">
        <v>100</v>
      </c>
      <c r="I1516" s="265" t="n">
        <v>0.342</v>
      </c>
      <c r="J1516" s="214" t="n"/>
      <c r="K1516" s="208" t="n"/>
      <c r="L1516" s="424" t="n"/>
      <c r="M1516" s="961" t="n"/>
      <c r="N1516" s="214" t="n"/>
    </row>
    <row r="1517">
      <c r="A1517" s="207" t="n"/>
      <c r="B1517" s="209" t="n"/>
      <c r="C1517" s="207" t="n"/>
      <c r="D1517" s="963" t="n"/>
      <c r="E1517" s="214" t="n"/>
      <c r="F1517" s="262" t="n">
        <v>142753</v>
      </c>
      <c r="G1517" s="263" t="inlineStr">
        <is>
          <t>Broche rinforzata in plastica per pannelli forati mm. 200 trasparente con aggancio</t>
        </is>
      </c>
      <c r="H1517" s="264" t="n">
        <v>100</v>
      </c>
      <c r="I1517" s="265" t="n">
        <v>0.392</v>
      </c>
      <c r="J1517" s="214" t="n"/>
      <c r="K1517" s="208" t="n"/>
      <c r="L1517" s="424" t="n"/>
      <c r="M1517" s="961" t="n"/>
      <c r="N1517" s="214" t="n"/>
    </row>
    <row r="1518">
      <c r="A1518" s="207" t="n"/>
      <c r="B1518" s="209" t="n"/>
      <c r="C1518" s="207" t="n"/>
      <c r="D1518" s="963" t="n"/>
      <c r="E1518" s="214" t="n"/>
      <c r="F1518" s="262" t="n">
        <v>142754</v>
      </c>
      <c r="G1518" s="263" t="inlineStr">
        <is>
          <t>Broche rinforzata in plastica per pannelli forati mm. 250 trasparente con aggancio</t>
        </is>
      </c>
      <c r="H1518" s="264" t="n">
        <v>100</v>
      </c>
      <c r="I1518" s="265" t="n">
        <v>0.452</v>
      </c>
      <c r="J1518" s="214" t="n"/>
      <c r="K1518" s="208" t="n"/>
      <c r="L1518" s="424" t="n"/>
      <c r="M1518" s="961" t="n"/>
      <c r="N1518" s="214" t="n"/>
    </row>
    <row r="1519">
      <c r="A1519" s="207" t="n"/>
      <c r="B1519" s="209" t="n"/>
      <c r="C1519" s="207" t="n"/>
      <c r="D1519" s="963" t="n"/>
      <c r="E1519" s="214" t="n"/>
      <c r="F1519" s="262" t="n">
        <v>142760</v>
      </c>
      <c r="G1519" s="263" t="inlineStr">
        <is>
          <t>Broche larga rinforzata mm. 50 bianca con aggancio porta etichette lungo</t>
        </is>
      </c>
      <c r="H1519" s="264" t="n">
        <v>100</v>
      </c>
      <c r="I1519" s="265" t="n">
        <v>0.265</v>
      </c>
      <c r="J1519" s="214" t="n"/>
      <c r="K1519" s="208" t="n"/>
      <c r="L1519" s="424" t="n"/>
      <c r="M1519" s="961" t="n"/>
      <c r="N1519" s="214" t="n"/>
    </row>
    <row r="1520">
      <c r="A1520" s="207" t="n"/>
      <c r="B1520" s="209" t="n"/>
      <c r="C1520" s="207" t="n"/>
      <c r="D1520" s="963" t="n"/>
      <c r="E1520" s="214" t="n"/>
      <c r="F1520" s="262" t="n">
        <v>142762</v>
      </c>
      <c r="G1520" s="263" t="inlineStr">
        <is>
          <t>Broche larga rinforzata mm. 150 bianca con aggancio porta etichette lungo</t>
        </is>
      </c>
      <c r="H1520" s="264" t="n">
        <v>100</v>
      </c>
      <c r="I1520" s="265" t="n">
        <v>0.354</v>
      </c>
      <c r="J1520" s="214" t="n"/>
      <c r="K1520" s="208" t="n"/>
      <c r="L1520" s="424" t="n"/>
      <c r="M1520" s="961" t="n"/>
      <c r="N1520" s="214" t="n"/>
    </row>
    <row r="1521">
      <c r="A1521" s="207" t="n"/>
      <c r="B1521" s="209" t="n"/>
      <c r="C1521" s="207" t="n"/>
      <c r="D1521" s="963" t="n"/>
      <c r="E1521" s="214" t="n"/>
      <c r="F1521" s="262" t="n">
        <v>142763</v>
      </c>
      <c r="G1521" s="263" t="inlineStr">
        <is>
          <t>Broche larga rinforzata mm. 200 bianca con aggancio porta etichette lungo</t>
        </is>
      </c>
      <c r="H1521" s="264" t="n">
        <v>100</v>
      </c>
      <c r="I1521" s="265" t="n">
        <v>0.402</v>
      </c>
      <c r="J1521" s="214" t="n"/>
      <c r="K1521" s="208" t="n"/>
      <c r="L1521" s="424" t="n"/>
      <c r="M1521" s="961" t="n"/>
      <c r="N1521" s="214" t="n"/>
    </row>
    <row r="1522">
      <c r="A1522" s="207" t="n"/>
      <c r="B1522" s="209" t="n"/>
      <c r="C1522" s="207" t="n"/>
      <c r="D1522" s="963" t="n"/>
      <c r="E1522" s="214" t="n"/>
      <c r="F1522" s="262" t="n">
        <v>142780</v>
      </c>
      <c r="G1522" s="263" t="inlineStr">
        <is>
          <t>Broche larga rinforzata mm. 50 trasparente con aggancio porta etichette lungo</t>
        </is>
      </c>
      <c r="H1522" s="264" t="n">
        <v>100</v>
      </c>
      <c r="I1522" s="265" t="n">
        <v>0.345</v>
      </c>
      <c r="J1522" s="214" t="n"/>
      <c r="K1522" s="208" t="n"/>
      <c r="L1522" s="424" t="n"/>
      <c r="M1522" s="961" t="n"/>
      <c r="N1522" s="214" t="n"/>
    </row>
    <row r="1523">
      <c r="A1523" s="207" t="n"/>
      <c r="B1523" s="209" t="n"/>
      <c r="C1523" s="207" t="n"/>
      <c r="D1523" s="963" t="n"/>
      <c r="E1523" s="214" t="n"/>
      <c r="F1523" s="262" t="n">
        <v>142782</v>
      </c>
      <c r="G1523" s="263" t="inlineStr">
        <is>
          <t>Broche larga rinforzata mm. 150 trasparente con aggancio porta etichette lungo</t>
        </is>
      </c>
      <c r="H1523" s="264" t="n">
        <v>100</v>
      </c>
      <c r="I1523" s="265" t="n">
        <v>0.461</v>
      </c>
      <c r="J1523" s="214" t="n"/>
      <c r="K1523" s="208" t="n"/>
      <c r="L1523" s="424" t="n"/>
      <c r="M1523" s="961" t="n"/>
      <c r="N1523" s="214" t="n"/>
    </row>
    <row r="1524">
      <c r="A1524" s="207" t="n"/>
      <c r="B1524" s="209" t="n"/>
      <c r="C1524" s="207" t="n"/>
      <c r="D1524" s="963" t="n"/>
      <c r="E1524" s="214" t="n"/>
      <c r="F1524" s="262" t="n">
        <v>142783</v>
      </c>
      <c r="G1524" s="263" t="inlineStr">
        <is>
          <t>Broche larga rinforzata mm. 200 trasparente con aggancio porta etichette lungo</t>
        </is>
      </c>
      <c r="H1524" s="264" t="n">
        <v>100</v>
      </c>
      <c r="I1524" s="265" t="n">
        <v>0.522</v>
      </c>
      <c r="J1524" s="214" t="n"/>
      <c r="K1524" s="208" t="n"/>
      <c r="L1524" s="424" t="n"/>
      <c r="M1524" s="961" t="n"/>
      <c r="N1524" s="214" t="n"/>
    </row>
    <row r="1525">
      <c r="A1525" s="207" t="n"/>
      <c r="B1525" s="209" t="n"/>
      <c r="C1525" s="207" t="n"/>
      <c r="D1525" s="963" t="n"/>
      <c r="E1525" s="214" t="n"/>
      <c r="F1525" s="262" t="n">
        <v>142822</v>
      </c>
      <c r="G1525" s="263" t="inlineStr">
        <is>
          <t>Broche larga rinforzata in plastica per pannelli dogati mm. 150 bianca con agganci</t>
        </is>
      </c>
      <c r="H1525" s="264" t="n">
        <v>100</v>
      </c>
      <c r="I1525" s="265" t="n">
        <v>0.322</v>
      </c>
      <c r="J1525" s="214" t="n"/>
      <c r="K1525" s="208" t="n"/>
      <c r="L1525" s="424" t="n"/>
      <c r="M1525" s="961" t="n"/>
      <c r="N1525" s="214" t="n"/>
    </row>
    <row r="1526">
      <c r="A1526" s="207" t="n"/>
      <c r="B1526" s="209" t="n"/>
      <c r="C1526" s="207" t="n"/>
      <c r="D1526" s="963" t="n"/>
      <c r="E1526" s="214" t="n"/>
      <c r="F1526" s="262" t="n">
        <v>142832</v>
      </c>
      <c r="G1526" s="263" t="inlineStr">
        <is>
          <t>Broche larga rinforzata in plastica per pannelli dogati mm. 150 nera con aggancio</t>
        </is>
      </c>
      <c r="H1526" s="264" t="n">
        <v>100</v>
      </c>
      <c r="I1526" s="265" t="n">
        <v>0.355</v>
      </c>
      <c r="J1526" s="214" t="n"/>
      <c r="K1526" s="208" t="n"/>
      <c r="L1526" s="424" t="n"/>
      <c r="M1526" s="961" t="n"/>
      <c r="N1526" s="214" t="n"/>
    </row>
    <row r="1527">
      <c r="A1527" s="207" t="n"/>
      <c r="B1527" s="209" t="n"/>
      <c r="C1527" s="207" t="n"/>
      <c r="D1527" s="963" t="n"/>
      <c r="E1527" s="214" t="n"/>
      <c r="F1527" s="262" t="n">
        <v>142842</v>
      </c>
      <c r="G1527" s="263" t="inlineStr">
        <is>
          <t>Broche larga rinforzata in plastica per pannelli dogati mm. 150 trasparente con ag</t>
        </is>
      </c>
      <c r="H1527" s="264" t="n">
        <v>100</v>
      </c>
      <c r="I1527" s="265" t="n">
        <v>0.419</v>
      </c>
      <c r="J1527" s="214" t="n"/>
      <c r="K1527" s="208" t="n"/>
      <c r="L1527" s="424" t="n"/>
      <c r="M1527" s="961" t="n"/>
      <c r="N1527" s="214" t="n"/>
    </row>
    <row r="1528">
      <c r="A1528" s="207" t="n"/>
      <c r="B1528" s="209" t="n"/>
      <c r="C1528" s="207" t="n"/>
      <c r="D1528" s="963" t="n"/>
      <c r="E1528" s="214" t="n"/>
      <c r="F1528" s="262" t="n">
        <v>142900</v>
      </c>
      <c r="G1528" s="263" t="inlineStr">
        <is>
          <t>Placca antirimozione per spessori mm. 5</t>
        </is>
      </c>
      <c r="H1528" s="264" t="n">
        <v>1000</v>
      </c>
      <c r="I1528" s="265" t="n">
        <v>0.053</v>
      </c>
      <c r="J1528" s="214" t="n"/>
      <c r="K1528" s="208" t="n"/>
      <c r="L1528" s="424" t="n"/>
      <c r="M1528" s="961" t="n"/>
      <c r="N1528" s="214" t="n"/>
    </row>
    <row r="1529">
      <c r="A1529" s="207" t="n"/>
      <c r="B1529" s="209" t="n"/>
      <c r="C1529" s="207" t="n"/>
      <c r="D1529" s="963" t="n"/>
      <c r="E1529" s="214" t="n"/>
      <c r="F1529" s="262" t="n">
        <v>142900</v>
      </c>
      <c r="G1529" s="263" t="inlineStr">
        <is>
          <t>Placca antirimozione per spessori mm. 5</t>
        </is>
      </c>
      <c r="H1529" s="264" t="n">
        <v>1000</v>
      </c>
      <c r="I1529" s="265" t="n">
        <v>0.053</v>
      </c>
      <c r="J1529" s="214" t="n"/>
      <c r="K1529" s="208" t="n"/>
      <c r="L1529" s="424" t="n"/>
      <c r="M1529" s="961" t="n"/>
      <c r="N1529" s="214" t="n"/>
    </row>
    <row r="1530">
      <c r="A1530" s="207" t="n"/>
      <c r="B1530" s="209" t="n"/>
      <c r="C1530" s="207" t="n"/>
      <c r="D1530" s="963" t="n"/>
      <c r="E1530" s="214" t="n"/>
      <c r="F1530" s="262" t="n">
        <v>142901</v>
      </c>
      <c r="G1530" s="263" t="inlineStr">
        <is>
          <t>Placca antirimozione per spessori mm. 3,5</t>
        </is>
      </c>
      <c r="H1530" s="264" t="n">
        <v>1000</v>
      </c>
      <c r="I1530" s="265" t="n">
        <v>0.061</v>
      </c>
      <c r="J1530" s="214" t="n"/>
      <c r="K1530" s="208" t="n"/>
      <c r="L1530" s="424" t="n"/>
      <c r="M1530" s="961" t="n"/>
      <c r="N1530" s="214" t="n"/>
    </row>
    <row r="1531">
      <c r="A1531" s="207" t="n"/>
      <c r="B1531" s="209" t="n"/>
      <c r="C1531" s="207" t="n"/>
      <c r="D1531" s="963" t="n"/>
      <c r="E1531" s="214" t="n"/>
      <c r="F1531" s="262" t="n">
        <v>142901</v>
      </c>
      <c r="G1531" s="263" t="inlineStr">
        <is>
          <t>Placca antirimozione per spessori mm. 3,5</t>
        </is>
      </c>
      <c r="H1531" s="264" t="n">
        <v>1000</v>
      </c>
      <c r="I1531" s="265" t="n">
        <v>0.061</v>
      </c>
      <c r="J1531" s="214" t="n"/>
      <c r="K1531" s="208" t="n"/>
      <c r="L1531" s="424" t="n"/>
      <c r="M1531" s="961" t="n"/>
      <c r="N1531" s="214" t="n"/>
    </row>
    <row r="1532">
      <c r="A1532" s="207" t="n"/>
      <c r="B1532" s="209" t="n"/>
      <c r="C1532" s="207" t="n"/>
      <c r="D1532" s="963" t="n"/>
      <c r="E1532" s="214" t="n"/>
      <c r="F1532" s="262" t="n">
        <v>142902</v>
      </c>
      <c r="G1532" s="263" t="inlineStr">
        <is>
          <t>Placca antirimozione per spessori mm. 2,5</t>
        </is>
      </c>
      <c r="H1532" s="264" t="n">
        <v>1000</v>
      </c>
      <c r="I1532" s="265" t="n">
        <v>0.07099999999999999</v>
      </c>
      <c r="J1532" s="214" t="n"/>
      <c r="K1532" s="208" t="n"/>
      <c r="L1532" s="424" t="n"/>
      <c r="M1532" s="961" t="n"/>
      <c r="N1532" s="214" t="n"/>
    </row>
    <row r="1533">
      <c r="A1533" s="207" t="n"/>
      <c r="B1533" s="209" t="n"/>
      <c r="C1533" s="207" t="n"/>
      <c r="D1533" s="963" t="n"/>
      <c r="E1533" s="214" t="n"/>
      <c r="F1533" s="262" t="n">
        <v>142902</v>
      </c>
      <c r="G1533" s="263" t="inlineStr">
        <is>
          <t>Placca antirimozione per spessori mm. 2,5</t>
        </is>
      </c>
      <c r="H1533" s="264" t="n">
        <v>1000</v>
      </c>
      <c r="I1533" s="265" t="n">
        <v>0.07099999999999999</v>
      </c>
      <c r="J1533" s="214" t="n"/>
      <c r="K1533" s="208" t="n"/>
      <c r="L1533" s="424" t="n"/>
      <c r="M1533" s="961" t="n"/>
      <c r="N1533" s="214" t="n"/>
    </row>
    <row r="1534">
      <c r="A1534" s="207" t="n"/>
      <c r="B1534" s="209" t="n"/>
      <c r="C1534" s="207" t="n"/>
      <c r="D1534" s="963" t="n"/>
      <c r="E1534" s="214" t="n"/>
      <c r="F1534" s="262" t="n">
        <v>143000</v>
      </c>
      <c r="G1534" s="263" t="inlineStr">
        <is>
          <t>Porta etichette per broches doppie bianco per filo diametro mm. 3</t>
        </is>
      </c>
      <c r="H1534" s="264" t="n">
        <v>1000</v>
      </c>
      <c r="I1534" s="265" t="n">
        <v>0.07099999999999999</v>
      </c>
      <c r="J1534" s="214" t="n"/>
      <c r="K1534" s="208" t="n"/>
      <c r="L1534" s="424" t="n"/>
      <c r="M1534" s="961" t="n"/>
      <c r="N1534" s="214" t="n"/>
    </row>
    <row r="1535">
      <c r="A1535" s="207" t="n"/>
      <c r="B1535" s="209" t="n"/>
      <c r="C1535" s="207" t="n"/>
      <c r="D1535" s="963" t="n"/>
      <c r="E1535" s="214" t="n"/>
      <c r="F1535" s="262" t="n">
        <v>143001</v>
      </c>
      <c r="G1535" s="263" t="inlineStr">
        <is>
          <t>Porta etichette per broches doppie bianco per filo diametro mm. 4</t>
        </is>
      </c>
      <c r="H1535" s="264" t="n">
        <v>1000</v>
      </c>
      <c r="I1535" s="265" t="n">
        <v>0.07000000000000001</v>
      </c>
      <c r="J1535" s="214" t="n"/>
      <c r="K1535" s="208" t="n"/>
      <c r="L1535" s="424" t="n"/>
      <c r="M1535" s="961" t="n"/>
      <c r="N1535" s="214" t="n"/>
    </row>
    <row r="1536">
      <c r="A1536" s="207" t="n"/>
      <c r="B1536" s="209" t="n"/>
      <c r="C1536" s="207" t="n"/>
      <c r="D1536" s="963" t="n"/>
      <c r="E1536" s="214" t="n"/>
      <c r="F1536" s="262" t="n">
        <v>143002</v>
      </c>
      <c r="G1536" s="263" t="inlineStr">
        <is>
          <t>Porta etichette per broches doppie bianco per filo diametro mm. 5</t>
        </is>
      </c>
      <c r="H1536" s="264" t="n">
        <v>1000</v>
      </c>
      <c r="I1536" s="265" t="n">
        <v>0.07099999999999999</v>
      </c>
      <c r="J1536" s="214" t="n"/>
      <c r="K1536" s="208" t="n"/>
      <c r="L1536" s="424" t="n"/>
      <c r="M1536" s="961" t="n"/>
      <c r="N1536" s="214" t="n"/>
    </row>
    <row r="1537">
      <c r="A1537" s="207" t="n"/>
      <c r="B1537" s="209" t="n"/>
      <c r="C1537" s="207" t="n"/>
      <c r="D1537" s="963" t="n"/>
      <c r="E1537" s="214" t="n"/>
      <c r="F1537" s="262" t="n">
        <v>143003</v>
      </c>
      <c r="G1537" s="263" t="inlineStr">
        <is>
          <t>Porta etichette per broches doppie bianco per filo diametro mm. 5,6-5,7</t>
        </is>
      </c>
      <c r="H1537" s="264" t="n">
        <v>1000</v>
      </c>
      <c r="I1537" s="265" t="n">
        <v>0.07000000000000001</v>
      </c>
      <c r="J1537" s="214" t="n"/>
      <c r="K1537" s="208" t="n"/>
      <c r="L1537" s="424" t="n"/>
      <c r="M1537" s="961" t="n"/>
      <c r="N1537" s="214" t="n"/>
    </row>
    <row r="1538">
      <c r="A1538" s="207" t="n"/>
      <c r="B1538" s="209" t="n"/>
      <c r="C1538" s="207" t="n"/>
      <c r="D1538" s="963" t="n"/>
      <c r="E1538" s="214" t="n"/>
      <c r="F1538" s="262" t="n">
        <v>143010</v>
      </c>
      <c r="G1538" s="263" t="inlineStr">
        <is>
          <t>Porta etichette per broches doppie nero per filo diametro mm. 3</t>
        </is>
      </c>
      <c r="H1538" s="264" t="n">
        <v>1000</v>
      </c>
      <c r="I1538" s="265" t="n">
        <v>0.07099999999999999</v>
      </c>
      <c r="J1538" s="214" t="n"/>
      <c r="K1538" s="208" t="n"/>
      <c r="L1538" s="424" t="n"/>
      <c r="M1538" s="961" t="n"/>
      <c r="N1538" s="214" t="n"/>
    </row>
    <row r="1539">
      <c r="A1539" s="207" t="n"/>
      <c r="B1539" s="209" t="n"/>
      <c r="C1539" s="207" t="n"/>
      <c r="D1539" s="963" t="n"/>
      <c r="E1539" s="214" t="n"/>
      <c r="F1539" s="262" t="n">
        <v>143011</v>
      </c>
      <c r="G1539" s="263" t="inlineStr">
        <is>
          <t>Porta etichette per broches doppie nero per filo diametro mm. 4</t>
        </is>
      </c>
      <c r="H1539" s="264" t="n">
        <v>1000</v>
      </c>
      <c r="I1539" s="265" t="n">
        <v>0.07000000000000001</v>
      </c>
      <c r="J1539" s="214" t="n"/>
      <c r="K1539" s="208" t="n"/>
      <c r="L1539" s="424" t="n"/>
      <c r="M1539" s="961" t="n"/>
      <c r="N1539" s="214" t="n"/>
    </row>
    <row r="1540">
      <c r="A1540" s="207" t="n"/>
      <c r="B1540" s="209" t="n"/>
      <c r="C1540" s="207" t="n"/>
      <c r="D1540" s="963" t="n"/>
      <c r="E1540" s="214" t="n"/>
      <c r="F1540" s="262" t="n">
        <v>143012</v>
      </c>
      <c r="G1540" s="263" t="inlineStr">
        <is>
          <t>Porta etichette per broches doppie nero per filo diametro mm. 5</t>
        </is>
      </c>
      <c r="H1540" s="264" t="n">
        <v>1000</v>
      </c>
      <c r="I1540" s="265" t="n">
        <v>0.07099999999999999</v>
      </c>
      <c r="J1540" s="214" t="n"/>
      <c r="K1540" s="208" t="n"/>
      <c r="L1540" s="424" t="n"/>
      <c r="M1540" s="961" t="n"/>
      <c r="N1540" s="214" t="n"/>
    </row>
    <row r="1541">
      <c r="A1541" s="207" t="n"/>
      <c r="B1541" s="209" t="n"/>
      <c r="C1541" s="207" t="n"/>
      <c r="D1541" s="963" t="n"/>
      <c r="E1541" s="214" t="n"/>
      <c r="F1541" s="262" t="n">
        <v>143013</v>
      </c>
      <c r="G1541" s="263" t="inlineStr">
        <is>
          <t>Porta etichette per broches doppie nero per filo diametro mm. 5,6-5,7</t>
        </is>
      </c>
      <c r="H1541" s="264" t="n">
        <v>1000</v>
      </c>
      <c r="I1541" s="265" t="n">
        <v>0.07000000000000001</v>
      </c>
      <c r="J1541" s="214" t="n"/>
      <c r="K1541" s="208" t="n"/>
      <c r="L1541" s="424" t="n"/>
      <c r="M1541" s="961" t="n"/>
      <c r="N1541" s="214" t="n"/>
    </row>
    <row r="1542">
      <c r="A1542" s="207" t="n"/>
      <c r="B1542" s="209" t="n"/>
      <c r="C1542" s="207" t="n"/>
      <c r="D1542" s="963" t="n"/>
      <c r="E1542" s="214" t="n"/>
      <c r="F1542" s="262" t="n">
        <v>143020</v>
      </c>
      <c r="G1542" s="263" t="inlineStr">
        <is>
          <t>Porta etichette per broches doppie trasparente per filo diametro mm. 3</t>
        </is>
      </c>
      <c r="H1542" s="264" t="n">
        <v>1000</v>
      </c>
      <c r="I1542" s="265" t="n">
        <v>0.077</v>
      </c>
      <c r="J1542" s="214" t="n"/>
      <c r="K1542" s="208" t="n"/>
      <c r="L1542" s="424" t="n"/>
      <c r="M1542" s="961" t="n"/>
      <c r="N1542" s="214" t="n"/>
    </row>
    <row r="1543">
      <c r="A1543" s="207" t="n"/>
      <c r="B1543" s="209" t="n"/>
      <c r="C1543" s="207" t="n"/>
      <c r="D1543" s="963" t="n"/>
      <c r="E1543" s="214" t="n"/>
      <c r="F1543" s="262" t="n">
        <v>143021</v>
      </c>
      <c r="G1543" s="263" t="inlineStr">
        <is>
          <t>Porta etichette per broches doppie trasparente per filo diametro mm. 4</t>
        </is>
      </c>
      <c r="H1543" s="264" t="n">
        <v>1000</v>
      </c>
      <c r="I1543" s="265" t="n">
        <v>0.077</v>
      </c>
      <c r="J1543" s="214" t="n"/>
      <c r="K1543" s="208" t="n"/>
      <c r="L1543" s="424" t="n"/>
      <c r="M1543" s="961" t="n"/>
      <c r="N1543" s="214" t="n"/>
    </row>
    <row r="1544">
      <c r="A1544" s="207" t="n"/>
      <c r="B1544" s="209" t="n"/>
      <c r="C1544" s="207" t="n"/>
      <c r="D1544" s="963" t="n"/>
      <c r="E1544" s="214" t="n"/>
      <c r="F1544" s="262" t="n">
        <v>143022</v>
      </c>
      <c r="G1544" s="263" t="inlineStr">
        <is>
          <t>Porta etichette per broches doppie trasparente per filo diametro mm. 5</t>
        </is>
      </c>
      <c r="H1544" s="264" t="n">
        <v>1000</v>
      </c>
      <c r="I1544" s="265" t="n">
        <v>0.077</v>
      </c>
      <c r="J1544" s="214" t="n"/>
      <c r="K1544" s="208" t="n"/>
      <c r="L1544" s="424" t="n"/>
      <c r="M1544" s="961" t="n"/>
      <c r="N1544" s="214" t="n"/>
    </row>
    <row r="1545">
      <c r="A1545" s="207" t="n"/>
      <c r="B1545" s="209" t="n"/>
      <c r="C1545" s="207" t="n"/>
      <c r="D1545" s="963" t="n"/>
      <c r="E1545" s="214" t="n"/>
      <c r="F1545" s="262" t="n">
        <v>143023</v>
      </c>
      <c r="G1545" s="263" t="inlineStr">
        <is>
          <t>Porta etichette per broches doppie trasparente per filo diametro mm. 5,6-5,7</t>
        </is>
      </c>
      <c r="H1545" s="264" t="n">
        <v>1000</v>
      </c>
      <c r="I1545" s="265" t="n">
        <v>0.076</v>
      </c>
      <c r="J1545" s="214" t="n"/>
      <c r="K1545" s="208" t="n"/>
      <c r="L1545" s="424" t="n"/>
      <c r="M1545" s="961" t="n"/>
      <c r="N1545" s="214" t="n"/>
    </row>
    <row r="1546">
      <c r="A1546" s="207" t="n"/>
      <c r="B1546" s="209" t="n"/>
      <c r="C1546" s="207" t="n"/>
      <c r="D1546" s="963" t="n"/>
      <c r="E1546" s="214" t="n"/>
      <c r="F1546" s="262" t="n">
        <v>143050</v>
      </c>
      <c r="G1546" s="263" t="inlineStr">
        <is>
          <t>Porta etichette richiudibile per broches doppie trasparente mm. 25x27 - filo diamet</t>
        </is>
      </c>
      <c r="H1546" s="264" t="n">
        <v>100</v>
      </c>
      <c r="I1546" s="265" t="n">
        <v>0.138</v>
      </c>
      <c r="J1546" s="214" t="n"/>
      <c r="K1546" s="208" t="n"/>
      <c r="L1546" s="424" t="n"/>
      <c r="M1546" s="961" t="n"/>
      <c r="N1546" s="214" t="n"/>
    </row>
    <row r="1547">
      <c r="A1547" s="207" t="n"/>
      <c r="B1547" s="209" t="n"/>
      <c r="C1547" s="207" t="n"/>
      <c r="D1547" s="963" t="n"/>
      <c r="E1547" s="214" t="n"/>
      <c r="F1547" s="262" t="n">
        <v>143051</v>
      </c>
      <c r="G1547" s="263" t="inlineStr">
        <is>
          <t>Porta etichette richiudibile per broches doppie trasparente mm. 25x38 - filo diamet</t>
        </is>
      </c>
      <c r="H1547" s="264" t="n">
        <v>100</v>
      </c>
      <c r="I1547" s="265" t="n">
        <v>0.148</v>
      </c>
      <c r="J1547" s="214" t="n"/>
      <c r="K1547" s="208" t="n"/>
      <c r="L1547" s="424" t="n"/>
      <c r="M1547" s="961" t="n"/>
      <c r="N1547" s="214" t="n"/>
    </row>
    <row r="1548">
      <c r="A1548" s="207" t="n"/>
      <c r="B1548" s="209" t="n"/>
      <c r="C1548" s="207" t="n"/>
      <c r="D1548" s="963" t="n"/>
      <c r="E1548" s="214" t="n"/>
      <c r="F1548" s="262" t="n">
        <v>143060</v>
      </c>
      <c r="G1548" s="263" t="inlineStr">
        <is>
          <t>Porta etichette richiudibile per broches doppie trasparente mm. 25x27 - filo diamet</t>
        </is>
      </c>
      <c r="H1548" s="264" t="n">
        <v>100</v>
      </c>
      <c r="I1548" s="265" t="n">
        <v>0.142</v>
      </c>
      <c r="J1548" s="214" t="n"/>
      <c r="K1548" s="208" t="n"/>
      <c r="L1548" s="424" t="n"/>
      <c r="M1548" s="961" t="n"/>
      <c r="N1548" s="214" t="n"/>
    </row>
    <row r="1549">
      <c r="A1549" s="207" t="n"/>
      <c r="B1549" s="209" t="n"/>
      <c r="C1549" s="207" t="n"/>
      <c r="D1549" s="963" t="n"/>
      <c r="E1549" s="214" t="n"/>
      <c r="F1549" s="262" t="n">
        <v>143061</v>
      </c>
      <c r="G1549" s="263" t="inlineStr">
        <is>
          <t>Porta etichette richiudibile per broches doppie trasparente mm. 25x38 - filo diamet</t>
        </is>
      </c>
      <c r="H1549" s="264" t="n">
        <v>100</v>
      </c>
      <c r="I1549" s="265" t="n">
        <v>0.152</v>
      </c>
      <c r="J1549" s="214" t="n"/>
      <c r="K1549" s="208" t="n"/>
      <c r="L1549" s="424" t="n"/>
      <c r="M1549" s="961" t="n"/>
      <c r="N1549" s="214" t="n"/>
    </row>
    <row r="1550">
      <c r="A1550" s="207" t="n"/>
      <c r="B1550" s="209" t="n"/>
      <c r="C1550" s="207" t="n"/>
      <c r="D1550" s="963" t="n"/>
      <c r="E1550" s="214" t="n"/>
      <c r="F1550" s="262" t="n">
        <v>143080</v>
      </c>
      <c r="G1550" s="263" t="inlineStr">
        <is>
          <t>Imbuto per broches singole diametro mm. 3</t>
        </is>
      </c>
      <c r="H1550" s="264" t="n">
        <v>100</v>
      </c>
      <c r="I1550" s="265" t="n">
        <v>0.184</v>
      </c>
      <c r="J1550" s="214" t="n"/>
      <c r="K1550" s="208" t="n"/>
      <c r="L1550" s="424" t="n"/>
      <c r="M1550" s="961" t="n"/>
      <c r="N1550" s="214" t="n"/>
    </row>
    <row r="1551">
      <c r="A1551" s="207" t="n"/>
      <c r="B1551" s="209" t="n"/>
      <c r="C1551" s="207" t="n"/>
      <c r="D1551" s="963" t="n"/>
      <c r="E1551" s="214" t="n"/>
      <c r="F1551" s="262" t="n">
        <v>143081</v>
      </c>
      <c r="G1551" s="263" t="inlineStr">
        <is>
          <t>Imbuto per broches singole diametro mm. 4</t>
        </is>
      </c>
      <c r="H1551" s="264" t="n">
        <v>100</v>
      </c>
      <c r="I1551" s="265" t="n">
        <v>0.184</v>
      </c>
      <c r="J1551" s="214" t="n"/>
      <c r="K1551" s="208" t="n"/>
      <c r="L1551" s="424" t="n"/>
      <c r="M1551" s="961" t="n"/>
      <c r="N1551" s="214" t="n"/>
    </row>
    <row r="1552">
      <c r="A1552" s="207" t="n"/>
      <c r="B1552" s="209" t="n"/>
      <c r="C1552" s="207" t="n"/>
      <c r="D1552" s="963" t="n"/>
      <c r="E1552" s="214" t="n"/>
      <c r="F1552" s="262" t="n">
        <v>143082</v>
      </c>
      <c r="G1552" s="263" t="inlineStr">
        <is>
          <t>Imbuto per broches singole diametro mm. 5</t>
        </is>
      </c>
      <c r="H1552" s="264" t="n">
        <v>100</v>
      </c>
      <c r="I1552" s="265" t="n">
        <v>0.184</v>
      </c>
      <c r="J1552" s="214" t="n"/>
      <c r="K1552" s="208" t="n"/>
      <c r="L1552" s="424" t="n"/>
      <c r="M1552" s="961" t="n"/>
      <c r="N1552" s="214" t="n"/>
    </row>
    <row r="1553">
      <c r="A1553" s="207" t="n"/>
      <c r="B1553" s="209" t="n"/>
      <c r="C1553" s="207" t="n"/>
      <c r="D1553" s="963" t="n"/>
      <c r="E1553" s="214" t="n"/>
      <c r="F1553" s="262" t="n">
        <v>143083</v>
      </c>
      <c r="G1553" s="263" t="inlineStr">
        <is>
          <t>Imbuto per broches singole diametro mm. 6</t>
        </is>
      </c>
      <c r="H1553" s="264" t="n">
        <v>100</v>
      </c>
      <c r="I1553" s="265" t="n">
        <v>0.184</v>
      </c>
      <c r="J1553" s="214" t="n"/>
      <c r="K1553" s="208" t="n"/>
      <c r="L1553" s="424" t="n"/>
      <c r="M1553" s="961" t="n"/>
      <c r="N1553" s="214" t="n"/>
    </row>
    <row r="1554">
      <c r="A1554" s="207" t="n"/>
      <c r="B1554" s="209" t="n"/>
      <c r="C1554" s="207" t="n"/>
      <c r="D1554" s="963" t="n"/>
      <c r="E1554" s="214" t="n"/>
      <c r="F1554" s="262" t="n">
        <v>143600</v>
      </c>
      <c r="G1554" s="263" t="inlineStr">
        <is>
          <t>Broche bilaterale larga in plastica bianca mm. 20</t>
        </is>
      </c>
      <c r="H1554" s="264" t="n">
        <v>100</v>
      </c>
      <c r="I1554" s="265" t="n">
        <v>0.104</v>
      </c>
      <c r="J1554" s="214" t="n"/>
      <c r="K1554" s="208" t="n"/>
      <c r="L1554" s="424" t="n"/>
      <c r="M1554" s="961" t="n"/>
      <c r="N1554" s="214" t="n"/>
    </row>
    <row r="1555">
      <c r="A1555" s="207" t="n"/>
      <c r="B1555" s="209" t="n"/>
      <c r="C1555" s="207" t="n"/>
      <c r="D1555" s="963" t="n"/>
      <c r="E1555" s="214" t="n"/>
      <c r="F1555" s="262" t="n">
        <v>143601</v>
      </c>
      <c r="G1555" s="263" t="inlineStr">
        <is>
          <t>Broche bilaterale larga in plastica bianca mm. 50</t>
        </is>
      </c>
      <c r="H1555" s="264" t="n">
        <v>100</v>
      </c>
      <c r="I1555" s="265" t="n">
        <v>0.116</v>
      </c>
      <c r="J1555" s="214" t="n"/>
      <c r="K1555" s="208" t="n"/>
      <c r="L1555" s="424" t="n"/>
      <c r="M1555" s="961" t="n"/>
      <c r="N1555" s="214" t="n"/>
    </row>
    <row r="1556">
      <c r="A1556" s="207" t="n"/>
      <c r="B1556" s="209" t="n"/>
      <c r="C1556" s="207" t="n"/>
      <c r="D1556" s="963" t="n"/>
      <c r="E1556" s="214" t="n"/>
      <c r="F1556" s="262" t="n">
        <v>143602</v>
      </c>
      <c r="G1556" s="263" t="inlineStr">
        <is>
          <t>Broche bilaterale larga in plastica bianca mm. 70</t>
        </is>
      </c>
      <c r="H1556" s="264" t="n">
        <v>100</v>
      </c>
      <c r="I1556" s="265" t="n">
        <v>0.129</v>
      </c>
      <c r="J1556" s="214" t="n"/>
      <c r="K1556" s="208" t="n"/>
      <c r="L1556" s="424" t="n"/>
      <c r="M1556" s="961" t="n"/>
      <c r="N1556" s="214" t="n"/>
    </row>
    <row r="1557">
      <c r="A1557" s="207" t="n"/>
      <c r="B1557" s="209" t="n"/>
      <c r="C1557" s="207" t="n"/>
      <c r="D1557" s="963" t="n"/>
      <c r="E1557" s="214" t="n"/>
      <c r="F1557" s="262" t="n">
        <v>143603</v>
      </c>
      <c r="G1557" s="263" t="inlineStr">
        <is>
          <t>Broche bilaterale larga in plastica bianca mm. 100</t>
        </is>
      </c>
      <c r="H1557" s="264" t="n">
        <v>100</v>
      </c>
      <c r="I1557" s="265" t="n">
        <v>0.139</v>
      </c>
      <c r="J1557" s="214" t="n"/>
      <c r="K1557" s="208" t="n"/>
      <c r="L1557" s="424" t="n"/>
      <c r="M1557" s="961" t="n"/>
      <c r="N1557" s="214" t="n"/>
    </row>
    <row r="1558">
      <c r="A1558" s="207" t="n"/>
      <c r="B1558" s="209" t="n"/>
      <c r="C1558" s="207" t="n"/>
      <c r="D1558" s="963" t="n"/>
      <c r="E1558" s="214" t="n"/>
      <c r="F1558" s="262" t="n">
        <v>143604</v>
      </c>
      <c r="G1558" s="263" t="inlineStr">
        <is>
          <t>Broche bilaterale larga in plastica bianca mm. 120</t>
        </is>
      </c>
      <c r="H1558" s="264" t="n">
        <v>100</v>
      </c>
      <c r="I1558" s="265" t="n">
        <v>0.146</v>
      </c>
      <c r="J1558" s="214" t="n"/>
      <c r="K1558" s="208" t="n"/>
      <c r="L1558" s="424" t="n"/>
      <c r="M1558" s="961" t="n"/>
      <c r="N1558" s="214" t="n"/>
    </row>
    <row r="1559">
      <c r="A1559" s="207" t="n"/>
      <c r="B1559" s="209" t="n"/>
      <c r="C1559" s="207" t="n"/>
      <c r="D1559" s="963" t="n"/>
      <c r="E1559" s="214" t="n"/>
      <c r="F1559" s="262" t="n">
        <v>143605</v>
      </c>
      <c r="G1559" s="263" t="inlineStr">
        <is>
          <t>Broche bilaterale larga in plastica bianca mm. 150</t>
        </is>
      </c>
      <c r="H1559" s="264" t="n">
        <v>100</v>
      </c>
      <c r="I1559" s="265" t="n">
        <v>0.159</v>
      </c>
      <c r="J1559" s="214" t="n"/>
      <c r="K1559" s="208" t="n"/>
      <c r="L1559" s="424" t="n"/>
      <c r="M1559" s="961" t="n"/>
      <c r="N1559" s="214" t="n"/>
    </row>
    <row r="1560">
      <c r="A1560" s="207" t="n"/>
      <c r="B1560" s="209" t="n"/>
      <c r="C1560" s="207" t="n"/>
      <c r="D1560" s="963" t="n"/>
      <c r="E1560" s="214" t="n"/>
      <c r="F1560" s="262" t="n">
        <v>143610</v>
      </c>
      <c r="G1560" s="263" t="inlineStr">
        <is>
          <t>Broche bilaterale larga in plastica nera mm. 20</t>
        </is>
      </c>
      <c r="H1560" s="264" t="n">
        <v>100</v>
      </c>
      <c r="I1560" s="265" t="n">
        <v>0.108</v>
      </c>
      <c r="J1560" s="214" t="n"/>
      <c r="K1560" s="208" t="n"/>
      <c r="L1560" s="424" t="n"/>
      <c r="M1560" s="961" t="n"/>
      <c r="N1560" s="214" t="n"/>
    </row>
    <row r="1561">
      <c r="A1561" s="207" t="n"/>
      <c r="B1561" s="209" t="n"/>
      <c r="C1561" s="207" t="n"/>
      <c r="D1561" s="963" t="n"/>
      <c r="E1561" s="214" t="n"/>
      <c r="F1561" s="262" t="n">
        <v>143611</v>
      </c>
      <c r="G1561" s="263" t="inlineStr">
        <is>
          <t>Broche bilaterale larga in plastica nera mm. 50</t>
        </is>
      </c>
      <c r="H1561" s="264" t="n">
        <v>100</v>
      </c>
      <c r="I1561" s="265" t="n">
        <v>0.122</v>
      </c>
      <c r="J1561" s="214" t="n"/>
      <c r="K1561" s="208" t="n"/>
      <c r="L1561" s="424" t="n"/>
      <c r="M1561" s="961" t="n"/>
      <c r="N1561" s="214" t="n"/>
    </row>
    <row r="1562">
      <c r="A1562" s="207" t="n"/>
      <c r="B1562" s="209" t="n"/>
      <c r="C1562" s="207" t="n"/>
      <c r="D1562" s="963" t="n"/>
      <c r="E1562" s="214" t="n"/>
      <c r="F1562" s="262" t="n">
        <v>143612</v>
      </c>
      <c r="G1562" s="263" t="inlineStr">
        <is>
          <t>Broche bilaterale larga in plastica nera mm. 70</t>
        </is>
      </c>
      <c r="H1562" s="264" t="n">
        <v>100</v>
      </c>
      <c r="I1562" s="265" t="n">
        <v>0.135</v>
      </c>
      <c r="J1562" s="214" t="n"/>
      <c r="K1562" s="208" t="n"/>
      <c r="L1562" s="424" t="n"/>
      <c r="M1562" s="961" t="n"/>
      <c r="N1562" s="214" t="n"/>
    </row>
    <row r="1563">
      <c r="A1563" s="207" t="n"/>
      <c r="B1563" s="209" t="n"/>
      <c r="C1563" s="207" t="n"/>
      <c r="D1563" s="963" t="n"/>
      <c r="E1563" s="214" t="n"/>
      <c r="F1563" s="262" t="n">
        <v>143613</v>
      </c>
      <c r="G1563" s="263" t="inlineStr">
        <is>
          <t>Broche bilaterale larga in plastica nera mm. 100</t>
        </is>
      </c>
      <c r="H1563" s="264" t="n">
        <v>100</v>
      </c>
      <c r="I1563" s="265" t="n">
        <v>0.145</v>
      </c>
      <c r="J1563" s="214" t="n"/>
      <c r="K1563" s="208" t="n"/>
      <c r="L1563" s="424" t="n"/>
      <c r="M1563" s="961" t="n"/>
      <c r="N1563" s="214" t="n"/>
    </row>
    <row r="1564">
      <c r="A1564" s="207" t="n"/>
      <c r="B1564" s="209" t="n"/>
      <c r="C1564" s="207" t="n"/>
      <c r="D1564" s="963" t="n"/>
      <c r="E1564" s="214" t="n"/>
      <c r="F1564" s="262" t="n">
        <v>143614</v>
      </c>
      <c r="G1564" s="263" t="inlineStr">
        <is>
          <t>Broche bilaterale larga in plastica nera mm. 120</t>
        </is>
      </c>
      <c r="H1564" s="264" t="n">
        <v>100</v>
      </c>
      <c r="I1564" s="265" t="n">
        <v>0.152</v>
      </c>
      <c r="J1564" s="214" t="n"/>
      <c r="K1564" s="208" t="n"/>
      <c r="L1564" s="424" t="n"/>
      <c r="M1564" s="961" t="n"/>
      <c r="N1564" s="214" t="n"/>
    </row>
    <row r="1565">
      <c r="A1565" s="207" t="n"/>
      <c r="B1565" s="209" t="n"/>
      <c r="C1565" s="207" t="n"/>
      <c r="D1565" s="963" t="n"/>
      <c r="E1565" s="214" t="n"/>
      <c r="F1565" s="262" t="n">
        <v>143615</v>
      </c>
      <c r="G1565" s="263" t="inlineStr">
        <is>
          <t>Broche bilaterale larga in plastica nera mm. 150</t>
        </is>
      </c>
      <c r="H1565" s="264" t="n">
        <v>100</v>
      </c>
      <c r="I1565" s="265" t="n">
        <v>0.166</v>
      </c>
      <c r="J1565" s="214" t="n"/>
      <c r="K1565" s="208" t="n"/>
      <c r="L1565" s="424" t="n"/>
      <c r="M1565" s="961" t="n"/>
      <c r="N1565" s="214" t="n"/>
    </row>
    <row r="1566">
      <c r="A1566" s="207" t="n"/>
      <c r="B1566" s="209" t="n"/>
      <c r="C1566" s="207" t="n"/>
      <c r="D1566" s="963" t="n"/>
      <c r="E1566" s="214" t="n"/>
      <c r="F1566" s="262" t="n">
        <v>143620</v>
      </c>
      <c r="G1566" s="263" t="inlineStr">
        <is>
          <t>Broche bilaterale larga in plastica trasparente mm. 20</t>
        </is>
      </c>
      <c r="H1566" s="264" t="n">
        <v>100</v>
      </c>
      <c r="I1566" s="265" t="n">
        <v>0.135</v>
      </c>
      <c r="J1566" s="214" t="n"/>
      <c r="K1566" s="208" t="n"/>
      <c r="L1566" s="424" t="n"/>
      <c r="M1566" s="961" t="n"/>
      <c r="N1566" s="214" t="n"/>
    </row>
    <row r="1567">
      <c r="A1567" s="207" t="n"/>
      <c r="B1567" s="209" t="n"/>
      <c r="C1567" s="207" t="n"/>
      <c r="D1567" s="963" t="n"/>
      <c r="E1567" s="214" t="n"/>
      <c r="F1567" s="262" t="n">
        <v>143621</v>
      </c>
      <c r="G1567" s="263" t="inlineStr">
        <is>
          <t>Broche bilaterale larga in plastica trasparente mm. 50</t>
        </is>
      </c>
      <c r="H1567" s="264" t="n">
        <v>100</v>
      </c>
      <c r="I1567" s="265" t="n">
        <v>0.151</v>
      </c>
      <c r="J1567" s="214" t="n"/>
      <c r="K1567" s="208" t="n"/>
      <c r="L1567" s="424" t="n"/>
      <c r="M1567" s="961" t="n"/>
      <c r="N1567" s="214" t="n"/>
    </row>
    <row r="1568">
      <c r="A1568" s="207" t="n"/>
      <c r="B1568" s="209" t="n"/>
      <c r="C1568" s="207" t="n"/>
      <c r="D1568" s="963" t="n"/>
      <c r="E1568" s="214" t="n"/>
      <c r="F1568" s="262" t="n">
        <v>143622</v>
      </c>
      <c r="G1568" s="263" t="inlineStr">
        <is>
          <t>Broche bilaterale larga in plastica trasparente mm. 70</t>
        </is>
      </c>
      <c r="H1568" s="264" t="n">
        <v>100</v>
      </c>
      <c r="I1568" s="265" t="n">
        <v>0.168</v>
      </c>
      <c r="J1568" s="214" t="n"/>
      <c r="K1568" s="208" t="n"/>
      <c r="L1568" s="424" t="n"/>
      <c r="M1568" s="961" t="n"/>
      <c r="N1568" s="214" t="n"/>
    </row>
    <row r="1569">
      <c r="A1569" s="207" t="n"/>
      <c r="B1569" s="209" t="n"/>
      <c r="C1569" s="207" t="n"/>
      <c r="D1569" s="963" t="n"/>
      <c r="E1569" s="214" t="n"/>
      <c r="F1569" s="262" t="n">
        <v>143623</v>
      </c>
      <c r="G1569" s="263" t="inlineStr">
        <is>
          <t>Broche bilaterale larga in plastica trasparente mm. 100</t>
        </is>
      </c>
      <c r="H1569" s="264" t="n">
        <v>100</v>
      </c>
      <c r="I1569" s="265" t="n">
        <v>0.18</v>
      </c>
      <c r="J1569" s="214" t="n"/>
      <c r="K1569" s="208" t="n"/>
      <c r="L1569" s="424" t="n"/>
      <c r="M1569" s="961" t="n"/>
      <c r="N1569" s="214" t="n"/>
    </row>
    <row r="1570">
      <c r="A1570" s="207" t="n"/>
      <c r="B1570" s="209" t="n"/>
      <c r="C1570" s="207" t="n"/>
      <c r="D1570" s="963" t="n"/>
      <c r="E1570" s="214" t="n"/>
      <c r="F1570" s="262" t="n">
        <v>143624</v>
      </c>
      <c r="G1570" s="263" t="inlineStr">
        <is>
          <t>Broche bilaterale larga in plastica trasparente mm. 120</t>
        </is>
      </c>
      <c r="H1570" s="264" t="n">
        <v>100</v>
      </c>
      <c r="I1570" s="265" t="n">
        <v>0.189</v>
      </c>
      <c r="J1570" s="214" t="n"/>
      <c r="K1570" s="208" t="n"/>
      <c r="L1570" s="424" t="n"/>
      <c r="M1570" s="961" t="n"/>
      <c r="N1570" s="214" t="n"/>
    </row>
    <row r="1571">
      <c r="A1571" s="207" t="n"/>
      <c r="B1571" s="209" t="n"/>
      <c r="C1571" s="207" t="n"/>
      <c r="D1571" s="963" t="n"/>
      <c r="E1571" s="214" t="n"/>
      <c r="F1571" s="262" t="n">
        <v>143625</v>
      </c>
      <c r="G1571" s="263" t="inlineStr">
        <is>
          <t>Broche bilaterale larga in plastica trasparente mm. 150</t>
        </is>
      </c>
      <c r="H1571" s="264" t="n">
        <v>100</v>
      </c>
      <c r="I1571" s="265" t="n">
        <v>0.206</v>
      </c>
      <c r="J1571" s="214" t="n"/>
      <c r="K1571" s="208" t="n"/>
      <c r="L1571" s="424" t="n"/>
      <c r="M1571" s="961" t="n"/>
      <c r="N1571" s="214" t="n"/>
    </row>
    <row r="1572">
      <c r="A1572" s="207" t="n"/>
      <c r="B1572" s="209" t="n"/>
      <c r="C1572" s="207" t="n"/>
      <c r="D1572" s="963" t="n"/>
      <c r="E1572" s="214" t="n"/>
      <c r="F1572" s="262" t="n">
        <v>143700</v>
      </c>
      <c r="G1572" s="263" t="inlineStr">
        <is>
          <t>Broche bilaterale tonda in plastica bianca mm. 20</t>
        </is>
      </c>
      <c r="H1572" s="264" t="n">
        <v>100</v>
      </c>
      <c r="I1572" s="265" t="n">
        <v>0.096</v>
      </c>
      <c r="J1572" s="214" t="n"/>
      <c r="K1572" s="208" t="n"/>
      <c r="L1572" s="424" t="n"/>
      <c r="M1572" s="961" t="n"/>
      <c r="N1572" s="214" t="n"/>
    </row>
    <row r="1573">
      <c r="A1573" s="207" t="n"/>
      <c r="B1573" s="209" t="n"/>
      <c r="C1573" s="207" t="n"/>
      <c r="D1573" s="963" t="n"/>
      <c r="E1573" s="214" t="n"/>
      <c r="F1573" s="262" t="n">
        <v>143701</v>
      </c>
      <c r="G1573" s="263" t="inlineStr">
        <is>
          <t>Broche bilaterale tonda in plastica bianca mm. 50</t>
        </is>
      </c>
      <c r="H1573" s="264" t="n">
        <v>100</v>
      </c>
      <c r="I1573" s="265" t="n">
        <v>0.102</v>
      </c>
      <c r="J1573" s="214" t="n"/>
      <c r="K1573" s="208" t="n"/>
      <c r="L1573" s="424" t="n"/>
      <c r="M1573" s="961" t="n"/>
      <c r="N1573" s="214" t="n"/>
    </row>
    <row r="1574">
      <c r="A1574" s="207" t="n"/>
      <c r="B1574" s="209" t="n"/>
      <c r="C1574" s="207" t="n"/>
      <c r="D1574" s="963" t="n"/>
      <c r="E1574" s="214" t="n"/>
      <c r="F1574" s="262" t="n">
        <v>143702</v>
      </c>
      <c r="G1574" s="263" t="inlineStr">
        <is>
          <t>Broche bilaterale tonda in plastica bianca mm. 70</t>
        </is>
      </c>
      <c r="H1574" s="264" t="n">
        <v>100</v>
      </c>
      <c r="I1574" s="265" t="n">
        <v>0.106</v>
      </c>
      <c r="J1574" s="214" t="n"/>
      <c r="K1574" s="208" t="n"/>
      <c r="L1574" s="424" t="n"/>
      <c r="M1574" s="961" t="n"/>
      <c r="N1574" s="214" t="n"/>
    </row>
    <row r="1575">
      <c r="A1575" s="207" t="n"/>
      <c r="B1575" s="209" t="n"/>
      <c r="C1575" s="207" t="n"/>
      <c r="D1575" s="963" t="n"/>
      <c r="E1575" s="214" t="n"/>
      <c r="F1575" s="262" t="n">
        <v>143703</v>
      </c>
      <c r="G1575" s="263" t="inlineStr">
        <is>
          <t>Broche bilaterale tonda in plastica bianca mm. 100</t>
        </is>
      </c>
      <c r="H1575" s="264" t="n">
        <v>100</v>
      </c>
      <c r="I1575" s="265" t="n">
        <v>0.111</v>
      </c>
      <c r="J1575" s="214" t="n"/>
      <c r="K1575" s="208" t="n"/>
      <c r="L1575" s="424" t="n"/>
      <c r="M1575" s="961" t="n"/>
      <c r="N1575" s="214" t="n"/>
    </row>
    <row r="1576">
      <c r="A1576" s="207" t="n"/>
      <c r="B1576" s="209" t="n"/>
      <c r="C1576" s="207" t="n"/>
      <c r="D1576" s="963" t="n"/>
      <c r="E1576" s="214" t="n"/>
      <c r="F1576" s="262" t="n">
        <v>143704</v>
      </c>
      <c r="G1576" s="263" t="inlineStr">
        <is>
          <t>Broche bilaterale tonda in plastica bianca mm. 120</t>
        </is>
      </c>
      <c r="H1576" s="264" t="n">
        <v>100</v>
      </c>
      <c r="I1576" s="265" t="n">
        <v>0.115</v>
      </c>
      <c r="J1576" s="214" t="n"/>
      <c r="K1576" s="208" t="n"/>
      <c r="L1576" s="424" t="n"/>
      <c r="M1576" s="961" t="n"/>
      <c r="N1576" s="214" t="n"/>
    </row>
    <row r="1577">
      <c r="A1577" s="207" t="n"/>
      <c r="B1577" s="209" t="n"/>
      <c r="C1577" s="207" t="n"/>
      <c r="D1577" s="963" t="n"/>
      <c r="E1577" s="214" t="n"/>
      <c r="F1577" s="262" t="n">
        <v>143705</v>
      </c>
      <c r="G1577" s="263" t="inlineStr">
        <is>
          <t>Broche bilaterale tonda in plastica bianca mm. 150</t>
        </is>
      </c>
      <c r="H1577" s="264" t="n">
        <v>100</v>
      </c>
      <c r="I1577" s="265" t="n">
        <v>0.12</v>
      </c>
      <c r="J1577" s="214" t="n"/>
      <c r="K1577" s="208" t="n"/>
      <c r="L1577" s="424" t="n"/>
      <c r="M1577" s="961" t="n"/>
      <c r="N1577" s="214" t="n"/>
    </row>
    <row r="1578">
      <c r="A1578" s="207" t="n"/>
      <c r="B1578" s="209" t="n"/>
      <c r="C1578" s="207" t="n"/>
      <c r="D1578" s="963" t="n"/>
      <c r="E1578" s="214" t="n"/>
      <c r="F1578" s="262" t="n">
        <v>143710</v>
      </c>
      <c r="G1578" s="263" t="inlineStr">
        <is>
          <t>Broche bilaterale tonda in plastica nera mm. 20</t>
        </is>
      </c>
      <c r="H1578" s="264" t="n">
        <v>100</v>
      </c>
      <c r="I1578" s="265" t="n">
        <v>0.101</v>
      </c>
      <c r="J1578" s="214" t="n"/>
      <c r="K1578" s="208" t="n"/>
      <c r="L1578" s="424" t="n"/>
      <c r="M1578" s="961" t="n"/>
      <c r="N1578" s="214" t="n"/>
    </row>
    <row r="1579">
      <c r="A1579" s="207" t="n"/>
      <c r="B1579" s="209" t="n"/>
      <c r="C1579" s="207" t="n"/>
      <c r="D1579" s="963" t="n"/>
      <c r="E1579" s="214" t="n"/>
      <c r="F1579" s="262" t="n">
        <v>143711</v>
      </c>
      <c r="G1579" s="263" t="inlineStr">
        <is>
          <t>Broche bilaterale tonda in plastica nera mm. 50</t>
        </is>
      </c>
      <c r="H1579" s="264" t="n">
        <v>100</v>
      </c>
      <c r="I1579" s="265" t="n">
        <v>0.107</v>
      </c>
      <c r="J1579" s="214" t="n"/>
      <c r="K1579" s="208" t="n"/>
      <c r="L1579" s="424" t="n"/>
      <c r="M1579" s="961" t="n"/>
      <c r="N1579" s="214" t="n"/>
    </row>
    <row r="1580">
      <c r="A1580" s="207" t="n"/>
      <c r="B1580" s="209" t="n"/>
      <c r="C1580" s="207" t="n"/>
      <c r="D1580" s="963" t="n"/>
      <c r="E1580" s="214" t="n"/>
      <c r="F1580" s="262" t="n">
        <v>143712</v>
      </c>
      <c r="G1580" s="263" t="inlineStr">
        <is>
          <t>Broche bilaterale tonda in plastica nera mm. 70</t>
        </is>
      </c>
      <c r="H1580" s="264" t="n">
        <v>100</v>
      </c>
      <c r="I1580" s="265" t="n">
        <v>0.111</v>
      </c>
      <c r="J1580" s="214" t="n"/>
      <c r="K1580" s="208" t="n"/>
      <c r="L1580" s="424" t="n"/>
      <c r="M1580" s="961" t="n"/>
      <c r="N1580" s="214" t="n"/>
    </row>
    <row r="1581">
      <c r="A1581" s="207" t="n"/>
      <c r="B1581" s="209" t="n"/>
      <c r="C1581" s="207" t="n"/>
      <c r="D1581" s="963" t="n"/>
      <c r="E1581" s="214" t="n"/>
      <c r="F1581" s="262" t="n">
        <v>143713</v>
      </c>
      <c r="G1581" s="263" t="inlineStr">
        <is>
          <t>Broche bilaterale tonda in plastica nera mm. 100</t>
        </is>
      </c>
      <c r="H1581" s="264" t="n">
        <v>100</v>
      </c>
      <c r="I1581" s="265" t="n">
        <v>0.116</v>
      </c>
      <c r="J1581" s="214" t="n"/>
      <c r="K1581" s="208" t="n"/>
      <c r="L1581" s="424" t="n"/>
      <c r="M1581" s="961" t="n"/>
      <c r="N1581" s="214" t="n"/>
    </row>
    <row r="1582">
      <c r="A1582" s="207" t="n"/>
      <c r="B1582" s="209" t="n"/>
      <c r="C1582" s="207" t="n"/>
      <c r="D1582" s="963" t="n"/>
      <c r="E1582" s="214" t="n"/>
      <c r="F1582" s="262" t="n">
        <v>143714</v>
      </c>
      <c r="G1582" s="263" t="inlineStr">
        <is>
          <t>Broche bilaterale tonda in plastica nera mm. 120</t>
        </is>
      </c>
      <c r="H1582" s="264" t="n">
        <v>100</v>
      </c>
      <c r="I1582" s="265" t="n">
        <v>0.12</v>
      </c>
      <c r="J1582" s="214" t="n"/>
      <c r="K1582" s="208" t="n"/>
      <c r="L1582" s="424" t="n"/>
      <c r="M1582" s="961" t="n"/>
      <c r="N1582" s="214" t="n"/>
    </row>
    <row r="1583">
      <c r="A1583" s="207" t="n"/>
      <c r="B1583" s="209" t="n"/>
      <c r="C1583" s="207" t="n"/>
      <c r="D1583" s="963" t="n"/>
      <c r="E1583" s="214" t="n"/>
      <c r="F1583" s="262" t="n">
        <v>143715</v>
      </c>
      <c r="G1583" s="263" t="inlineStr">
        <is>
          <t>Broche bilaterale tonda in plastica nera mm. 150</t>
        </is>
      </c>
      <c r="H1583" s="264" t="n">
        <v>100</v>
      </c>
      <c r="I1583" s="265" t="n">
        <v>0.126</v>
      </c>
      <c r="J1583" s="214" t="n"/>
      <c r="K1583" s="208" t="n"/>
      <c r="L1583" s="424" t="n"/>
      <c r="M1583" s="961" t="n"/>
      <c r="N1583" s="214" t="n"/>
    </row>
    <row r="1584">
      <c r="A1584" s="207" t="n"/>
      <c r="B1584" s="209" t="n"/>
      <c r="C1584" s="207" t="n"/>
      <c r="D1584" s="963" t="n"/>
      <c r="E1584" s="214" t="n"/>
      <c r="F1584" s="262" t="n">
        <v>143720</v>
      </c>
      <c r="G1584" s="263" t="inlineStr">
        <is>
          <t>Broche bilaterale tonda in plastica trasparente mm. 20</t>
        </is>
      </c>
      <c r="H1584" s="264" t="n">
        <v>100</v>
      </c>
      <c r="I1584" s="265" t="n">
        <v>0.125</v>
      </c>
      <c r="J1584" s="214" t="n"/>
      <c r="K1584" s="208" t="n"/>
      <c r="L1584" s="424" t="n"/>
      <c r="M1584" s="961" t="n"/>
      <c r="N1584" s="214" t="n"/>
    </row>
    <row r="1585">
      <c r="A1585" s="207" t="n"/>
      <c r="B1585" s="209" t="n"/>
      <c r="C1585" s="207" t="n"/>
      <c r="D1585" s="963" t="n"/>
      <c r="E1585" s="214" t="n"/>
      <c r="F1585" s="262" t="n">
        <v>143721</v>
      </c>
      <c r="G1585" s="263" t="inlineStr">
        <is>
          <t>Broche bilaterale tonda in plastica trasparente mm. 50</t>
        </is>
      </c>
      <c r="H1585" s="264" t="n">
        <v>100</v>
      </c>
      <c r="I1585" s="265" t="n">
        <v>0.132</v>
      </c>
      <c r="J1585" s="214" t="n"/>
      <c r="K1585" s="208" t="n"/>
      <c r="L1585" s="424" t="n"/>
      <c r="M1585" s="961" t="n"/>
      <c r="N1585" s="214" t="n"/>
    </row>
    <row r="1586">
      <c r="A1586" s="207" t="n"/>
      <c r="B1586" s="209" t="n"/>
      <c r="C1586" s="207" t="n"/>
      <c r="D1586" s="963" t="n"/>
      <c r="E1586" s="214" t="n"/>
      <c r="F1586" s="262" t="n">
        <v>143722</v>
      </c>
      <c r="G1586" s="263" t="inlineStr">
        <is>
          <t>Broche bilaterale tonda in plastica trasparente mm. 70</t>
        </is>
      </c>
      <c r="H1586" s="264" t="n">
        <v>100</v>
      </c>
      <c r="I1586" s="265" t="n">
        <v>0.138</v>
      </c>
      <c r="J1586" s="214" t="n"/>
      <c r="K1586" s="208" t="n"/>
      <c r="L1586" s="424" t="n"/>
      <c r="M1586" s="961" t="n"/>
      <c r="N1586" s="214" t="n"/>
    </row>
    <row r="1587">
      <c r="A1587" s="207" t="n"/>
      <c r="B1587" s="209" t="n"/>
      <c r="C1587" s="207" t="n"/>
      <c r="D1587" s="963" t="n"/>
      <c r="E1587" s="214" t="n"/>
      <c r="F1587" s="262" t="n">
        <v>143723</v>
      </c>
      <c r="G1587" s="263" t="inlineStr">
        <is>
          <t>Broche bilaterale tonda in plastica trasparente mm. 100</t>
        </is>
      </c>
      <c r="H1587" s="264" t="n">
        <v>100</v>
      </c>
      <c r="I1587" s="265" t="n">
        <v>0.144</v>
      </c>
      <c r="J1587" s="214" t="n"/>
      <c r="K1587" s="208" t="n"/>
      <c r="L1587" s="424" t="n"/>
      <c r="M1587" s="961" t="n"/>
      <c r="N1587" s="214" t="n"/>
    </row>
    <row r="1588">
      <c r="A1588" s="207" t="n"/>
      <c r="B1588" s="209" t="n"/>
      <c r="C1588" s="207" t="n"/>
      <c r="D1588" s="963" t="n"/>
      <c r="E1588" s="214" t="n"/>
      <c r="F1588" s="262" t="n">
        <v>143724</v>
      </c>
      <c r="G1588" s="263" t="inlineStr">
        <is>
          <t>Broche bilaterale tonda in plastica trasparente mm. 120</t>
        </is>
      </c>
      <c r="H1588" s="264" t="n">
        <v>100</v>
      </c>
      <c r="I1588" s="265" t="n">
        <v>0.149</v>
      </c>
      <c r="J1588" s="214" t="n"/>
      <c r="K1588" s="208" t="n"/>
      <c r="L1588" s="424" t="n"/>
      <c r="M1588" s="961" t="n"/>
      <c r="N1588" s="214" t="n"/>
    </row>
    <row r="1589">
      <c r="A1589" s="207" t="n"/>
      <c r="B1589" s="209" t="n"/>
      <c r="C1589" s="207" t="n"/>
      <c r="D1589" s="963" t="n"/>
      <c r="E1589" s="214" t="n"/>
      <c r="F1589" s="262" t="n">
        <v>143725</v>
      </c>
      <c r="G1589" s="263" t="inlineStr">
        <is>
          <t>Broche bilaterale tonda in plastica trasparente mm. 150</t>
        </is>
      </c>
      <c r="H1589" s="264" t="n">
        <v>100</v>
      </c>
      <c r="I1589" s="265" t="n">
        <v>0.156</v>
      </c>
      <c r="J1589" s="214" t="n"/>
      <c r="K1589" s="208" t="n"/>
      <c r="L1589" s="424" t="n"/>
      <c r="M1589" s="961" t="n"/>
      <c r="N1589" s="214" t="n"/>
    </row>
    <row r="1590">
      <c r="A1590" s="207" t="n"/>
      <c r="B1590" s="209" t="n"/>
      <c r="C1590" s="207" t="n"/>
      <c r="D1590" s="963" t="n"/>
      <c r="E1590" s="214" t="n"/>
      <c r="F1590" s="262" t="n">
        <v>144000</v>
      </c>
      <c r="G1590" s="263" t="inlineStr">
        <is>
          <t>Broche doppia per pannelli alveolari mm. 50 bianca con aggancio porta etichette c</t>
        </is>
      </c>
      <c r="H1590" s="264" t="n">
        <v>100</v>
      </c>
      <c r="I1590" s="265" t="n">
        <v>0.168</v>
      </c>
      <c r="J1590" s="214" t="n"/>
      <c r="K1590" s="208" t="n"/>
      <c r="L1590" s="424" t="n"/>
      <c r="M1590" s="961" t="n"/>
      <c r="N1590" s="214" t="n"/>
    </row>
    <row r="1591">
      <c r="A1591" s="207" t="n"/>
      <c r="B1591" s="209" t="n"/>
      <c r="C1591" s="207" t="n"/>
      <c r="D1591" s="963" t="n"/>
      <c r="E1591" s="214" t="n"/>
      <c r="F1591" s="262" t="n">
        <v>144001</v>
      </c>
      <c r="G1591" s="263" t="inlineStr">
        <is>
          <t>Broche doppia per pannelli alveolari mm. 100 bianca con aggancio porta etichette</t>
        </is>
      </c>
      <c r="H1591" s="264" t="n">
        <v>100</v>
      </c>
      <c r="I1591" s="265" t="n">
        <v>0.253</v>
      </c>
      <c r="J1591" s="214" t="n"/>
      <c r="K1591" s="208" t="n"/>
      <c r="L1591" s="424" t="n"/>
      <c r="M1591" s="961" t="n"/>
      <c r="N1591" s="214" t="n"/>
    </row>
    <row r="1592">
      <c r="A1592" s="207" t="n"/>
      <c r="B1592" s="209" t="n"/>
      <c r="C1592" s="207" t="n"/>
      <c r="D1592" s="963" t="n"/>
      <c r="E1592" s="214" t="n"/>
      <c r="F1592" s="262" t="n">
        <v>144002</v>
      </c>
      <c r="G1592" s="263" t="inlineStr">
        <is>
          <t>Broche doppia per pannelli alveolari mm. 150 bianca con aggancio porta etichette</t>
        </is>
      </c>
      <c r="H1592" s="264" t="n">
        <v>100</v>
      </c>
      <c r="I1592" s="265" t="n">
        <v>0.274</v>
      </c>
      <c r="J1592" s="214" t="n"/>
      <c r="K1592" s="208" t="n"/>
      <c r="L1592" s="424" t="n"/>
      <c r="M1592" s="961" t="n"/>
      <c r="N1592" s="214" t="n"/>
    </row>
    <row r="1593">
      <c r="A1593" s="207" t="n"/>
      <c r="B1593" s="209" t="n"/>
      <c r="C1593" s="207" t="n"/>
      <c r="D1593" s="963" t="n"/>
      <c r="E1593" s="214" t="n"/>
      <c r="F1593" s="262" t="n">
        <v>144003</v>
      </c>
      <c r="G1593" s="263" t="inlineStr">
        <is>
          <t>Broche doppia per pannelli alveolari mm. 200 bianca con aggancio porta etichette</t>
        </is>
      </c>
      <c r="H1593" s="264" t="n">
        <v>100</v>
      </c>
      <c r="I1593" s="265" t="n">
        <v>0.304</v>
      </c>
      <c r="J1593" s="214" t="n"/>
      <c r="K1593" s="208" t="n"/>
      <c r="L1593" s="424" t="n"/>
      <c r="M1593" s="961" t="n"/>
      <c r="N1593" s="214" t="n"/>
    </row>
    <row r="1594">
      <c r="A1594" s="207" t="n"/>
      <c r="B1594" s="209" t="n"/>
      <c r="C1594" s="207" t="n"/>
      <c r="D1594" s="963" t="n"/>
      <c r="E1594" s="214" t="n"/>
      <c r="F1594" s="262" t="n">
        <v>144004</v>
      </c>
      <c r="G1594" s="263" t="inlineStr">
        <is>
          <t>Broche doppia per pannelli alveolari mm. 250 bianca con aggancio porta etichette</t>
        </is>
      </c>
      <c r="H1594" s="264" t="n">
        <v>100</v>
      </c>
      <c r="I1594" s="265" t="n">
        <v>0.34</v>
      </c>
      <c r="J1594" s="214" t="n"/>
      <c r="K1594" s="208" t="n"/>
      <c r="L1594" s="424" t="n"/>
      <c r="M1594" s="961" t="n"/>
      <c r="N1594" s="214" t="n"/>
    </row>
    <row r="1595">
      <c r="A1595" s="207" t="n"/>
      <c r="B1595" s="209" t="n"/>
      <c r="C1595" s="207" t="n"/>
      <c r="D1595" s="963" t="n"/>
      <c r="E1595" s="214" t="n"/>
      <c r="F1595" s="262" t="n">
        <v>144010</v>
      </c>
      <c r="G1595" s="263" t="inlineStr">
        <is>
          <t>Broche doppia per pannelli alveolari mm. 50 nera con aggancio porta etichette cor</t>
        </is>
      </c>
      <c r="H1595" s="264" t="n">
        <v>100</v>
      </c>
      <c r="I1595" s="265" t="n">
        <v>0.253</v>
      </c>
      <c r="J1595" s="214" t="n"/>
      <c r="K1595" s="208" t="n"/>
      <c r="L1595" s="424" t="n"/>
      <c r="M1595" s="961" t="n"/>
      <c r="N1595" s="214" t="n"/>
    </row>
    <row r="1596">
      <c r="A1596" s="207" t="n"/>
      <c r="B1596" s="209" t="n"/>
      <c r="C1596" s="207" t="n"/>
      <c r="D1596" s="963" t="n"/>
      <c r="E1596" s="214" t="n"/>
      <c r="F1596" s="262" t="n">
        <v>144011</v>
      </c>
      <c r="G1596" s="263" t="inlineStr">
        <is>
          <t>Broche doppia per pannelli alveolari mm. 100 nera con aggancio porta etichette co</t>
        </is>
      </c>
      <c r="H1596" s="264" t="n">
        <v>100</v>
      </c>
      <c r="I1596" s="265" t="n">
        <v>0.278</v>
      </c>
      <c r="J1596" s="214" t="n"/>
      <c r="K1596" s="208" t="n"/>
      <c r="L1596" s="424" t="n"/>
      <c r="M1596" s="961" t="n"/>
      <c r="N1596" s="214" t="n"/>
    </row>
    <row r="1597">
      <c r="A1597" s="207" t="n"/>
      <c r="B1597" s="209" t="n"/>
      <c r="C1597" s="207" t="n"/>
      <c r="D1597" s="963" t="n"/>
      <c r="E1597" s="214" t="n"/>
      <c r="F1597" s="262" t="n">
        <v>144012</v>
      </c>
      <c r="G1597" s="263" t="inlineStr">
        <is>
          <t>Broche doppia per pannelli alveolari mm. 150 nera con aggancio porta etichette co</t>
        </is>
      </c>
      <c r="H1597" s="264" t="n">
        <v>100</v>
      </c>
      <c r="I1597" s="265" t="n">
        <v>0.301</v>
      </c>
      <c r="J1597" s="214" t="n"/>
      <c r="K1597" s="208" t="n"/>
      <c r="L1597" s="424" t="n"/>
      <c r="M1597" s="961" t="n"/>
      <c r="N1597" s="214" t="n"/>
    </row>
    <row r="1598">
      <c r="A1598" s="207" t="n"/>
      <c r="B1598" s="209" t="n"/>
      <c r="C1598" s="207" t="n"/>
      <c r="D1598" s="963" t="n"/>
      <c r="E1598" s="214" t="n"/>
      <c r="F1598" s="262" t="n">
        <v>144013</v>
      </c>
      <c r="G1598" s="263" t="inlineStr">
        <is>
          <t>Broche doppia per pannelli alveolari mm. 200 nera con aggancio porta etichette co</t>
        </is>
      </c>
      <c r="H1598" s="264" t="n">
        <v>100</v>
      </c>
      <c r="I1598" s="265" t="n">
        <v>0.334</v>
      </c>
      <c r="J1598" s="214" t="n"/>
      <c r="K1598" s="208" t="n"/>
      <c r="L1598" s="424" t="n"/>
      <c r="M1598" s="961" t="n"/>
      <c r="N1598" s="214" t="n"/>
    </row>
    <row r="1599">
      <c r="A1599" s="207" t="n"/>
      <c r="B1599" s="209" t="n"/>
      <c r="C1599" s="207" t="n"/>
      <c r="D1599" s="963" t="n"/>
      <c r="E1599" s="214" t="n"/>
      <c r="F1599" s="262" t="n">
        <v>144014</v>
      </c>
      <c r="G1599" s="263" t="inlineStr">
        <is>
          <t>Broche doppia per pannelli alveolari mm. 250 nera con aggancio porta etichette co</t>
        </is>
      </c>
      <c r="H1599" s="264" t="n">
        <v>100</v>
      </c>
      <c r="I1599" s="265" t="n">
        <v>0.374</v>
      </c>
      <c r="J1599" s="214" t="n"/>
      <c r="K1599" s="208" t="n"/>
      <c r="L1599" s="424" t="n"/>
      <c r="M1599" s="961" t="n"/>
      <c r="N1599" s="214" t="n"/>
    </row>
    <row r="1600">
      <c r="A1600" s="207" t="n"/>
      <c r="B1600" s="209" t="n"/>
      <c r="C1600" s="207" t="n"/>
      <c r="D1600" s="963" t="n"/>
      <c r="E1600" s="214" t="n"/>
      <c r="F1600" s="262" t="n">
        <v>144020</v>
      </c>
      <c r="G1600" s="263" t="inlineStr">
        <is>
          <t>Broche doppia per pannelli alveolari mm. 50 trasparente con aggancio porta etich</t>
        </is>
      </c>
      <c r="H1600" s="264" t="n">
        <v>100</v>
      </c>
      <c r="I1600" s="265" t="n">
        <v>0.218</v>
      </c>
      <c r="J1600" s="214" t="n"/>
      <c r="K1600" s="208" t="n"/>
      <c r="L1600" s="424" t="n"/>
      <c r="M1600" s="961" t="n"/>
      <c r="N1600" s="214" t="n"/>
    </row>
    <row r="1601">
      <c r="A1601" s="207" t="n"/>
      <c r="B1601" s="209" t="n"/>
      <c r="C1601" s="207" t="n"/>
      <c r="D1601" s="963" t="n"/>
      <c r="E1601" s="214" t="n"/>
      <c r="F1601" s="262" t="n">
        <v>144021</v>
      </c>
      <c r="G1601" s="263" t="inlineStr">
        <is>
          <t>Broche doppia per pannelli alveolari mm. 100 trasparente con aggancio porta etic</t>
        </is>
      </c>
      <c r="H1601" s="264" t="n">
        <v>100</v>
      </c>
      <c r="I1601" s="265" t="n">
        <v>0.329</v>
      </c>
      <c r="J1601" s="214" t="n"/>
      <c r="K1601" s="208" t="n"/>
      <c r="L1601" s="424" t="n"/>
      <c r="M1601" s="961" t="n"/>
      <c r="N1601" s="214" t="n"/>
    </row>
    <row r="1602">
      <c r="A1602" s="207" t="n"/>
      <c r="B1602" s="209" t="n"/>
      <c r="C1602" s="207" t="n"/>
      <c r="D1602" s="963" t="n"/>
      <c r="E1602" s="214" t="n"/>
      <c r="F1602" s="262" t="n">
        <v>144022</v>
      </c>
      <c r="G1602" s="263" t="inlineStr">
        <is>
          <t>Broche doppia per pannelli alveolari mm. 150 trasparente con aggancio porta etic</t>
        </is>
      </c>
      <c r="H1602" s="264" t="n">
        <v>100</v>
      </c>
      <c r="I1602" s="265" t="n">
        <v>0.356</v>
      </c>
      <c r="J1602" s="214" t="n"/>
      <c r="K1602" s="208" t="n"/>
      <c r="L1602" s="424" t="n"/>
      <c r="M1602" s="961" t="n"/>
      <c r="N1602" s="214" t="n"/>
    </row>
    <row r="1603">
      <c r="A1603" s="207" t="n"/>
      <c r="B1603" s="209" t="n"/>
      <c r="C1603" s="207" t="n"/>
      <c r="D1603" s="963" t="n"/>
      <c r="E1603" s="214" t="n"/>
      <c r="F1603" s="262" t="n">
        <v>144023</v>
      </c>
      <c r="G1603" s="263" t="inlineStr">
        <is>
          <t>Broche doppia per pannelli alveolari mm. 200 trasparente con aggancio porta etic</t>
        </is>
      </c>
      <c r="H1603" s="264" t="n">
        <v>100</v>
      </c>
      <c r="I1603" s="265" t="n">
        <v>0.395</v>
      </c>
      <c r="J1603" s="214" t="n"/>
      <c r="K1603" s="208" t="n"/>
      <c r="L1603" s="424" t="n"/>
      <c r="M1603" s="961" t="n"/>
      <c r="N1603" s="214" t="n"/>
    </row>
    <row r="1604">
      <c r="A1604" s="207" t="n"/>
      <c r="B1604" s="209" t="n"/>
      <c r="C1604" s="207" t="n"/>
      <c r="D1604" s="963" t="n"/>
      <c r="E1604" s="214" t="n"/>
      <c r="F1604" s="262" t="n">
        <v>144024</v>
      </c>
      <c r="G1604" s="263" t="inlineStr">
        <is>
          <t>Broche doppia per pannelli alveolari mm. 250 trasparente con aggancio porta etic</t>
        </is>
      </c>
      <c r="H1604" s="264" t="n">
        <v>100</v>
      </c>
      <c r="I1604" s="265" t="n">
        <v>0.442</v>
      </c>
      <c r="J1604" s="214" t="n"/>
      <c r="K1604" s="209" t="n"/>
      <c r="L1604" s="425" t="n"/>
      <c r="M1604" s="961" t="n"/>
      <c r="N1604" s="214" t="n"/>
    </row>
    <row r="1605">
      <c r="A1605" s="207" t="n"/>
      <c r="B1605" s="209" t="n"/>
      <c r="C1605" s="207" t="n"/>
      <c r="D1605" s="963" t="n"/>
      <c r="E1605" s="214" t="n"/>
      <c r="F1605" s="262" t="n">
        <v>144030</v>
      </c>
      <c r="G1605" s="263" t="inlineStr">
        <is>
          <t>Broche universale doppia mm. 50 bianca per pannelli alto spessore mm. 10/12 co</t>
        </is>
      </c>
      <c r="H1605" s="264" t="n">
        <v>100</v>
      </c>
      <c r="I1605" s="265" t="n">
        <v>0.168</v>
      </c>
      <c r="J1605" s="214" t="n"/>
      <c r="K1605" s="209" t="n"/>
      <c r="L1605" s="425" t="n"/>
      <c r="M1605" s="961" t="n"/>
      <c r="N1605" s="214" t="n"/>
    </row>
    <row r="1606">
      <c r="A1606" s="207" t="n"/>
      <c r="B1606" s="209" t="n"/>
      <c r="C1606" s="207" t="n"/>
      <c r="D1606" s="963" t="n"/>
      <c r="E1606" s="214" t="n"/>
      <c r="F1606" s="262" t="n">
        <v>144031</v>
      </c>
      <c r="G1606" s="263" t="inlineStr">
        <is>
          <t>Broche universale doppia mm. 100 bianca per pannelli alto spessore mm. 10/12 c</t>
        </is>
      </c>
      <c r="H1606" s="264" t="n">
        <v>100</v>
      </c>
      <c r="I1606" s="265" t="n">
        <v>0.271</v>
      </c>
      <c r="J1606" s="214" t="n"/>
      <c r="K1606" s="208" t="n"/>
      <c r="L1606" s="424" t="n"/>
      <c r="M1606" s="961" t="n"/>
      <c r="N1606" s="214" t="n"/>
    </row>
    <row r="1607">
      <c r="A1607" s="207" t="n"/>
      <c r="B1607" s="209" t="n"/>
      <c r="C1607" s="207" t="n"/>
      <c r="D1607" s="963" t="n"/>
      <c r="E1607" s="214" t="n"/>
      <c r="F1607" s="262" t="n">
        <v>144032</v>
      </c>
      <c r="G1607" s="263" t="inlineStr">
        <is>
          <t>Broche universale doppia mm. 150 bianca per pannelli alto spessore mm. 10/12 c</t>
        </is>
      </c>
      <c r="H1607" s="264" t="n">
        <v>100</v>
      </c>
      <c r="I1607" s="265" t="n">
        <v>0.291</v>
      </c>
      <c r="J1607" s="214" t="n"/>
      <c r="K1607" s="208" t="n"/>
      <c r="L1607" s="424" t="n"/>
      <c r="M1607" s="961" t="n"/>
      <c r="N1607" s="214" t="n"/>
    </row>
    <row r="1608">
      <c r="A1608" s="207" t="n"/>
      <c r="B1608" s="209" t="n"/>
      <c r="C1608" s="207" t="n"/>
      <c r="D1608" s="963" t="n"/>
      <c r="E1608" s="214" t="n"/>
      <c r="F1608" s="262" t="n">
        <v>144033</v>
      </c>
      <c r="G1608" s="263" t="inlineStr">
        <is>
          <t>Broche universale doppia mm. 200 bianca per pannelli alto spessore mm. 10/12 c</t>
        </is>
      </c>
      <c r="H1608" s="264" t="n">
        <v>100</v>
      </c>
      <c r="I1608" s="265" t="n">
        <v>0.311</v>
      </c>
      <c r="J1608" s="214" t="n"/>
      <c r="K1608" s="209" t="n"/>
      <c r="L1608" s="425" t="n"/>
      <c r="M1608" s="961" t="n"/>
      <c r="N1608" s="214" t="n"/>
    </row>
    <row r="1609">
      <c r="A1609" s="207" t="n"/>
      <c r="B1609" s="209" t="n"/>
      <c r="C1609" s="207" t="n"/>
      <c r="D1609" s="963" t="n"/>
      <c r="E1609" s="214" t="n"/>
      <c r="F1609" s="262" t="n">
        <v>144034</v>
      </c>
      <c r="G1609" s="263" t="inlineStr">
        <is>
          <t>Broche universale doppia mm. 250 bianca per pannelli alto spessore mm. 10/12 c</t>
        </is>
      </c>
      <c r="H1609" s="264" t="n">
        <v>100</v>
      </c>
      <c r="I1609" s="265" t="n">
        <v>0.348</v>
      </c>
      <c r="J1609" s="214" t="n"/>
      <c r="K1609" s="209" t="n"/>
      <c r="L1609" s="425" t="n"/>
      <c r="M1609" s="961" t="n"/>
      <c r="N1609" s="214" t="n"/>
    </row>
    <row r="1610">
      <c r="A1610" s="207" t="n"/>
      <c r="B1610" s="209" t="n"/>
      <c r="C1610" s="207" t="n"/>
      <c r="D1610" s="963" t="n"/>
      <c r="E1610" s="214" t="n"/>
      <c r="F1610" s="262" t="n">
        <v>144040</v>
      </c>
      <c r="G1610" s="263" t="inlineStr">
        <is>
          <t>Broche universale doppia mm. 50 nera per pannelli alto spessore mm. 10/12 con</t>
        </is>
      </c>
      <c r="H1610" s="264" t="n">
        <v>100</v>
      </c>
      <c r="I1610" s="265" t="n">
        <v>0.262</v>
      </c>
      <c r="J1610" s="214" t="n"/>
      <c r="K1610" s="209" t="n"/>
      <c r="L1610" s="425" t="n"/>
      <c r="M1610" s="961" t="n"/>
      <c r="N1610" s="214" t="n"/>
    </row>
    <row r="1611">
      <c r="A1611" s="207" t="n"/>
      <c r="B1611" s="209" t="n"/>
      <c r="C1611" s="207" t="n"/>
      <c r="D1611" s="963" t="n"/>
      <c r="E1611" s="214" t="n"/>
      <c r="F1611" s="262" t="n">
        <v>144041</v>
      </c>
      <c r="G1611" s="263" t="inlineStr">
        <is>
          <t>Broche universale doppia mm. 100 nera per pannelli alto spessore mm. 10/12 con</t>
        </is>
      </c>
      <c r="H1611" s="264" t="n">
        <v>100</v>
      </c>
      <c r="I1611" s="265" t="n">
        <v>0.299</v>
      </c>
      <c r="J1611" s="214" t="n"/>
      <c r="K1611" s="208" t="n"/>
      <c r="L1611" s="424" t="n"/>
      <c r="M1611" s="961" t="n"/>
      <c r="N1611" s="214" t="n"/>
    </row>
    <row r="1612">
      <c r="A1612" s="207" t="n"/>
      <c r="B1612" s="209" t="n"/>
      <c r="C1612" s="207" t="n"/>
      <c r="D1612" s="963" t="n"/>
      <c r="E1612" s="214" t="n"/>
      <c r="F1612" s="262" t="n">
        <v>144042</v>
      </c>
      <c r="G1612" s="263" t="inlineStr">
        <is>
          <t>Broche universale doppia mm. 150 nera per pannelli alto spessore mm. 10/12 con</t>
        </is>
      </c>
      <c r="H1612" s="264" t="n">
        <v>100</v>
      </c>
      <c r="I1612" s="265" t="n">
        <v>0.32</v>
      </c>
      <c r="J1612" s="214" t="n"/>
      <c r="K1612" s="208" t="n"/>
      <c r="L1612" s="424" t="n"/>
      <c r="M1612" s="961" t="n"/>
      <c r="N1612" s="214" t="n"/>
    </row>
    <row r="1613">
      <c r="A1613" s="207" t="n"/>
      <c r="B1613" s="209" t="n"/>
      <c r="C1613" s="207" t="n"/>
      <c r="D1613" s="963" t="n"/>
      <c r="E1613" s="214" t="n"/>
      <c r="F1613" s="262" t="n">
        <v>144043</v>
      </c>
      <c r="G1613" s="263" t="inlineStr">
        <is>
          <t>Broche universale doppia mm. 200 nera per pannelli alto spessore mm. 10/12 con</t>
        </is>
      </c>
      <c r="H1613" s="264" t="n">
        <v>100</v>
      </c>
      <c r="I1613" s="265" t="n">
        <v>0.342</v>
      </c>
      <c r="J1613" s="214" t="n"/>
      <c r="K1613" s="209" t="n"/>
      <c r="L1613" s="425" t="n"/>
      <c r="M1613" s="961" t="n"/>
      <c r="N1613" s="214" t="n"/>
    </row>
    <row r="1614">
      <c r="A1614" s="207" t="n"/>
      <c r="B1614" s="209" t="n"/>
      <c r="C1614" s="207" t="n"/>
      <c r="D1614" s="963" t="n"/>
      <c r="E1614" s="214" t="n"/>
      <c r="F1614" s="262" t="n">
        <v>144044</v>
      </c>
      <c r="G1614" s="263" t="inlineStr">
        <is>
          <t>Broche universale doppia mm. 250 nera per pannelli alto spessore mm. 10/12 con</t>
        </is>
      </c>
      <c r="H1614" s="264" t="n">
        <v>100</v>
      </c>
      <c r="I1614" s="265" t="n">
        <v>0.383</v>
      </c>
      <c r="J1614" s="214" t="n"/>
      <c r="K1614" s="209" t="n"/>
      <c r="L1614" s="425" t="n"/>
      <c r="M1614" s="961" t="n"/>
      <c r="N1614" s="214" t="n"/>
    </row>
    <row r="1615">
      <c r="A1615" s="207" t="n"/>
      <c r="B1615" s="209" t="n"/>
      <c r="C1615" s="207" t="n"/>
      <c r="D1615" s="963" t="n"/>
      <c r="E1615" s="214" t="n"/>
      <c r="F1615" s="262" t="n">
        <v>144050</v>
      </c>
      <c r="G1615" s="263" t="inlineStr">
        <is>
          <t>Broche universale doppia mm. 50 trasparente per pannelli alto spessore mm. 10/1</t>
        </is>
      </c>
      <c r="H1615" s="264" t="n">
        <v>100</v>
      </c>
      <c r="I1615" s="265" t="n">
        <v>0.218</v>
      </c>
      <c r="J1615" s="214" t="n"/>
      <c r="K1615" s="209" t="n"/>
      <c r="L1615" s="425" t="n"/>
      <c r="M1615" s="961" t="n"/>
      <c r="N1615" s="214" t="n"/>
    </row>
    <row r="1616">
      <c r="A1616" s="207" t="n"/>
      <c r="B1616" s="209" t="n"/>
      <c r="C1616" s="207" t="n"/>
      <c r="D1616" s="963" t="n"/>
      <c r="E1616" s="214" t="n"/>
      <c r="F1616" s="262" t="n">
        <v>144051</v>
      </c>
      <c r="G1616" s="263" t="inlineStr">
        <is>
          <t>Broche universale doppia mm. 100 trasparente per pannelli alto spessore mm. 10/</t>
        </is>
      </c>
      <c r="H1616" s="264" t="n">
        <v>100</v>
      </c>
      <c r="I1616" s="265" t="n">
        <v>0.353</v>
      </c>
      <c r="J1616" s="214" t="n"/>
      <c r="K1616" s="208" t="n"/>
      <c r="L1616" s="424" t="n"/>
      <c r="M1616" s="961" t="n"/>
      <c r="N1616" s="214" t="n"/>
    </row>
    <row r="1617">
      <c r="A1617" s="207" t="n"/>
      <c r="B1617" s="209" t="n"/>
      <c r="C1617" s="207" t="n"/>
      <c r="D1617" s="963" t="n"/>
      <c r="E1617" s="214" t="n"/>
      <c r="F1617" s="262" t="n">
        <v>144052</v>
      </c>
      <c r="G1617" s="263" t="inlineStr">
        <is>
          <t>Broche universale doppia mm. 150 trasparente per pannelli alto spessore mm. 10/</t>
        </is>
      </c>
      <c r="H1617" s="264" t="n">
        <v>100</v>
      </c>
      <c r="I1617" s="265" t="n">
        <v>0.378</v>
      </c>
      <c r="J1617" s="214" t="n"/>
      <c r="K1617" s="208" t="n"/>
      <c r="L1617" s="424" t="n"/>
      <c r="M1617" s="961" t="n"/>
      <c r="N1617" s="214" t="n"/>
    </row>
    <row r="1618">
      <c r="A1618" s="207" t="n"/>
      <c r="B1618" s="209" t="n"/>
      <c r="C1618" s="207" t="n"/>
      <c r="D1618" s="963" t="n"/>
      <c r="E1618" s="214" t="n"/>
      <c r="F1618" s="262" t="n">
        <v>144053</v>
      </c>
      <c r="G1618" s="263" t="inlineStr">
        <is>
          <t>Broche universale doppia mm. 200 trasparente per pannelli alto spessore mm. 10/</t>
        </is>
      </c>
      <c r="H1618" s="264" t="n">
        <v>100</v>
      </c>
      <c r="I1618" s="265" t="n">
        <v>0.404</v>
      </c>
      <c r="J1618" s="214" t="n"/>
      <c r="K1618" s="209" t="n"/>
      <c r="L1618" s="425" t="n"/>
      <c r="M1618" s="961" t="n"/>
      <c r="N1618" s="214" t="n"/>
    </row>
    <row r="1619">
      <c r="A1619" s="207" t="n"/>
      <c r="B1619" s="209" t="n"/>
      <c r="C1619" s="207" t="n"/>
      <c r="D1619" s="963" t="n"/>
      <c r="E1619" s="214" t="n"/>
      <c r="F1619" s="262" t="n">
        <v>144054</v>
      </c>
      <c r="G1619" s="263" t="inlineStr">
        <is>
          <t>Broche universale doppia mm. 250 trasparente per pannelli alto spessore mm. 10/</t>
        </is>
      </c>
      <c r="H1619" s="264" t="n">
        <v>100</v>
      </c>
      <c r="I1619" s="265" t="n">
        <v>0.452</v>
      </c>
      <c r="J1619" s="214" t="n"/>
      <c r="K1619" s="208" t="n"/>
      <c r="L1619" s="424" t="n"/>
      <c r="M1619" s="961" t="n"/>
      <c r="N1619" s="214" t="n"/>
    </row>
    <row r="1620">
      <c r="A1620" s="207" t="n"/>
      <c r="B1620" s="209" t="n"/>
      <c r="C1620" s="207" t="n"/>
      <c r="D1620" s="963" t="n"/>
      <c r="E1620" s="214" t="n"/>
      <c r="F1620" s="262" t="n">
        <v>144100</v>
      </c>
      <c r="G1620" s="263" t="inlineStr">
        <is>
          <t>Broche doppia per pannelli alveolari mm. 50 bianca con aggancio porta etichette l</t>
        </is>
      </c>
      <c r="H1620" s="264" t="n">
        <v>100</v>
      </c>
      <c r="I1620" s="265" t="n">
        <v>0.242</v>
      </c>
      <c r="J1620" s="214" t="n"/>
      <c r="K1620" s="208" t="n"/>
      <c r="L1620" s="424" t="n"/>
      <c r="M1620" s="961" t="n"/>
      <c r="N1620" s="214" t="n"/>
    </row>
    <row r="1621">
      <c r="A1621" s="207" t="n"/>
      <c r="B1621" s="209" t="n"/>
      <c r="C1621" s="207" t="n"/>
      <c r="D1621" s="963" t="n"/>
      <c r="E1621" s="214" t="n"/>
      <c r="F1621" s="262" t="n">
        <v>144101</v>
      </c>
      <c r="G1621" s="263" t="inlineStr">
        <is>
          <t>Broche doppia per pannelli alveolari mm. 100 bianca con aggancio porta etichette</t>
        </is>
      </c>
      <c r="H1621" s="264" t="n">
        <v>100</v>
      </c>
      <c r="I1621" s="265" t="n">
        <v>0.262</v>
      </c>
      <c r="J1621" s="214" t="n"/>
      <c r="K1621" s="208" t="n"/>
      <c r="L1621" s="424" t="n"/>
      <c r="M1621" s="961" t="n"/>
      <c r="N1621" s="214" t="n"/>
    </row>
    <row r="1622">
      <c r="A1622" s="207" t="n"/>
      <c r="B1622" s="209" t="n"/>
      <c r="C1622" s="207" t="n"/>
      <c r="D1622" s="963" t="n"/>
      <c r="E1622" s="214" t="n"/>
      <c r="F1622" s="262" t="n">
        <v>144102</v>
      </c>
      <c r="G1622" s="263" t="inlineStr">
        <is>
          <t>Broche doppia per pannelli alveolari mm. 150 bianca con aggancio porta etichette</t>
        </is>
      </c>
      <c r="H1622" s="264" t="n">
        <v>100</v>
      </c>
      <c r="I1622" s="265" t="n">
        <v>0.278</v>
      </c>
      <c r="J1622" s="214" t="n"/>
      <c r="K1622" s="208" t="n"/>
      <c r="L1622" s="424" t="n"/>
      <c r="M1622" s="961" t="n"/>
      <c r="N1622" s="214" t="n"/>
    </row>
    <row r="1623">
      <c r="A1623" s="207" t="n"/>
      <c r="B1623" s="209" t="n"/>
      <c r="C1623" s="207" t="n"/>
      <c r="D1623" s="963" t="n"/>
      <c r="E1623" s="214" t="n"/>
      <c r="F1623" s="262" t="n">
        <v>144103</v>
      </c>
      <c r="G1623" s="263" t="inlineStr">
        <is>
          <t>Broche doppia per pannelli alveolari mm. 200 bianca con aggancio porta etichette</t>
        </is>
      </c>
      <c r="H1623" s="264" t="n">
        <v>100</v>
      </c>
      <c r="I1623" s="265" t="n">
        <v>0.313</v>
      </c>
      <c r="J1623" s="214" t="n"/>
      <c r="K1623" s="208" t="n"/>
      <c r="L1623" s="424" t="n"/>
      <c r="M1623" s="961" t="n"/>
      <c r="N1623" s="214" t="n"/>
    </row>
    <row r="1624">
      <c r="A1624" s="207" t="n"/>
      <c r="B1624" s="209" t="n"/>
      <c r="C1624" s="207" t="n"/>
      <c r="D1624" s="963" t="n"/>
      <c r="E1624" s="214" t="n"/>
      <c r="F1624" s="262" t="n">
        <v>144104</v>
      </c>
      <c r="G1624" s="263" t="inlineStr">
        <is>
          <t>Broche doppia per pannelli alveolari mm. 250 bianca con aggancio porta etichette</t>
        </is>
      </c>
      <c r="H1624" s="264" t="n">
        <v>100</v>
      </c>
      <c r="I1624" s="265" t="n">
        <v>0.366</v>
      </c>
      <c r="J1624" s="214" t="n"/>
      <c r="K1624" s="208" t="n"/>
      <c r="L1624" s="424" t="n"/>
      <c r="M1624" s="961" t="n"/>
      <c r="N1624" s="214" t="n"/>
    </row>
    <row r="1625">
      <c r="A1625" s="207" t="n"/>
      <c r="B1625" s="209" t="n"/>
      <c r="C1625" s="207" t="n"/>
      <c r="D1625" s="963" t="n"/>
      <c r="E1625" s="214" t="n"/>
      <c r="F1625" s="262" t="n">
        <v>144110</v>
      </c>
      <c r="G1625" s="263" t="inlineStr">
        <is>
          <t>Broche doppia per pannelli alveolari mm. 50 nera con aggancio porta etichette lun</t>
        </is>
      </c>
      <c r="H1625" s="264" t="n">
        <v>100</v>
      </c>
      <c r="I1625" s="265" t="n">
        <v>0.266</v>
      </c>
      <c r="J1625" s="214" t="n"/>
      <c r="K1625" s="208" t="n"/>
      <c r="L1625" s="424" t="n"/>
      <c r="M1625" s="961" t="n"/>
      <c r="N1625" s="214" t="n"/>
    </row>
    <row r="1626">
      <c r="A1626" s="207" t="n"/>
      <c r="B1626" s="209" t="n"/>
      <c r="C1626" s="207" t="n"/>
      <c r="D1626" s="963" t="n"/>
      <c r="E1626" s="214" t="n"/>
      <c r="F1626" s="262" t="n">
        <v>144111</v>
      </c>
      <c r="G1626" s="263" t="inlineStr">
        <is>
          <t>Broche doppia per pannelli alveolari mm. 100 nera con aggancio porta etichette lu</t>
        </is>
      </c>
      <c r="H1626" s="264" t="n">
        <v>100</v>
      </c>
      <c r="I1626" s="265" t="n">
        <v>0.288</v>
      </c>
      <c r="J1626" s="214" t="n"/>
      <c r="K1626" s="208" t="n"/>
      <c r="L1626" s="424" t="n"/>
      <c r="M1626" s="961" t="n"/>
      <c r="N1626" s="214" t="n"/>
    </row>
    <row r="1627">
      <c r="A1627" s="207" t="n"/>
      <c r="B1627" s="209" t="n"/>
      <c r="C1627" s="207" t="n"/>
      <c r="D1627" s="963" t="n"/>
      <c r="E1627" s="214" t="n"/>
      <c r="F1627" s="262" t="n">
        <v>144112</v>
      </c>
      <c r="G1627" s="263" t="inlineStr">
        <is>
          <t>Broche doppia per pannelli alveolari mm. 150 nera con aggancio porta etichette lu</t>
        </is>
      </c>
      <c r="H1627" s="264" t="n">
        <v>100</v>
      </c>
      <c r="I1627" s="265" t="n">
        <v>0.306</v>
      </c>
      <c r="J1627" s="214" t="n"/>
      <c r="K1627" s="208" t="n"/>
      <c r="L1627" s="424" t="n"/>
      <c r="M1627" s="961" t="n"/>
      <c r="N1627" s="214" t="n"/>
    </row>
    <row r="1628">
      <c r="A1628" s="207" t="n"/>
      <c r="B1628" s="209" t="n"/>
      <c r="C1628" s="207" t="n"/>
      <c r="D1628" s="963" t="n"/>
      <c r="E1628" s="214" t="n"/>
      <c r="F1628" s="262" t="n">
        <v>144113</v>
      </c>
      <c r="G1628" s="263" t="inlineStr">
        <is>
          <t>Broche doppia per pannelli alveolari mm. 200 nera con aggancio porta etichette lu</t>
        </is>
      </c>
      <c r="H1628" s="264" t="n">
        <v>100</v>
      </c>
      <c r="I1628" s="265" t="n">
        <v>0.345</v>
      </c>
      <c r="J1628" s="214" t="n"/>
      <c r="K1628" s="208" t="n"/>
      <c r="L1628" s="424" t="n"/>
      <c r="M1628" s="961" t="n"/>
      <c r="N1628" s="214" t="n"/>
    </row>
    <row r="1629">
      <c r="A1629" s="207" t="n"/>
      <c r="B1629" s="209" t="n"/>
      <c r="C1629" s="207" t="n"/>
      <c r="D1629" s="963" t="n"/>
      <c r="E1629" s="214" t="n"/>
      <c r="F1629" s="262" t="n">
        <v>144114</v>
      </c>
      <c r="G1629" s="263" t="inlineStr">
        <is>
          <t>Broche doppia per pannelli alveolari mm. 250 nera con aggancio porta etichette lu</t>
        </is>
      </c>
      <c r="H1629" s="264" t="n">
        <v>100</v>
      </c>
      <c r="I1629" s="265" t="n">
        <v>0.403</v>
      </c>
      <c r="J1629" s="214" t="n"/>
      <c r="K1629" s="208" t="n"/>
      <c r="L1629" s="424" t="n"/>
      <c r="M1629" s="961" t="n"/>
      <c r="N1629" s="214" t="n"/>
    </row>
    <row r="1630">
      <c r="A1630" s="207" t="n"/>
      <c r="B1630" s="209" t="n"/>
      <c r="C1630" s="207" t="n"/>
      <c r="D1630" s="963" t="n"/>
      <c r="E1630" s="214" t="n"/>
      <c r="F1630" s="262" t="n">
        <v>144120</v>
      </c>
      <c r="G1630" s="263" t="inlineStr">
        <is>
          <t>Broche doppia per pannelli alveolari mm. 50 trasparente con aggancio porta etich</t>
        </is>
      </c>
      <c r="H1630" s="264" t="n">
        <v>100</v>
      </c>
      <c r="I1630" s="265" t="n">
        <v>0.314</v>
      </c>
      <c r="J1630" s="214" t="n"/>
      <c r="K1630" s="208" t="n"/>
      <c r="L1630" s="424" t="n"/>
      <c r="M1630" s="961" t="n"/>
      <c r="N1630" s="214" t="n"/>
    </row>
    <row r="1631">
      <c r="A1631" s="207" t="n"/>
      <c r="B1631" s="209" t="n"/>
      <c r="C1631" s="207" t="n"/>
      <c r="D1631" s="963" t="n"/>
      <c r="E1631" s="214" t="n"/>
      <c r="F1631" s="262" t="n">
        <v>144121</v>
      </c>
      <c r="G1631" s="263" t="inlineStr">
        <is>
          <t>Broche doppia per pannelli alveolari mm. 100 trasparente con aggancio porta etic</t>
        </is>
      </c>
      <c r="H1631" s="264" t="n">
        <v>100</v>
      </c>
      <c r="I1631" s="265" t="n">
        <v>0.34</v>
      </c>
      <c r="J1631" s="214" t="n"/>
      <c r="K1631" s="208" t="n"/>
      <c r="L1631" s="424" t="n"/>
      <c r="M1631" s="961" t="n"/>
      <c r="N1631" s="214" t="n"/>
    </row>
    <row r="1632">
      <c r="A1632" s="207" t="n"/>
      <c r="B1632" s="209" t="n"/>
      <c r="C1632" s="207" t="n"/>
      <c r="D1632" s="963" t="n"/>
      <c r="E1632" s="214" t="n"/>
      <c r="F1632" s="262" t="n">
        <v>144122</v>
      </c>
      <c r="G1632" s="263" t="inlineStr">
        <is>
          <t>Broche doppia per pannelli alveolari mm. 150 trasparente con aggancio porta etic</t>
        </is>
      </c>
      <c r="H1632" s="264" t="n">
        <v>100</v>
      </c>
      <c r="I1632" s="265" t="n">
        <v>0.362</v>
      </c>
      <c r="J1632" s="214" t="n"/>
      <c r="K1632" s="208" t="n"/>
      <c r="L1632" s="424" t="n"/>
      <c r="M1632" s="961" t="n"/>
      <c r="N1632" s="214" t="n"/>
    </row>
    <row r="1633">
      <c r="A1633" s="207" t="n"/>
      <c r="B1633" s="209" t="n"/>
      <c r="C1633" s="207" t="n"/>
      <c r="D1633" s="963" t="n"/>
      <c r="E1633" s="214" t="n"/>
      <c r="F1633" s="262" t="n">
        <v>144123</v>
      </c>
      <c r="G1633" s="263" t="inlineStr">
        <is>
          <t>Broche doppia per pannelli alveolari mm. 200 trasparente con aggancio porta etic</t>
        </is>
      </c>
      <c r="H1633" s="264" t="n">
        <v>100</v>
      </c>
      <c r="I1633" s="265" t="n">
        <v>0.407</v>
      </c>
      <c r="J1633" s="214" t="n"/>
      <c r="K1633" s="208" t="n"/>
      <c r="L1633" s="424" t="n"/>
      <c r="M1633" s="961" t="n"/>
      <c r="N1633" s="214" t="n"/>
    </row>
    <row r="1634">
      <c r="A1634" s="207" t="n"/>
      <c r="B1634" s="209" t="n"/>
      <c r="C1634" s="207" t="n"/>
      <c r="D1634" s="963" t="n"/>
      <c r="E1634" s="214" t="n"/>
      <c r="F1634" s="262" t="n">
        <v>144124</v>
      </c>
      <c r="G1634" s="263" t="inlineStr">
        <is>
          <t>Broche doppia per pannelli alveolari mm. 250 trasparente con aggancio porta etic</t>
        </is>
      </c>
      <c r="H1634" s="264" t="n">
        <v>100</v>
      </c>
      <c r="I1634" s="265" t="n">
        <v>0.476</v>
      </c>
      <c r="J1634" s="214" t="n"/>
      <c r="K1634" s="208" t="n"/>
      <c r="L1634" s="424" t="n"/>
      <c r="M1634" s="961" t="n"/>
      <c r="N1634" s="214" t="n"/>
    </row>
    <row r="1635">
      <c r="A1635" s="207" t="n"/>
      <c r="B1635" s="209" t="n"/>
      <c r="C1635" s="207" t="n"/>
      <c r="D1635" s="963" t="n"/>
      <c r="E1635" s="214" t="n"/>
      <c r="F1635" s="262" t="n">
        <v>144130</v>
      </c>
      <c r="G1635" s="263" t="inlineStr">
        <is>
          <t>Broche universale doppia mm. 50 bianca per pannelli alto spessore mm. 10/12 co</t>
        </is>
      </c>
      <c r="H1635" s="264" t="n">
        <v>100</v>
      </c>
      <c r="I1635" s="265" t="n">
        <v>0.244</v>
      </c>
      <c r="J1635" s="214" t="n"/>
      <c r="K1635" s="208" t="n"/>
      <c r="L1635" s="424" t="n"/>
      <c r="M1635" s="961" t="n"/>
      <c r="N1635" s="214" t="n"/>
    </row>
    <row r="1636">
      <c r="A1636" s="207" t="n"/>
      <c r="B1636" s="209" t="n"/>
      <c r="C1636" s="207" t="n"/>
      <c r="D1636" s="963" t="n"/>
      <c r="E1636" s="214" t="n"/>
      <c r="F1636" s="262" t="n">
        <v>144131</v>
      </c>
      <c r="G1636" s="263" t="inlineStr">
        <is>
          <t>Broche universale doppia mm. 100 bianca per pannelli alto spessore mm. 10/12 c</t>
        </is>
      </c>
      <c r="H1636" s="264" t="n">
        <v>100</v>
      </c>
      <c r="I1636" s="265" t="n">
        <v>0.281</v>
      </c>
      <c r="J1636" s="214" t="n"/>
      <c r="K1636" s="208" t="n"/>
      <c r="L1636" s="424" t="n"/>
      <c r="M1636" s="961" t="n"/>
      <c r="N1636" s="214" t="n"/>
    </row>
    <row r="1637">
      <c r="A1637" s="207" t="n"/>
      <c r="B1637" s="209" t="n"/>
      <c r="C1637" s="207" t="n"/>
      <c r="D1637" s="963" t="n"/>
      <c r="E1637" s="214" t="n"/>
      <c r="F1637" s="262" t="n">
        <v>144132</v>
      </c>
      <c r="G1637" s="263" t="inlineStr">
        <is>
          <t>Broche universale doppia mm. 150 bianca per pannelli alto spessore mm. 10/12 c</t>
        </is>
      </c>
      <c r="H1637" s="264" t="n">
        <v>100</v>
      </c>
      <c r="I1637" s="265" t="n">
        <v>0.301</v>
      </c>
      <c r="J1637" s="214" t="n"/>
      <c r="K1637" s="208" t="n"/>
      <c r="L1637" s="424" t="n"/>
      <c r="M1637" s="961" t="n"/>
      <c r="N1637" s="214" t="n"/>
    </row>
    <row r="1638">
      <c r="A1638" s="207" t="n"/>
      <c r="B1638" s="209" t="n"/>
      <c r="C1638" s="207" t="n"/>
      <c r="D1638" s="963" t="n"/>
      <c r="E1638" s="214" t="n"/>
      <c r="F1638" s="262" t="n">
        <v>144133</v>
      </c>
      <c r="G1638" s="263" t="inlineStr">
        <is>
          <t>Broche universale doppia mm. 200 bianca per pannelli alto spessore mm. 10/12 c</t>
        </is>
      </c>
      <c r="H1638" s="264" t="n">
        <v>100</v>
      </c>
      <c r="I1638" s="265" t="n">
        <v>0.329</v>
      </c>
      <c r="J1638" s="214" t="n"/>
      <c r="K1638" s="208" t="n"/>
      <c r="L1638" s="424" t="n"/>
      <c r="M1638" s="961" t="n"/>
      <c r="N1638" s="214" t="n"/>
    </row>
    <row r="1639">
      <c r="A1639" s="207" t="n"/>
      <c r="B1639" s="209" t="n"/>
      <c r="C1639" s="207" t="n"/>
      <c r="D1639" s="963" t="n"/>
      <c r="E1639" s="214" t="n"/>
      <c r="F1639" s="262" t="n">
        <v>144134</v>
      </c>
      <c r="G1639" s="263" t="inlineStr">
        <is>
          <t>Broche universale doppia mm. 250 bianca per pannelli alto spessore mm. 10/12 c</t>
        </is>
      </c>
      <c r="H1639" s="264" t="n">
        <v>100</v>
      </c>
      <c r="I1639" s="265" t="n">
        <v>0.352</v>
      </c>
      <c r="J1639" s="214" t="n"/>
      <c r="K1639" s="208" t="n"/>
      <c r="L1639" s="424" t="n"/>
      <c r="M1639" s="961" t="n"/>
      <c r="N1639" s="214" t="n"/>
    </row>
    <row r="1640">
      <c r="A1640" s="207" t="n"/>
      <c r="B1640" s="209" t="n"/>
      <c r="C1640" s="207" t="n"/>
      <c r="D1640" s="963" t="n"/>
      <c r="E1640" s="214" t="n"/>
      <c r="F1640" s="262" t="n">
        <v>144140</v>
      </c>
      <c r="G1640" s="263" t="inlineStr">
        <is>
          <t>Broche universale doppia mm. 50 nera per pannelli alto spessore mm. 10/12 con</t>
        </is>
      </c>
      <c r="H1640" s="264" t="n">
        <v>100</v>
      </c>
      <c r="I1640" s="265" t="n">
        <v>0.268</v>
      </c>
      <c r="J1640" s="214" t="n"/>
      <c r="K1640" s="208" t="n"/>
      <c r="L1640" s="424" t="n"/>
      <c r="M1640" s="961" t="n"/>
      <c r="N1640" s="214" t="n"/>
    </row>
    <row r="1641">
      <c r="A1641" s="207" t="n"/>
      <c r="B1641" s="209" t="n"/>
      <c r="C1641" s="207" t="n"/>
      <c r="D1641" s="963" t="n"/>
      <c r="E1641" s="214" t="n"/>
      <c r="F1641" s="262" t="n">
        <v>144141</v>
      </c>
      <c r="G1641" s="263" t="inlineStr">
        <is>
          <t>Broche universale doppia mm. 100 nera per pannelli alto spessore mm. 10/12 con</t>
        </is>
      </c>
      <c r="H1641" s="264" t="n">
        <v>100</v>
      </c>
      <c r="I1641" s="265" t="n">
        <v>0.309</v>
      </c>
      <c r="J1641" s="214" t="n"/>
      <c r="K1641" s="208" t="n"/>
      <c r="L1641" s="424" t="n"/>
      <c r="M1641" s="961" t="n"/>
      <c r="N1641" s="214" t="n"/>
    </row>
    <row r="1642">
      <c r="A1642" s="207" t="n"/>
      <c r="B1642" s="209" t="n"/>
      <c r="C1642" s="207" t="n"/>
      <c r="D1642" s="963" t="n"/>
      <c r="E1642" s="214" t="n"/>
      <c r="F1642" s="262" t="n">
        <v>144142</v>
      </c>
      <c r="G1642" s="263" t="inlineStr">
        <is>
          <t>Broche universale doppia mm. 150 nera per pannelli alto spessore mm. 10/12 con</t>
        </is>
      </c>
      <c r="H1642" s="264" t="n">
        <v>100</v>
      </c>
      <c r="I1642" s="265" t="n">
        <v>0.331</v>
      </c>
      <c r="J1642" s="214" t="n"/>
      <c r="K1642" s="208" t="n"/>
      <c r="L1642" s="424" t="n"/>
      <c r="M1642" s="961" t="n"/>
      <c r="N1642" s="214" t="n"/>
    </row>
    <row r="1643">
      <c r="A1643" s="207" t="n"/>
      <c r="B1643" s="209" t="n"/>
      <c r="C1643" s="207" t="n"/>
      <c r="D1643" s="963" t="n"/>
      <c r="E1643" s="214" t="n"/>
      <c r="F1643" s="262" t="n">
        <v>144143</v>
      </c>
      <c r="G1643" s="263" t="inlineStr">
        <is>
          <t>Broche universale doppia mm. 200 nera per pannelli alto spessore mm. 10/12 con</t>
        </is>
      </c>
      <c r="H1643" s="264" t="n">
        <v>100</v>
      </c>
      <c r="I1643" s="265" t="n">
        <v>0.362</v>
      </c>
      <c r="J1643" s="214" t="n"/>
      <c r="K1643" s="208" t="n"/>
      <c r="L1643" s="424" t="n"/>
      <c r="M1643" s="961" t="n"/>
      <c r="N1643" s="214" t="n"/>
    </row>
    <row r="1644">
      <c r="A1644" s="207" t="n"/>
      <c r="B1644" s="209" t="n"/>
      <c r="C1644" s="207" t="n"/>
      <c r="D1644" s="963" t="n"/>
      <c r="E1644" s="214" t="n"/>
      <c r="F1644" s="262" t="n">
        <v>144144</v>
      </c>
      <c r="G1644" s="263" t="inlineStr">
        <is>
          <t>Broche universale doppia mm. 250 nera per pannelli alto spessore mm. 10/12 con</t>
        </is>
      </c>
      <c r="H1644" s="264" t="n">
        <v>100</v>
      </c>
      <c r="I1644" s="265" t="n">
        <v>0.387</v>
      </c>
      <c r="J1644" s="214" t="n"/>
      <c r="K1644" s="208" t="n"/>
      <c r="L1644" s="424" t="n"/>
      <c r="M1644" s="961" t="n"/>
      <c r="N1644" s="214" t="n"/>
    </row>
    <row r="1645">
      <c r="A1645" s="207" t="n"/>
      <c r="B1645" s="209" t="n"/>
      <c r="C1645" s="207" t="n"/>
      <c r="D1645" s="963" t="n"/>
      <c r="E1645" s="214" t="n"/>
      <c r="F1645" s="262" t="n">
        <v>144150</v>
      </c>
      <c r="G1645" s="263" t="inlineStr">
        <is>
          <t>Broche universale doppia mm. 50 trasparente per pannelli alto spessore mm. 10/1</t>
        </is>
      </c>
      <c r="H1645" s="264" t="n">
        <v>100</v>
      </c>
      <c r="I1645" s="265" t="n">
        <v>0.317</v>
      </c>
      <c r="J1645" s="214" t="n"/>
      <c r="K1645" s="208" t="n"/>
      <c r="L1645" s="424" t="n"/>
      <c r="M1645" s="961" t="n"/>
      <c r="N1645" s="214" t="n"/>
    </row>
    <row r="1646">
      <c r="A1646" s="207" t="n"/>
      <c r="B1646" s="209" t="n"/>
      <c r="C1646" s="207" t="n"/>
      <c r="D1646" s="963" t="n"/>
      <c r="E1646" s="214" t="n"/>
      <c r="F1646" s="262" t="n">
        <v>144151</v>
      </c>
      <c r="G1646" s="263" t="inlineStr">
        <is>
          <t>Broche universale doppia mm. 100 trasparente per pannelli alto spessore mm. 10/</t>
        </is>
      </c>
      <c r="H1646" s="264" t="n">
        <v>100</v>
      </c>
      <c r="I1646" s="265" t="n">
        <v>0.365</v>
      </c>
      <c r="J1646" s="214" t="n"/>
      <c r="K1646" s="208" t="n"/>
      <c r="L1646" s="424" t="n"/>
      <c r="M1646" s="961" t="n"/>
      <c r="N1646" s="214" t="n"/>
    </row>
    <row r="1647">
      <c r="A1647" s="207" t="n"/>
      <c r="B1647" s="209" t="n"/>
      <c r="C1647" s="207" t="n"/>
      <c r="D1647" s="963" t="n"/>
      <c r="E1647" s="214" t="n"/>
      <c r="F1647" s="262" t="n">
        <v>144152</v>
      </c>
      <c r="G1647" s="263" t="inlineStr">
        <is>
          <t>Broche universale doppia mm. 150 trasparente per pannelli alto spessore mm. 10/</t>
        </is>
      </c>
      <c r="H1647" s="264" t="n">
        <v>100</v>
      </c>
      <c r="I1647" s="265" t="n">
        <v>0.391</v>
      </c>
      <c r="J1647" s="214" t="n"/>
      <c r="K1647" s="208" t="n"/>
      <c r="L1647" s="424" t="n"/>
      <c r="M1647" s="961" t="n"/>
      <c r="N1647" s="214" t="n"/>
    </row>
    <row r="1648">
      <c r="A1648" s="207" t="n"/>
      <c r="B1648" s="209" t="n"/>
      <c r="C1648" s="207" t="n"/>
      <c r="D1648" s="963" t="n"/>
      <c r="E1648" s="214" t="n"/>
      <c r="F1648" s="262" t="n">
        <v>144153</v>
      </c>
      <c r="G1648" s="263" t="inlineStr">
        <is>
          <t>Broche universale doppia mm. 200 trasparente per pannelli alto spessore mm. 10/</t>
        </is>
      </c>
      <c r="H1648" s="264" t="n">
        <v>100</v>
      </c>
      <c r="I1648" s="265" t="n">
        <v>0.428</v>
      </c>
      <c r="J1648" s="214" t="n"/>
      <c r="K1648" s="208" t="n"/>
      <c r="L1648" s="424" t="n"/>
      <c r="M1648" s="961" t="n"/>
      <c r="N1648" s="214" t="n"/>
    </row>
    <row r="1649">
      <c r="A1649" s="207" t="n"/>
      <c r="B1649" s="209" t="n"/>
      <c r="C1649" s="207" t="n"/>
      <c r="D1649" s="963" t="n"/>
      <c r="E1649" s="214" t="n"/>
      <c r="F1649" s="262" t="n">
        <v>144154</v>
      </c>
      <c r="G1649" s="263" t="inlineStr">
        <is>
          <t>Broche universale doppia mm. 250 trasparente per pannelli alto spessore mm. 10/</t>
        </is>
      </c>
      <c r="H1649" s="264" t="n">
        <v>100</v>
      </c>
      <c r="I1649" s="265" t="n">
        <v>0.458</v>
      </c>
      <c r="J1649" s="214" t="n"/>
      <c r="K1649" s="208" t="n"/>
      <c r="L1649" s="424" t="n"/>
      <c r="M1649" s="961" t="n"/>
      <c r="N1649" s="214" t="n"/>
    </row>
    <row r="1650">
      <c r="A1650" s="207" t="n"/>
      <c r="B1650" s="209" t="n"/>
      <c r="C1650" s="207" t="n"/>
      <c r="D1650" s="963" t="n"/>
      <c r="E1650" s="214" t="n"/>
      <c r="F1650" s="262" t="n">
        <v>144200</v>
      </c>
      <c r="G1650" s="263" t="inlineStr">
        <is>
          <t>Broche larga rinforzata per pannelli alveolari mm. 50 bianca con aggancio porta et</t>
        </is>
      </c>
      <c r="H1650" s="264" t="n">
        <v>100</v>
      </c>
      <c r="I1650" s="265" t="n">
        <v>0.248</v>
      </c>
      <c r="J1650" s="214" t="n"/>
      <c r="K1650" s="208" t="n"/>
      <c r="L1650" s="424" t="n"/>
      <c r="M1650" s="961" t="n"/>
      <c r="N1650" s="214" t="n"/>
    </row>
    <row r="1651">
      <c r="A1651" s="207" t="n"/>
      <c r="B1651" s="209" t="n"/>
      <c r="C1651" s="207" t="n"/>
      <c r="D1651" s="963" t="n"/>
      <c r="E1651" s="214" t="n"/>
      <c r="F1651" s="262" t="n">
        <v>144201</v>
      </c>
      <c r="G1651" s="263" t="inlineStr">
        <is>
          <t>Broche larga rinforzata per pannelli alveolari mm. 100 bianca con aggancio porta</t>
        </is>
      </c>
      <c r="H1651" s="264" t="n">
        <v>100</v>
      </c>
      <c r="I1651" s="265" t="n">
        <v>0.296</v>
      </c>
      <c r="J1651" s="214" t="n"/>
      <c r="K1651" s="208" t="n"/>
      <c r="L1651" s="424" t="n"/>
      <c r="M1651" s="961" t="n"/>
      <c r="N1651" s="214" t="n"/>
    </row>
    <row r="1652">
      <c r="A1652" s="207" t="n"/>
      <c r="B1652" s="209" t="n"/>
      <c r="C1652" s="207" t="n"/>
      <c r="D1652" s="963" t="n"/>
      <c r="E1652" s="214" t="n"/>
      <c r="F1652" s="262" t="n">
        <v>144202</v>
      </c>
      <c r="G1652" s="263" t="inlineStr">
        <is>
          <t>Broche larga rinforzata per pannelli alveolari mm. 150 bianca con aggancio porta</t>
        </is>
      </c>
      <c r="H1652" s="264" t="n">
        <v>100</v>
      </c>
      <c r="I1652" s="265" t="n">
        <v>0.342</v>
      </c>
      <c r="J1652" s="214" t="n"/>
      <c r="K1652" s="208" t="n"/>
      <c r="L1652" s="424" t="n"/>
      <c r="M1652" s="961" t="n"/>
      <c r="N1652" s="214" t="n"/>
    </row>
    <row r="1653">
      <c r="A1653" s="207" t="n"/>
      <c r="B1653" s="209" t="n"/>
      <c r="C1653" s="207" t="n"/>
      <c r="D1653" s="963" t="n"/>
      <c r="E1653" s="214" t="n"/>
      <c r="F1653" s="262" t="n">
        <v>144210</v>
      </c>
      <c r="G1653" s="263" t="inlineStr">
        <is>
          <t>Broche larga rinforzata per pannelli alveolari mm. 50 nera con aggancio porta etic</t>
        </is>
      </c>
      <c r="H1653" s="264" t="n">
        <v>100</v>
      </c>
      <c r="I1653" s="265" t="n">
        <v>0.272</v>
      </c>
      <c r="J1653" s="214" t="n"/>
      <c r="K1653" s="208" t="n"/>
      <c r="L1653" s="424" t="n"/>
      <c r="M1653" s="961" t="n"/>
      <c r="N1653" s="214" t="n"/>
    </row>
    <row r="1654">
      <c r="A1654" s="207" t="n"/>
      <c r="B1654" s="209" t="n"/>
      <c r="C1654" s="207" t="n"/>
      <c r="D1654" s="963" t="n"/>
      <c r="E1654" s="214" t="n"/>
      <c r="F1654" s="262" t="n">
        <v>144211</v>
      </c>
      <c r="G1654" s="263" t="inlineStr">
        <is>
          <t>Broche larga rinforzata per pannelli alveolari mm. 100 nera con aggancio porta eti</t>
        </is>
      </c>
      <c r="H1654" s="264" t="n">
        <v>100</v>
      </c>
      <c r="I1654" s="265" t="n">
        <v>0.326</v>
      </c>
      <c r="J1654" s="214" t="n"/>
      <c r="K1654" s="208" t="n"/>
      <c r="L1654" s="424" t="n"/>
      <c r="M1654" s="961" t="n"/>
      <c r="N1654" s="214" t="n"/>
    </row>
    <row r="1655">
      <c r="A1655" s="207" t="n"/>
      <c r="B1655" s="209" t="n"/>
      <c r="C1655" s="207" t="n"/>
      <c r="D1655" s="963" t="n"/>
      <c r="E1655" s="214" t="n"/>
      <c r="F1655" s="262" t="n">
        <v>144212</v>
      </c>
      <c r="G1655" s="263" t="inlineStr">
        <is>
          <t>Broche larga rinforzata per pannelli alveolari mm. 150 nera con aggancio porta eti</t>
        </is>
      </c>
      <c r="H1655" s="264" t="n">
        <v>100</v>
      </c>
      <c r="I1655" s="265" t="n">
        <v>0.376</v>
      </c>
      <c r="J1655" s="214" t="n"/>
      <c r="K1655" s="208" t="n"/>
      <c r="L1655" s="424" t="n"/>
      <c r="M1655" s="961" t="n"/>
      <c r="N1655" s="214" t="n"/>
    </row>
    <row r="1656">
      <c r="A1656" s="207" t="n"/>
      <c r="B1656" s="209" t="n"/>
      <c r="C1656" s="207" t="n"/>
      <c r="D1656" s="963" t="n"/>
      <c r="E1656" s="214" t="n"/>
      <c r="F1656" s="262" t="n">
        <v>144220</v>
      </c>
      <c r="G1656" s="263" t="inlineStr">
        <is>
          <t>Broche larga rinforzata per pannelli alveolari mm. 50 trasparente con aggancio po</t>
        </is>
      </c>
      <c r="H1656" s="264" t="n">
        <v>100</v>
      </c>
      <c r="I1656" s="265" t="n">
        <v>0.322</v>
      </c>
      <c r="J1656" s="214" t="n"/>
      <c r="K1656" s="208" t="n"/>
      <c r="L1656" s="424" t="n"/>
      <c r="M1656" s="961" t="n"/>
      <c r="N1656" s="214" t="n"/>
    </row>
    <row r="1657">
      <c r="A1657" s="207" t="n"/>
      <c r="B1657" s="209" t="n"/>
      <c r="C1657" s="207" t="n"/>
      <c r="D1657" s="963" t="n"/>
      <c r="E1657" s="214" t="n"/>
      <c r="F1657" s="262" t="n">
        <v>144221</v>
      </c>
      <c r="G1657" s="263" t="inlineStr">
        <is>
          <t>Broche larga rinforzata per pannelli alveolari mm. 100 trasparente con aggancio p</t>
        </is>
      </c>
      <c r="H1657" s="264" t="n">
        <v>100</v>
      </c>
      <c r="I1657" s="265" t="n">
        <v>0.385</v>
      </c>
      <c r="J1657" s="214" t="n"/>
      <c r="K1657" s="208" t="n"/>
      <c r="L1657" s="424" t="n"/>
      <c r="M1657" s="961" t="n"/>
      <c r="N1657" s="214" t="n"/>
    </row>
    <row r="1658">
      <c r="A1658" s="207" t="n"/>
      <c r="B1658" s="209" t="n"/>
      <c r="C1658" s="207" t="n"/>
      <c r="D1658" s="963" t="n"/>
      <c r="E1658" s="214" t="n"/>
      <c r="F1658" s="262" t="n">
        <v>144222</v>
      </c>
      <c r="G1658" s="263" t="inlineStr">
        <is>
          <t>Broche larga rinforzata per pannelli alveolari mm. 150 trasparente con aggancio p</t>
        </is>
      </c>
      <c r="H1658" s="264" t="n">
        <v>100</v>
      </c>
      <c r="I1658" s="265" t="n">
        <v>0.445</v>
      </c>
      <c r="J1658" s="214" t="n"/>
      <c r="K1658" s="208" t="n"/>
      <c r="L1658" s="424" t="n"/>
      <c r="M1658" s="961" t="n"/>
      <c r="N1658" s="214" t="n"/>
    </row>
    <row r="1659">
      <c r="A1659" s="207" t="n"/>
      <c r="B1659" s="209" t="n"/>
      <c r="C1659" s="207" t="n"/>
      <c r="D1659" s="963" t="n"/>
      <c r="E1659" s="214" t="n"/>
      <c r="F1659" s="262" t="n">
        <v>144230</v>
      </c>
      <c r="G1659" s="263" t="inlineStr">
        <is>
          <t>Broche larga rinforzata mm. 50 bianca per pannelli alto spessore mm. 10/12 con a</t>
        </is>
      </c>
      <c r="H1659" s="264" t="n">
        <v>100</v>
      </c>
      <c r="I1659" s="265" t="n">
        <v>0.262</v>
      </c>
      <c r="J1659" s="214" t="n"/>
      <c r="K1659" s="208" t="n"/>
      <c r="L1659" s="424" t="n"/>
      <c r="M1659" s="961" t="n"/>
      <c r="N1659" s="214" t="n"/>
    </row>
    <row r="1660">
      <c r="A1660" s="207" t="n"/>
      <c r="B1660" s="209" t="n"/>
      <c r="C1660" s="207" t="n"/>
      <c r="D1660" s="963" t="n"/>
      <c r="E1660" s="214" t="n"/>
      <c r="F1660" s="262" t="n">
        <v>144231</v>
      </c>
      <c r="G1660" s="269" t="inlineStr">
        <is>
          <t>Broche larga rinforzata mm. 100 bianca per pannelli alto spessore mm. 10/12 con</t>
        </is>
      </c>
      <c r="H1660" s="264" t="n">
        <v>100</v>
      </c>
      <c r="I1660" s="265" t="n">
        <v>0.308</v>
      </c>
      <c r="J1660" s="214" t="n"/>
      <c r="K1660" s="208" t="n"/>
      <c r="L1660" s="424" t="n"/>
      <c r="M1660" s="961" t="n"/>
      <c r="N1660" s="214" t="n"/>
    </row>
    <row r="1661">
      <c r="A1661" s="207" t="n"/>
      <c r="B1661" s="209" t="n"/>
      <c r="C1661" s="207" t="n"/>
      <c r="D1661" s="963" t="n"/>
      <c r="E1661" s="214" t="n"/>
      <c r="F1661" s="262" t="n">
        <v>144232</v>
      </c>
      <c r="G1661" s="269" t="inlineStr">
        <is>
          <t>Broche larga rinforzata mm. 150 bianca per pannelli alto spessore mm. 10/12 con</t>
        </is>
      </c>
      <c r="H1661" s="264" t="n">
        <v>100</v>
      </c>
      <c r="I1661" s="265" t="n">
        <v>0.353</v>
      </c>
      <c r="J1661" s="214" t="n"/>
      <c r="K1661" s="208" t="n"/>
      <c r="L1661" s="424" t="n"/>
      <c r="M1661" s="961" t="n"/>
      <c r="N1661" s="214" t="n"/>
    </row>
    <row r="1662">
      <c r="A1662" s="207" t="n"/>
      <c r="B1662" s="209" t="n"/>
      <c r="C1662" s="207" t="n"/>
      <c r="D1662" s="963" t="n"/>
      <c r="E1662" s="214" t="n"/>
      <c r="F1662" s="262" t="n">
        <v>144233</v>
      </c>
      <c r="G1662" s="269" t="inlineStr">
        <is>
          <t>Broche larga rinforzata mm. 200 bianca per pannelli alto spessore mm. 10/12 con</t>
        </is>
      </c>
      <c r="H1662" s="264" t="n">
        <v>100</v>
      </c>
      <c r="I1662" s="265" t="n">
        <v>0.394</v>
      </c>
      <c r="J1662" s="214" t="n"/>
      <c r="K1662" s="208" t="n"/>
      <c r="L1662" s="424" t="n"/>
      <c r="M1662" s="961" t="n"/>
      <c r="N1662" s="214" t="n"/>
    </row>
    <row r="1663">
      <c r="A1663" s="207" t="n"/>
      <c r="B1663" s="209" t="n"/>
      <c r="C1663" s="207" t="n"/>
      <c r="D1663" s="963" t="n"/>
      <c r="E1663" s="214" t="n"/>
      <c r="F1663" s="262" t="n">
        <v>144234</v>
      </c>
      <c r="G1663" s="269" t="inlineStr">
        <is>
          <t>Broche larga rinforzata mm. 250 bianca per pannelli alto spessore mm. 10/12 con</t>
        </is>
      </c>
      <c r="H1663" s="264" t="n">
        <v>100</v>
      </c>
      <c r="I1663" s="265" t="n">
        <v>0.459</v>
      </c>
      <c r="J1663" s="214" t="n"/>
      <c r="K1663" s="208" t="n"/>
      <c r="L1663" s="424" t="n"/>
      <c r="M1663" s="961" t="n"/>
      <c r="N1663" s="214" t="n"/>
    </row>
    <row r="1664">
      <c r="A1664" s="207" t="n"/>
      <c r="B1664" s="209" t="n"/>
      <c r="C1664" s="207" t="n"/>
      <c r="D1664" s="963" t="n"/>
      <c r="E1664" s="214" t="n"/>
      <c r="F1664" s="262" t="n">
        <v>144240</v>
      </c>
      <c r="G1664" s="269" t="inlineStr">
        <is>
          <t>Broche larga rinforzata mm. 50 nera per pannelli alto spessore mm. 10/12 con agg</t>
        </is>
      </c>
      <c r="H1664" s="264" t="n">
        <v>100</v>
      </c>
      <c r="I1664" s="265" t="n">
        <v>0.288</v>
      </c>
      <c r="J1664" s="214" t="n"/>
      <c r="K1664" s="208" t="n"/>
      <c r="L1664" s="424" t="n"/>
      <c r="M1664" s="961" t="n"/>
      <c r="N1664" s="214" t="n"/>
    </row>
    <row r="1665">
      <c r="A1665" s="207" t="n"/>
      <c r="B1665" s="209" t="n"/>
      <c r="C1665" s="207" t="n"/>
      <c r="D1665" s="963" t="n"/>
      <c r="E1665" s="214" t="n"/>
      <c r="F1665" s="262" t="n">
        <v>144241</v>
      </c>
      <c r="G1665" s="269" t="inlineStr">
        <is>
          <t>Broche larga rinforzata mm. 100 nera per pannelli alto spessore mm. 10/12 con ag</t>
        </is>
      </c>
      <c r="H1665" s="264" t="n">
        <v>100</v>
      </c>
      <c r="I1665" s="265" t="n">
        <v>0.338</v>
      </c>
      <c r="J1665" s="214" t="n"/>
      <c r="K1665" s="208" t="n"/>
      <c r="L1665" s="424" t="n"/>
      <c r="M1665" s="961" t="n"/>
      <c r="N1665" s="214" t="n"/>
    </row>
    <row r="1666">
      <c r="A1666" s="207" t="n"/>
      <c r="B1666" s="209" t="n"/>
      <c r="C1666" s="207" t="n"/>
      <c r="D1666" s="963" t="n"/>
      <c r="E1666" s="214" t="n"/>
      <c r="F1666" s="262" t="n">
        <v>144242</v>
      </c>
      <c r="G1666" s="269" t="inlineStr">
        <is>
          <t>Broche larga rinforzata mm. 150 nera per pannelli alto spessore mm. 10/12 con ag</t>
        </is>
      </c>
      <c r="H1666" s="264" t="n">
        <v>100</v>
      </c>
      <c r="I1666" s="265" t="n">
        <v>0.388</v>
      </c>
      <c r="J1666" s="214" t="n"/>
      <c r="K1666" s="208" t="n"/>
      <c r="L1666" s="424" t="n"/>
      <c r="M1666" s="961" t="n"/>
      <c r="N1666" s="214" t="n"/>
    </row>
    <row r="1667">
      <c r="A1667" s="207" t="n"/>
      <c r="B1667" s="209" t="n"/>
      <c r="C1667" s="207" t="n"/>
      <c r="D1667" s="963" t="n"/>
      <c r="E1667" s="214" t="n"/>
      <c r="F1667" s="262" t="n">
        <v>144243</v>
      </c>
      <c r="G1667" s="269" t="inlineStr">
        <is>
          <t>Broche larga rinforzata mm. 200 nera per pannelli alto spessore mm. 10/12 con ag</t>
        </is>
      </c>
      <c r="H1667" s="264" t="n">
        <v>100</v>
      </c>
      <c r="I1667" s="265" t="n">
        <v>0.434</v>
      </c>
      <c r="J1667" s="214" t="n"/>
      <c r="K1667" s="208" t="n"/>
      <c r="L1667" s="424" t="n"/>
      <c r="M1667" s="961" t="n"/>
      <c r="N1667" s="214" t="n"/>
    </row>
    <row r="1668">
      <c r="A1668" s="207" t="n"/>
      <c r="B1668" s="209" t="n"/>
      <c r="C1668" s="207" t="n"/>
      <c r="D1668" s="963" t="n"/>
      <c r="E1668" s="214" t="n"/>
      <c r="F1668" s="262" t="n">
        <v>144244</v>
      </c>
      <c r="G1668" s="269" t="inlineStr">
        <is>
          <t>Broche larga rinforzata mm. 250 nera per pannelli alto spessore mm. 10/12 con ag</t>
        </is>
      </c>
      <c r="H1668" s="264" t="n">
        <v>100</v>
      </c>
      <c r="I1668" s="265" t="n">
        <v>0.505</v>
      </c>
      <c r="J1668" s="214" t="n"/>
      <c r="K1668" s="208" t="n"/>
      <c r="L1668" s="424" t="n"/>
      <c r="M1668" s="961" t="n"/>
      <c r="N1668" s="214" t="n"/>
    </row>
    <row r="1669">
      <c r="A1669" s="207" t="n"/>
      <c r="B1669" s="209" t="n"/>
      <c r="C1669" s="207" t="n"/>
      <c r="D1669" s="963" t="n"/>
      <c r="E1669" s="214" t="n"/>
      <c r="F1669" s="262" t="n">
        <v>144250</v>
      </c>
      <c r="G1669" s="269" t="inlineStr">
        <is>
          <t>Broche larga rinforzata mm. 50 trasparente per pannelli alto spessore mm. 10/12 c</t>
        </is>
      </c>
      <c r="H1669" s="264" t="n">
        <v>100</v>
      </c>
      <c r="I1669" s="265" t="n">
        <v>0.34</v>
      </c>
      <c r="J1669" s="214" t="n"/>
      <c r="K1669" s="208" t="n"/>
      <c r="L1669" s="424" t="n"/>
      <c r="M1669" s="961" t="n"/>
      <c r="N1669" s="214" t="n"/>
    </row>
    <row r="1670">
      <c r="A1670" s="207" t="n"/>
      <c r="B1670" s="209" t="n"/>
      <c r="C1670" s="207" t="n"/>
      <c r="D1670" s="963" t="n"/>
      <c r="E1670" s="214" t="n"/>
      <c r="F1670" s="262" t="n">
        <v>144251</v>
      </c>
      <c r="G1670" s="269" t="inlineStr">
        <is>
          <t>Broche larga rinforzata mm. 100 trasparente per pannelli alto spessore mm. 10/12</t>
        </is>
      </c>
      <c r="H1670" s="264" t="n">
        <v>100</v>
      </c>
      <c r="I1670" s="265" t="n">
        <v>0.4</v>
      </c>
      <c r="J1670" s="214" t="n"/>
      <c r="K1670" s="208" t="n"/>
      <c r="L1670" s="424" t="n"/>
      <c r="M1670" s="961" t="n"/>
      <c r="N1670" s="214" t="n"/>
    </row>
    <row r="1671">
      <c r="A1671" s="207" t="n"/>
      <c r="B1671" s="209" t="n"/>
      <c r="C1671" s="207" t="n"/>
      <c r="D1671" s="963" t="n"/>
      <c r="E1671" s="214" t="n"/>
      <c r="F1671" s="262" t="n">
        <v>144252</v>
      </c>
      <c r="G1671" s="269" t="inlineStr">
        <is>
          <t>Broche larga rinforzata mm. 150 trasparente per pannelli alto spessore mm. 10/12</t>
        </is>
      </c>
      <c r="H1671" s="264" t="n">
        <v>100</v>
      </c>
      <c r="I1671" s="265" t="n">
        <v>0.458</v>
      </c>
      <c r="J1671" s="214" t="n"/>
      <c r="K1671" s="208" t="n"/>
      <c r="L1671" s="424" t="n"/>
      <c r="M1671" s="961" t="n"/>
      <c r="N1671" s="214" t="n"/>
    </row>
    <row r="1672">
      <c r="A1672" s="207" t="n"/>
      <c r="B1672" s="209" t="n"/>
      <c r="C1672" s="207" t="n"/>
      <c r="D1672" s="963" t="n"/>
      <c r="E1672" s="214" t="n"/>
      <c r="F1672" s="262" t="n">
        <v>144253</v>
      </c>
      <c r="G1672" s="269" t="inlineStr">
        <is>
          <t>Broche larga rinforzata mm. 200 trasparente per pannelli alto spessore mm. 10/12</t>
        </is>
      </c>
      <c r="H1672" s="264" t="n">
        <v>100</v>
      </c>
      <c r="I1672" s="265" t="n">
        <v>0.512</v>
      </c>
      <c r="J1672" s="214" t="n"/>
      <c r="K1672" s="208" t="n"/>
      <c r="L1672" s="424" t="n"/>
      <c r="M1672" s="961" t="n"/>
      <c r="N1672" s="214" t="n"/>
    </row>
    <row r="1673">
      <c r="A1673" s="207" t="n"/>
      <c r="B1673" s="209" t="n"/>
      <c r="C1673" s="207" t="n"/>
      <c r="D1673" s="963" t="n"/>
      <c r="E1673" s="214" t="n"/>
      <c r="F1673" s="262" t="n">
        <v>144254</v>
      </c>
      <c r="G1673" s="269" t="inlineStr">
        <is>
          <t>Broche larga rinforzata mm. 250 trasparente per pannelli alto spessore mm. 10/12</t>
        </is>
      </c>
      <c r="H1673" s="264" t="n">
        <v>100</v>
      </c>
      <c r="I1673" s="265" t="n">
        <v>0.597</v>
      </c>
      <c r="J1673" s="214" t="n"/>
      <c r="K1673" s="208" t="n"/>
      <c r="L1673" s="424" t="n"/>
      <c r="M1673" s="961" t="n"/>
      <c r="N1673" s="214" t="n"/>
    </row>
    <row r="1674">
      <c r="A1674" s="207" t="n"/>
      <c r="B1674" s="209" t="n"/>
      <c r="C1674" s="207" t="n"/>
      <c r="D1674" s="963" t="n"/>
      <c r="E1674" s="214" t="n"/>
      <c r="F1674" s="262" t="n">
        <v>144302</v>
      </c>
      <c r="G1674" s="269" t="inlineStr">
        <is>
          <t>Broche larga rinforzata per pannelli alveolari mm. 150 bianca con aggancio porta</t>
        </is>
      </c>
      <c r="H1674" s="264" t="n">
        <v>100</v>
      </c>
      <c r="I1674" s="265" t="n">
        <v>0.352</v>
      </c>
      <c r="J1674" s="214" t="n"/>
      <c r="K1674" s="208" t="n"/>
      <c r="L1674" s="424" t="n"/>
      <c r="M1674" s="961" t="n"/>
      <c r="N1674" s="214" t="n"/>
    </row>
    <row r="1675">
      <c r="A1675" s="207" t="n"/>
      <c r="B1675" s="209" t="n"/>
      <c r="C1675" s="207" t="n"/>
      <c r="D1675" s="963" t="n"/>
      <c r="E1675" s="214" t="n"/>
      <c r="F1675" s="262" t="n">
        <v>144312</v>
      </c>
      <c r="G1675" s="269" t="inlineStr">
        <is>
          <t>Broche larga rinforzata per pannelli alveolari mm. 150 nera con aggancio porta eti</t>
        </is>
      </c>
      <c r="H1675" s="264" t="n">
        <v>100</v>
      </c>
      <c r="I1675" s="265" t="n">
        <v>0.387</v>
      </c>
      <c r="J1675" s="214" t="n"/>
      <c r="K1675" s="208" t="n"/>
      <c r="L1675" s="424" t="n"/>
      <c r="M1675" s="961" t="n"/>
      <c r="N1675" s="214" t="n"/>
    </row>
    <row r="1676">
      <c r="A1676" s="207" t="n"/>
      <c r="B1676" s="209" t="n"/>
      <c r="C1676" s="207" t="n"/>
      <c r="D1676" s="963" t="n"/>
      <c r="E1676" s="214" t="n"/>
      <c r="F1676" s="262" t="n">
        <v>144322</v>
      </c>
      <c r="G1676" s="269" t="inlineStr">
        <is>
          <t>Broche larga rinforzata per pannelli alveolari mm. 150 trasparente con aggancio p</t>
        </is>
      </c>
      <c r="H1676" s="264" t="n">
        <v>100</v>
      </c>
      <c r="I1676" s="265" t="n">
        <v>0.457</v>
      </c>
      <c r="J1676" s="214" t="n"/>
      <c r="K1676" s="208" t="n"/>
      <c r="L1676" s="424" t="n"/>
      <c r="M1676" s="961" t="n"/>
      <c r="N1676" s="214" t="n"/>
    </row>
    <row r="1677">
      <c r="A1677" s="207" t="n"/>
      <c r="B1677" s="209" t="n"/>
      <c r="C1677" s="207" t="n"/>
      <c r="D1677" s="963" t="n"/>
      <c r="E1677" s="214" t="n"/>
      <c r="F1677" s="262" t="n">
        <v>144330</v>
      </c>
      <c r="G1677" s="269" t="inlineStr">
        <is>
          <t>Broche larga rinforzata mm. 50 bianca per pannelli alto spessore mm. 10/12 con a</t>
        </is>
      </c>
      <c r="H1677" s="264" t="n">
        <v>100</v>
      </c>
      <c r="I1677" s="265" t="n">
        <v>0.341</v>
      </c>
      <c r="J1677" s="214" t="n"/>
      <c r="K1677" s="208" t="n"/>
      <c r="L1677" s="424" t="n"/>
      <c r="M1677" s="961" t="n"/>
      <c r="N1677" s="214" t="n"/>
    </row>
    <row r="1678">
      <c r="A1678" s="207" t="n"/>
      <c r="B1678" s="209" t="n"/>
      <c r="C1678" s="207" t="n"/>
      <c r="D1678" s="963" t="n"/>
      <c r="E1678" s="214" t="n"/>
      <c r="F1678" s="262" t="n">
        <v>144331</v>
      </c>
      <c r="G1678" s="269" t="inlineStr">
        <is>
          <t>Broche larga rinforzata mm. 100 bianca per pannelli alto spessore mm. 10/12 con</t>
        </is>
      </c>
      <c r="H1678" s="264" t="n">
        <v>100</v>
      </c>
      <c r="I1678" s="265" t="n">
        <v>0.346</v>
      </c>
      <c r="J1678" s="214" t="n"/>
      <c r="K1678" s="208" t="n"/>
      <c r="L1678" s="424" t="n"/>
      <c r="M1678" s="961" t="n"/>
      <c r="N1678" s="214" t="n"/>
    </row>
    <row r="1679">
      <c r="A1679" s="207" t="n"/>
      <c r="B1679" s="209" t="n"/>
      <c r="C1679" s="207" t="n"/>
      <c r="D1679" s="963" t="n"/>
      <c r="E1679" s="214" t="n"/>
      <c r="F1679" s="262" t="n">
        <v>144332</v>
      </c>
      <c r="G1679" s="269" t="inlineStr">
        <is>
          <t>Broche larga rinforzata mm. 150 bianca per pannelli alto spessore mm. 10/12 con</t>
        </is>
      </c>
      <c r="H1679" s="264" t="n">
        <v>100</v>
      </c>
      <c r="I1679" s="265" t="n">
        <v>0.364</v>
      </c>
      <c r="J1679" s="214" t="n"/>
      <c r="K1679" s="209" t="n"/>
      <c r="L1679" s="425" t="n"/>
      <c r="M1679" s="961" t="n"/>
      <c r="N1679" s="214" t="n"/>
    </row>
    <row r="1680">
      <c r="A1680" s="207" t="n"/>
      <c r="B1680" s="209" t="n"/>
      <c r="C1680" s="207" t="n"/>
      <c r="D1680" s="963" t="n"/>
      <c r="E1680" s="214" t="n"/>
      <c r="F1680" s="262" t="n">
        <v>144333</v>
      </c>
      <c r="G1680" s="269" t="inlineStr">
        <is>
          <t>Broche larga rinforzata mm. 200 bianca per pannelli alto spessore mm. 10/12 con</t>
        </is>
      </c>
      <c r="H1680" s="264" t="n">
        <v>100</v>
      </c>
      <c r="I1680" s="265" t="n">
        <v>0.394</v>
      </c>
      <c r="J1680" s="214" t="n"/>
      <c r="K1680" s="209" t="n"/>
      <c r="L1680" s="425" t="n"/>
      <c r="M1680" s="961" t="n"/>
      <c r="N1680" s="214" t="n"/>
    </row>
    <row r="1681">
      <c r="A1681" s="207" t="n"/>
      <c r="B1681" s="209" t="n"/>
      <c r="C1681" s="207" t="n"/>
      <c r="D1681" s="963" t="n"/>
      <c r="E1681" s="214" t="n"/>
      <c r="F1681" s="262" t="n">
        <v>144334</v>
      </c>
      <c r="G1681" s="269" t="inlineStr">
        <is>
          <t>Broche larga rinforzata mm. 250 bianca per pannelli alto spessore mm. 10/12 con</t>
        </is>
      </c>
      <c r="H1681" s="264" t="n">
        <v>100</v>
      </c>
      <c r="I1681" s="265" t="n">
        <v>0.459</v>
      </c>
      <c r="J1681" s="214" t="n"/>
      <c r="K1681" s="208" t="n"/>
      <c r="L1681" s="424" t="n"/>
      <c r="M1681" s="961" t="n"/>
      <c r="N1681" s="214" t="n"/>
    </row>
    <row r="1682">
      <c r="A1682" s="207" t="n"/>
      <c r="B1682" s="209" t="n"/>
      <c r="C1682" s="207" t="n"/>
      <c r="D1682" s="963" t="n"/>
      <c r="E1682" s="214" t="n"/>
      <c r="F1682" s="262" t="n">
        <v>144340</v>
      </c>
      <c r="G1682" s="269" t="inlineStr">
        <is>
          <t>Broche larga rinforzata mm. 50 nera per pannelli alto spessore mm. 10/12 con agg</t>
        </is>
      </c>
      <c r="H1682" s="264" t="n">
        <v>100</v>
      </c>
      <c r="I1682" s="265" t="n">
        <v>0.375</v>
      </c>
      <c r="J1682" s="214" t="n"/>
      <c r="K1682" s="209" t="n"/>
      <c r="L1682" s="425" t="n"/>
      <c r="M1682" s="961" t="n"/>
      <c r="N1682" s="214" t="n"/>
    </row>
    <row r="1683">
      <c r="A1683" s="207" t="n"/>
      <c r="B1683" s="209" t="n"/>
      <c r="C1683" s="207" t="n"/>
      <c r="D1683" s="963" t="n"/>
      <c r="E1683" s="214" t="n"/>
      <c r="F1683" s="262" t="n">
        <v>144341</v>
      </c>
      <c r="G1683" s="269" t="inlineStr">
        <is>
          <t>Broche larga rinforzata mm. 100 nera per pannelli alto spessore mm. 10/12 con ag</t>
        </is>
      </c>
      <c r="H1683" s="264" t="n">
        <v>100</v>
      </c>
      <c r="I1683" s="265" t="n">
        <v>0.381</v>
      </c>
      <c r="J1683" s="214" t="n"/>
      <c r="K1683" s="209" t="n"/>
      <c r="L1683" s="425" t="n"/>
      <c r="M1683" s="961" t="n"/>
      <c r="N1683" s="214" t="n"/>
    </row>
    <row r="1684">
      <c r="A1684" s="207" t="n"/>
      <c r="B1684" s="209" t="n"/>
      <c r="C1684" s="207" t="n"/>
      <c r="D1684" s="963" t="n"/>
      <c r="E1684" s="214" t="n"/>
      <c r="F1684" s="262" t="n">
        <v>144342</v>
      </c>
      <c r="G1684" s="269" t="inlineStr">
        <is>
          <t>Broche larga rinforzata mm. 150 nera per pannelli alto spessore mm. 10/12 con ag</t>
        </is>
      </c>
      <c r="H1684" s="264" t="n">
        <v>100</v>
      </c>
      <c r="I1684" s="265" t="n">
        <v>0.4</v>
      </c>
      <c r="J1684" s="214" t="n"/>
      <c r="K1684" s="209" t="n"/>
      <c r="L1684" s="425" t="n"/>
      <c r="M1684" s="961" t="n"/>
      <c r="N1684" s="214" t="n"/>
    </row>
    <row r="1685">
      <c r="A1685" s="207" t="n"/>
      <c r="B1685" s="209" t="n"/>
      <c r="C1685" s="207" t="n"/>
      <c r="D1685" s="963" t="n"/>
      <c r="E1685" s="214" t="n"/>
      <c r="F1685" s="262" t="n">
        <v>144343</v>
      </c>
      <c r="G1685" s="269" t="inlineStr">
        <is>
          <t>Broche larga rinforzata mm. 200 nera per pannelli alto spessore mm. 10/12 con ag</t>
        </is>
      </c>
      <c r="H1685" s="264" t="n">
        <v>100</v>
      </c>
      <c r="I1685" s="265" t="n">
        <v>0.434</v>
      </c>
      <c r="J1685" s="214" t="n"/>
      <c r="K1685" s="209" t="n"/>
      <c r="L1685" s="425" t="n"/>
      <c r="M1685" s="961" t="n"/>
      <c r="N1685" s="214" t="n"/>
    </row>
    <row r="1686">
      <c r="A1686" s="207" t="n"/>
      <c r="B1686" s="209" t="n"/>
      <c r="C1686" s="207" t="n"/>
      <c r="D1686" s="963" t="n"/>
      <c r="E1686" s="214" t="n"/>
      <c r="F1686" s="262" t="n">
        <v>144344</v>
      </c>
      <c r="G1686" s="269" t="inlineStr">
        <is>
          <t>Broche larga rinforzata mm. 250 nera per pannelli alto spessore mm. 10/12 con ag</t>
        </is>
      </c>
      <c r="H1686" s="264" t="n">
        <v>100</v>
      </c>
      <c r="I1686" s="265" t="n">
        <v>0.505</v>
      </c>
      <c r="J1686" s="214" t="n"/>
      <c r="K1686" s="208" t="n"/>
      <c r="L1686" s="424" t="n"/>
      <c r="M1686" s="961" t="n"/>
      <c r="N1686" s="214" t="n"/>
    </row>
    <row r="1687">
      <c r="A1687" s="207" t="n"/>
      <c r="B1687" s="209" t="n"/>
      <c r="C1687" s="207" t="n"/>
      <c r="D1687" s="963" t="n"/>
      <c r="E1687" s="214" t="n"/>
      <c r="F1687" s="262" t="n">
        <v>144350</v>
      </c>
      <c r="G1687" s="269" t="inlineStr">
        <is>
          <t>Broche larga rinforzata mm. 50 trasparente per pannelli alto spessore mm. 10/12 c</t>
        </is>
      </c>
      <c r="H1687" s="264" t="n">
        <v>100</v>
      </c>
      <c r="I1687" s="265" t="n">
        <v>0.443</v>
      </c>
      <c r="J1687" s="214" t="n"/>
      <c r="K1687" s="209" t="n"/>
      <c r="L1687" s="425" t="n"/>
      <c r="M1687" s="961" t="n"/>
      <c r="N1687" s="214" t="n"/>
    </row>
    <row r="1688">
      <c r="A1688" s="207" t="n"/>
      <c r="B1688" s="209" t="n"/>
      <c r="C1688" s="207" t="n"/>
      <c r="D1688" s="963" t="n"/>
      <c r="E1688" s="214" t="n"/>
      <c r="F1688" s="262" t="n">
        <v>144351</v>
      </c>
      <c r="G1688" s="269" t="inlineStr">
        <is>
          <t>Broche larga rinforzata mm. 100 trasparente per pannelli alto spessore mm. 10/12</t>
        </is>
      </c>
      <c r="H1688" s="264" t="n">
        <v>100</v>
      </c>
      <c r="I1688" s="265" t="n">
        <v>0.45</v>
      </c>
      <c r="J1688" s="214" t="n"/>
      <c r="K1688" s="209" t="n"/>
      <c r="L1688" s="425" t="n"/>
      <c r="M1688" s="961" t="n"/>
      <c r="N1688" s="214" t="n"/>
    </row>
    <row r="1689">
      <c r="A1689" s="207" t="n"/>
      <c r="B1689" s="209" t="n"/>
      <c r="C1689" s="207" t="n"/>
      <c r="D1689" s="963" t="n"/>
      <c r="E1689" s="214" t="n"/>
      <c r="F1689" s="262" t="n">
        <v>144352</v>
      </c>
      <c r="G1689" s="269" t="inlineStr">
        <is>
          <t>Broche larga rinforzata mm. 150 trasparente per pannelli alto spessore mm. 10/12</t>
        </is>
      </c>
      <c r="H1689" s="264" t="n">
        <v>100</v>
      </c>
      <c r="I1689" s="265" t="n">
        <v>0.473</v>
      </c>
      <c r="J1689" s="214" t="n"/>
      <c r="K1689" s="209" t="n"/>
      <c r="L1689" s="425" t="n"/>
      <c r="M1689" s="961" t="n"/>
      <c r="N1689" s="214" t="n"/>
    </row>
    <row r="1690">
      <c r="A1690" s="207" t="n"/>
      <c r="B1690" s="209" t="n"/>
      <c r="C1690" s="207" t="n"/>
      <c r="D1690" s="963" t="n"/>
      <c r="E1690" s="214" t="n"/>
      <c r="F1690" s="262" t="n">
        <v>144353</v>
      </c>
      <c r="G1690" s="269" t="inlineStr">
        <is>
          <t>Broche larga rinforzata mm. 200 trasparente per pannelli alto spessore mm. 10/12</t>
        </is>
      </c>
      <c r="H1690" s="264" t="n">
        <v>100</v>
      </c>
      <c r="I1690" s="265" t="n">
        <v>0.512</v>
      </c>
      <c r="J1690" s="214" t="n"/>
      <c r="K1690" s="209" t="n"/>
      <c r="L1690" s="425" t="n"/>
      <c r="M1690" s="961" t="n"/>
      <c r="N1690" s="214" t="n"/>
    </row>
    <row r="1691">
      <c r="A1691" s="207" t="n"/>
      <c r="B1691" s="209" t="n"/>
      <c r="C1691" s="207" t="n"/>
      <c r="D1691" s="963" t="n"/>
      <c r="E1691" s="214" t="n"/>
      <c r="F1691" s="262" t="n">
        <v>144354</v>
      </c>
      <c r="G1691" s="269" t="inlineStr">
        <is>
          <t>Broche larga rinforzata mm. 250 trasparente per pannelli alto spessore mm. 10/12</t>
        </is>
      </c>
      <c r="H1691" s="264" t="n">
        <v>100</v>
      </c>
      <c r="I1691" s="265" t="n">
        <v>0.597</v>
      </c>
      <c r="J1691" s="214" t="n"/>
      <c r="K1691" s="208" t="n"/>
      <c r="L1691" s="424" t="n"/>
      <c r="M1691" s="961" t="n"/>
      <c r="N1691" s="214" t="n"/>
    </row>
    <row r="1692">
      <c r="A1692" s="207" t="n"/>
      <c r="B1692" s="209" t="n"/>
      <c r="C1692" s="207" t="n"/>
      <c r="D1692" s="963" t="n"/>
      <c r="E1692" s="214" t="n"/>
      <c r="F1692" s="262" t="n">
        <v>145060</v>
      </c>
      <c r="G1692" s="263" t="inlineStr">
        <is>
          <t>Broche universale larga in plastica bianca mm. 50 con supporto porta prezzo</t>
        </is>
      </c>
      <c r="H1692" s="264" t="n">
        <v>100</v>
      </c>
      <c r="I1692" s="265" t="n">
        <v>0.181</v>
      </c>
      <c r="J1692" s="214" t="n"/>
      <c r="K1692" s="209" t="n"/>
      <c r="L1692" s="425" t="n"/>
      <c r="M1692" s="961" t="n"/>
      <c r="N1692" s="214" t="n"/>
    </row>
    <row r="1693">
      <c r="A1693" s="207" t="n"/>
      <c r="B1693" s="209" t="n"/>
      <c r="C1693" s="207" t="n"/>
      <c r="D1693" s="963" t="n"/>
      <c r="E1693" s="214" t="n"/>
      <c r="F1693" s="262" t="n">
        <v>145061</v>
      </c>
      <c r="G1693" s="263" t="inlineStr">
        <is>
          <t>Broche universale larga in plastica bianca mm. 70 con supporto porta prezzo</t>
        </is>
      </c>
      <c r="H1693" s="264" t="n">
        <v>100</v>
      </c>
      <c r="I1693" s="265" t="n">
        <v>0.181</v>
      </c>
      <c r="J1693" s="214" t="n"/>
      <c r="K1693" s="209" t="n"/>
      <c r="L1693" s="425" t="n"/>
      <c r="M1693" s="961" t="n"/>
      <c r="N1693" s="214" t="n"/>
    </row>
    <row r="1694">
      <c r="A1694" s="207" t="n"/>
      <c r="B1694" s="209" t="n"/>
      <c r="C1694" s="207" t="n"/>
      <c r="D1694" s="963" t="n"/>
      <c r="E1694" s="214" t="n"/>
      <c r="F1694" s="262" t="n">
        <v>145062</v>
      </c>
      <c r="G1694" s="263" t="inlineStr">
        <is>
          <t>Broche universale larga in plastica bianca mm. 100 con supporto porta prezzo</t>
        </is>
      </c>
      <c r="H1694" s="264" t="n">
        <v>100</v>
      </c>
      <c r="I1694" s="265" t="n">
        <v>0.203</v>
      </c>
      <c r="J1694" s="214" t="n"/>
      <c r="K1694" s="208" t="n"/>
      <c r="L1694" s="424" t="n"/>
      <c r="M1694" s="961" t="n"/>
      <c r="N1694" s="214" t="n"/>
    </row>
    <row r="1695">
      <c r="A1695" s="207" t="n"/>
      <c r="B1695" s="209" t="n"/>
      <c r="C1695" s="207" t="n"/>
      <c r="D1695" s="963" t="n"/>
      <c r="E1695" s="214" t="n"/>
      <c r="F1695" s="262" t="n">
        <v>145063</v>
      </c>
      <c r="G1695" s="263" t="inlineStr">
        <is>
          <t>Broche universale larga in plastica bianca mm. 120 con supporto porta prezzo</t>
        </is>
      </c>
      <c r="H1695" s="264" t="n">
        <v>100</v>
      </c>
      <c r="I1695" s="265" t="n">
        <v>0.211</v>
      </c>
      <c r="J1695" s="214" t="n"/>
      <c r="K1695" s="208" t="n"/>
      <c r="L1695" s="424" t="n"/>
      <c r="M1695" s="961" t="n"/>
      <c r="N1695" s="214" t="n"/>
    </row>
    <row r="1696">
      <c r="A1696" s="207" t="n"/>
      <c r="B1696" s="209" t="n"/>
      <c r="C1696" s="207" t="n"/>
      <c r="D1696" s="963" t="n"/>
      <c r="E1696" s="214" t="n"/>
      <c r="F1696" s="262" t="n">
        <v>145064</v>
      </c>
      <c r="G1696" s="263" t="inlineStr">
        <is>
          <t>Broche universale larga in plastica bianca mm. 150 con supporto porta prezzo</t>
        </is>
      </c>
      <c r="H1696" s="264" t="n">
        <v>100</v>
      </c>
      <c r="I1696" s="265" t="n">
        <v>0.22</v>
      </c>
      <c r="J1696" s="214" t="n"/>
      <c r="K1696" s="208" t="n"/>
      <c r="L1696" s="424" t="n"/>
      <c r="M1696" s="961" t="n"/>
      <c r="N1696" s="214" t="n"/>
    </row>
    <row r="1697">
      <c r="A1697" s="207" t="n"/>
      <c r="B1697" s="209" t="n"/>
      <c r="C1697" s="207" t="n"/>
      <c r="D1697" s="963" t="n"/>
      <c r="E1697" s="214" t="n"/>
      <c r="F1697" s="262" t="n">
        <v>145065</v>
      </c>
      <c r="G1697" s="263" t="inlineStr">
        <is>
          <t>Broche universale larga in plastica bianca mm. 170 con supporto porta prezzo</t>
        </is>
      </c>
      <c r="H1697" s="264" t="n">
        <v>100</v>
      </c>
      <c r="I1697" s="265" t="n">
        <v>0.253</v>
      </c>
      <c r="J1697" s="214" t="n"/>
      <c r="K1697" s="208" t="n"/>
      <c r="L1697" s="424" t="n"/>
      <c r="M1697" s="961" t="n"/>
      <c r="N1697" s="214" t="n"/>
    </row>
    <row r="1698">
      <c r="A1698" s="207" t="n"/>
      <c r="B1698" s="209" t="n"/>
      <c r="C1698" s="207" t="n"/>
      <c r="D1698" s="963" t="n"/>
      <c r="E1698" s="214" t="n"/>
      <c r="F1698" s="262" t="n">
        <v>145070</v>
      </c>
      <c r="G1698" s="263" t="inlineStr">
        <is>
          <t>Broche universale larga in plastica nera mm. 50 con supporto porta prezzo</t>
        </is>
      </c>
      <c r="H1698" s="264" t="n">
        <v>100</v>
      </c>
      <c r="I1698" s="265" t="n">
        <v>0.181</v>
      </c>
      <c r="J1698" s="214" t="n"/>
      <c r="K1698" s="208" t="n"/>
      <c r="L1698" s="424" t="n"/>
      <c r="M1698" s="961" t="n"/>
      <c r="N1698" s="214" t="n"/>
    </row>
    <row r="1699">
      <c r="A1699" s="207" t="n"/>
      <c r="B1699" s="209" t="n"/>
      <c r="C1699" s="207" t="n"/>
      <c r="D1699" s="963" t="n"/>
      <c r="E1699" s="214" t="n"/>
      <c r="F1699" s="262" t="n">
        <v>145071</v>
      </c>
      <c r="G1699" s="263" t="inlineStr">
        <is>
          <t>Broche universale larga in plastica nera mm. 70 con supporto porta prezzo</t>
        </is>
      </c>
      <c r="H1699" s="264" t="n">
        <v>100</v>
      </c>
      <c r="I1699" s="265" t="n">
        <v>0.181</v>
      </c>
      <c r="J1699" s="214" t="n"/>
      <c r="K1699" s="208" t="n"/>
      <c r="L1699" s="424" t="n"/>
      <c r="M1699" s="961" t="n"/>
      <c r="N1699" s="214" t="n"/>
    </row>
    <row r="1700">
      <c r="A1700" s="207" t="n"/>
      <c r="B1700" s="209" t="n"/>
      <c r="C1700" s="207" t="n"/>
      <c r="D1700" s="963" t="n"/>
      <c r="E1700" s="214" t="n"/>
      <c r="F1700" s="262" t="n">
        <v>145072</v>
      </c>
      <c r="G1700" s="263" t="inlineStr">
        <is>
          <t>Broche universale larga in plastica nera mm. 100 con supporto porta prezzo</t>
        </is>
      </c>
      <c r="H1700" s="264" t="n">
        <v>100</v>
      </c>
      <c r="I1700" s="265" t="n">
        <v>0.203</v>
      </c>
      <c r="J1700" s="214" t="n"/>
      <c r="K1700" s="208" t="n"/>
      <c r="L1700" s="424" t="n"/>
      <c r="M1700" s="961" t="n"/>
      <c r="N1700" s="214" t="n"/>
    </row>
    <row r="1701">
      <c r="A1701" s="207" t="n"/>
      <c r="B1701" s="209" t="n"/>
      <c r="C1701" s="207" t="n"/>
      <c r="D1701" s="963" t="n"/>
      <c r="E1701" s="214" t="n"/>
      <c r="F1701" s="262" t="n">
        <v>145075</v>
      </c>
      <c r="G1701" s="263" t="inlineStr">
        <is>
          <t>Broche universale larga in plastica nera mm. 170 con supporto porta prezzo</t>
        </is>
      </c>
      <c r="H1701" s="264" t="n">
        <v>100</v>
      </c>
      <c r="I1701" s="265" t="n">
        <v>0.253</v>
      </c>
      <c r="J1701" s="214" t="n"/>
      <c r="K1701" s="208" t="n"/>
      <c r="L1701" s="424" t="n"/>
      <c r="M1701" s="961" t="n"/>
      <c r="N1701" s="214" t="n"/>
    </row>
    <row r="1702">
      <c r="A1702" s="207" t="n"/>
      <c r="B1702" s="209" t="n"/>
      <c r="C1702" s="207" t="n"/>
      <c r="D1702" s="963" t="n"/>
      <c r="E1702" s="214" t="n"/>
      <c r="F1702" s="262" t="n">
        <v>145082</v>
      </c>
      <c r="G1702" s="263" t="inlineStr">
        <is>
          <t>Broche universale larga in plastica trasparente mm. 100 con supporto porta prezz</t>
        </is>
      </c>
      <c r="H1702" s="264" t="n">
        <v>100</v>
      </c>
      <c r="I1702" s="265" t="n">
        <v>0.196</v>
      </c>
      <c r="J1702" s="214" t="n"/>
      <c r="K1702" s="208" t="n"/>
      <c r="L1702" s="424" t="n"/>
      <c r="M1702" s="961" t="n"/>
      <c r="N1702" s="214" t="n"/>
    </row>
    <row r="1703">
      <c r="A1703" s="207" t="n"/>
      <c r="B1703" s="209" t="n"/>
      <c r="C1703" s="207" t="n"/>
      <c r="D1703" s="963" t="n"/>
      <c r="E1703" s="214" t="n"/>
      <c r="F1703" s="262" t="n">
        <v>145083</v>
      </c>
      <c r="G1703" s="263" t="inlineStr">
        <is>
          <t>Broche universale larga in plastica trasparente mm. 120 con supporto porta prezz</t>
        </is>
      </c>
      <c r="H1703" s="264" t="n">
        <v>100</v>
      </c>
      <c r="I1703" s="265" t="n">
        <v>0.275</v>
      </c>
      <c r="J1703" s="214" t="n"/>
      <c r="K1703" s="208" t="n"/>
      <c r="L1703" s="424" t="n"/>
      <c r="M1703" s="961" t="n"/>
      <c r="N1703" s="214" t="n"/>
    </row>
    <row r="1704">
      <c r="A1704" s="207" t="n"/>
      <c r="B1704" s="209" t="n"/>
      <c r="C1704" s="207" t="n"/>
      <c r="D1704" s="963" t="n"/>
      <c r="E1704" s="214" t="n"/>
      <c r="F1704" s="262" t="n">
        <v>145084</v>
      </c>
      <c r="G1704" s="263" t="inlineStr">
        <is>
          <t>Broche universale larga in plastica trasparente mm. 150 con supporto porta prezz</t>
        </is>
      </c>
      <c r="H1704" s="264" t="n">
        <v>100</v>
      </c>
      <c r="I1704" s="265" t="n">
        <v>0.286</v>
      </c>
      <c r="J1704" s="214" t="n"/>
      <c r="K1704" s="208" t="n"/>
      <c r="L1704" s="424" t="n"/>
      <c r="M1704" s="961" t="n"/>
      <c r="N1704" s="214" t="n"/>
    </row>
    <row r="1705">
      <c r="A1705" s="207" t="n"/>
      <c r="B1705" s="209" t="n"/>
      <c r="C1705" s="207" t="n"/>
      <c r="D1705" s="963" t="n"/>
      <c r="E1705" s="214" t="n"/>
      <c r="F1705" s="262" t="n">
        <v>145085</v>
      </c>
      <c r="G1705" s="263" t="inlineStr">
        <is>
          <t>Broche universale larga in plastica trasparente mm. 170 con supporto porta prezz</t>
        </is>
      </c>
      <c r="H1705" s="264" t="n">
        <v>100</v>
      </c>
      <c r="I1705" s="265" t="n">
        <v>0.329</v>
      </c>
      <c r="J1705" s="214" t="n"/>
      <c r="K1705" s="208" t="n"/>
      <c r="L1705" s="424" t="n"/>
      <c r="M1705" s="961" t="n"/>
      <c r="N1705" s="214" t="n"/>
    </row>
    <row r="1706">
      <c r="A1706" s="207" t="n"/>
      <c r="B1706" s="209" t="n"/>
      <c r="C1706" s="207" t="n"/>
      <c r="D1706" s="963" t="n"/>
      <c r="E1706" s="214" t="n"/>
      <c r="F1706" s="262" t="n">
        <v>145365</v>
      </c>
      <c r="G1706" s="263" t="inlineStr">
        <is>
          <t>Broche universale larga in plastica bianca mm. 170 con porta etichette fisso</t>
        </is>
      </c>
      <c r="H1706" s="264" t="n">
        <v>100</v>
      </c>
      <c r="I1706" s="265" t="n">
        <v>0.233</v>
      </c>
      <c r="J1706" s="214" t="n"/>
      <c r="K1706" s="208" t="n"/>
      <c r="L1706" s="424" t="n"/>
      <c r="M1706" s="961" t="n"/>
      <c r="N1706" s="214" t="n"/>
    </row>
    <row r="1707">
      <c r="A1707" s="207" t="n"/>
      <c r="B1707" s="209" t="n"/>
      <c r="C1707" s="207" t="n"/>
      <c r="D1707" s="963" t="n"/>
      <c r="E1707" s="214" t="n"/>
      <c r="F1707" s="262" t="n">
        <v>145375</v>
      </c>
      <c r="G1707" s="263" t="inlineStr">
        <is>
          <t>Broche universale larga in plastica nera mm. 170 con porta etichette fisso</t>
        </is>
      </c>
      <c r="H1707" s="264" t="n">
        <v>100</v>
      </c>
      <c r="I1707" s="265" t="n">
        <v>0.233</v>
      </c>
      <c r="J1707" s="214" t="n"/>
      <c r="K1707" s="208" t="n"/>
      <c r="L1707" s="424" t="n"/>
      <c r="M1707" s="961" t="n"/>
      <c r="N1707" s="214" t="n"/>
    </row>
    <row r="1708">
      <c r="A1708" s="207" t="n"/>
      <c r="B1708" s="209" t="n"/>
      <c r="C1708" s="207" t="n"/>
      <c r="D1708" s="963" t="n"/>
      <c r="E1708" s="214" t="n"/>
      <c r="F1708" s="262" t="n">
        <v>145385</v>
      </c>
      <c r="G1708" s="263" t="inlineStr">
        <is>
          <t>Broche universale larga in plastica trasparente mm. 170 con porta etichette fisso</t>
        </is>
      </c>
      <c r="H1708" s="264" t="n">
        <v>100</v>
      </c>
      <c r="I1708" s="265" t="n">
        <v>0.237</v>
      </c>
      <c r="J1708" s="214" t="n"/>
      <c r="K1708" s="208" t="n"/>
      <c r="L1708" s="424" t="n"/>
      <c r="M1708" s="961" t="n"/>
      <c r="N1708" s="214" t="n"/>
    </row>
    <row r="1709">
      <c r="A1709" s="207" t="n"/>
      <c r="B1709" s="209" t="n"/>
      <c r="C1709" s="207" t="n"/>
      <c r="D1709" s="963" t="n"/>
      <c r="E1709" s="214" t="n"/>
      <c r="F1709" s="262" t="n">
        <v>171230</v>
      </c>
      <c r="G1709" s="263" t="inlineStr">
        <is>
          <t>Bollino biadesivo tondo diam. mm. 18</t>
        </is>
      </c>
      <c r="H1709" s="264" t="n">
        <v>1000</v>
      </c>
      <c r="I1709" s="265" t="n">
        <v>0.024</v>
      </c>
      <c r="J1709" s="214" t="n"/>
      <c r="K1709" s="208" t="n"/>
      <c r="L1709" s="424" t="n"/>
      <c r="M1709" s="961" t="n"/>
      <c r="N1709" s="214" t="n"/>
    </row>
    <row r="1710">
      <c r="A1710" s="207" t="n"/>
      <c r="B1710" s="209" t="n"/>
      <c r="C1710" s="207" t="n"/>
      <c r="D1710" s="963" t="n"/>
      <c r="E1710" s="214" t="n"/>
      <c r="F1710" s="262" t="n">
        <v>171231</v>
      </c>
      <c r="G1710" s="263" t="inlineStr">
        <is>
          <t>Bollino biadesivo rettangolare mm. 25x20</t>
        </is>
      </c>
      <c r="H1710" s="264" t="n">
        <v>1000</v>
      </c>
      <c r="I1710" s="265" t="n">
        <v>0.026</v>
      </c>
      <c r="J1710" s="214" t="n"/>
      <c r="K1710" s="208" t="n"/>
      <c r="L1710" s="424" t="n"/>
      <c r="M1710" s="961" t="n"/>
      <c r="N1710" s="214" t="n"/>
    </row>
    <row r="1711">
      <c r="A1711" s="207" t="n"/>
      <c r="B1711" s="209" t="n"/>
      <c r="C1711" s="207" t="n"/>
      <c r="D1711" s="963" t="n"/>
      <c r="E1711" s="214" t="n"/>
      <c r="F1711" s="262" t="n">
        <v>171232</v>
      </c>
      <c r="G1711" s="263" t="inlineStr">
        <is>
          <t>Bollino biadesivo quadrato mm. 28X28</t>
        </is>
      </c>
      <c r="H1711" s="264" t="n">
        <v>1000</v>
      </c>
      <c r="I1711" s="265" t="n">
        <v>0.031</v>
      </c>
      <c r="J1711" s="214" t="n"/>
      <c r="K1711" s="208" t="n"/>
      <c r="L1711" s="424" t="n"/>
      <c r="M1711" s="961" t="n"/>
      <c r="N1711" s="214" t="n"/>
    </row>
    <row r="1712">
      <c r="A1712" s="207" t="n"/>
      <c r="B1712" s="209" t="n"/>
      <c r="C1712" s="207" t="n"/>
      <c r="D1712" s="963" t="n"/>
      <c r="E1712" s="214" t="n"/>
      <c r="F1712" s="262" t="n">
        <v>171233</v>
      </c>
      <c r="G1712" s="263" t="inlineStr">
        <is>
          <t>Bollino biadesivo rettangolare mm. 37x17</t>
        </is>
      </c>
      <c r="H1712" s="264" t="n">
        <v>1000</v>
      </c>
      <c r="I1712" s="265" t="n">
        <v>0.039</v>
      </c>
      <c r="J1712" s="214" t="n"/>
      <c r="K1712" s="208" t="n"/>
      <c r="L1712" s="424" t="n"/>
      <c r="M1712" s="961" t="n"/>
      <c r="N1712" s="214" t="n"/>
    </row>
    <row r="1713">
      <c r="A1713" s="207" t="n"/>
      <c r="B1713" s="209" t="n"/>
      <c r="C1713" s="207" t="n"/>
      <c r="D1713" s="963" t="n"/>
      <c r="E1713" s="214" t="n"/>
      <c r="F1713" s="262" t="n">
        <v>171235</v>
      </c>
      <c r="G1713" s="263" t="inlineStr">
        <is>
          <t>Bollino biadesivo tondo diametro mm. 23</t>
        </is>
      </c>
      <c r="H1713" s="264" t="n">
        <v>1000</v>
      </c>
      <c r="I1713" s="265" t="n">
        <v>0.028</v>
      </c>
      <c r="J1713" s="214" t="n"/>
      <c r="K1713" s="208" t="n"/>
      <c r="L1713" s="424" t="n"/>
      <c r="M1713" s="961" t="n"/>
      <c r="N1713" s="214" t="n"/>
    </row>
    <row r="1714">
      <c r="A1714" s="207" t="n"/>
      <c r="B1714" s="209" t="n"/>
      <c r="C1714" s="207" t="n"/>
      <c r="D1714" s="963" t="n"/>
      <c r="E1714" s="214" t="n"/>
      <c r="F1714" s="262" t="n">
        <v>171236</v>
      </c>
      <c r="G1714" s="263" t="inlineStr">
        <is>
          <t>Bollino biadesivo tondo diametro mm. 32</t>
        </is>
      </c>
      <c r="H1714" s="264" t="n">
        <v>1000</v>
      </c>
      <c r="I1714" s="265" t="n">
        <v>0.042</v>
      </c>
      <c r="J1714" s="214" t="n"/>
      <c r="K1714" s="208" t="n"/>
      <c r="L1714" s="424" t="n"/>
      <c r="M1714" s="961" t="n"/>
      <c r="N1714" s="214" t="n"/>
    </row>
    <row r="1715">
      <c r="A1715" s="207" t="n"/>
      <c r="B1715" s="209" t="n"/>
      <c r="C1715" s="207" t="n"/>
      <c r="D1715" s="963" t="n"/>
      <c r="E1715" s="214" t="n"/>
      <c r="F1715" s="262" t="n">
        <v>171237</v>
      </c>
      <c r="G1715" s="263" t="inlineStr">
        <is>
          <t>Bollino biadesivo quadrato mm. 22x22</t>
        </is>
      </c>
      <c r="H1715" s="264" t="n">
        <v>1000</v>
      </c>
      <c r="I1715" s="265" t="n">
        <v>0.026</v>
      </c>
      <c r="J1715" s="214" t="n"/>
      <c r="K1715" s="208" t="n"/>
      <c r="L1715" s="424" t="n"/>
      <c r="M1715" s="961" t="n"/>
      <c r="N1715" s="214" t="n"/>
    </row>
    <row r="1716">
      <c r="A1716" s="207" t="n"/>
      <c r="B1716" s="209" t="n"/>
      <c r="C1716" s="207" t="n"/>
      <c r="D1716" s="963" t="n"/>
      <c r="E1716" s="214" t="n"/>
      <c r="F1716" s="262" t="n">
        <v>171238</v>
      </c>
      <c r="G1716" s="263" t="inlineStr">
        <is>
          <t>Bollino biadesivo rettangolare mm. 32x32</t>
        </is>
      </c>
      <c r="H1716" s="264" t="n">
        <v>1000</v>
      </c>
      <c r="I1716" s="265" t="n">
        <v>0.042</v>
      </c>
      <c r="J1716" s="214" t="n"/>
      <c r="K1716" s="208" t="n"/>
      <c r="L1716" s="424" t="n"/>
      <c r="M1716" s="961" t="n"/>
      <c r="N1716" s="214" t="n"/>
    </row>
    <row r="1717">
      <c r="A1717" s="207" t="n"/>
      <c r="B1717" s="209" t="n"/>
      <c r="C1717" s="207" t="n"/>
      <c r="D1717" s="963" t="n"/>
      <c r="E1717" s="214" t="n"/>
      <c r="F1717" s="262" t="n">
        <v>171240</v>
      </c>
      <c r="G1717" s="263" t="inlineStr">
        <is>
          <t>Bollino biadesivo triangolare mm. 15x15</t>
        </is>
      </c>
      <c r="H1717" s="264" t="n">
        <v>1000</v>
      </c>
      <c r="I1717" s="265" t="n">
        <v>0.019</v>
      </c>
      <c r="J1717" s="214" t="n"/>
      <c r="K1717" s="208" t="n"/>
      <c r="L1717" s="424" t="n"/>
      <c r="M1717" s="961" t="n"/>
      <c r="N1717" s="214" t="n"/>
    </row>
    <row r="1718">
      <c r="A1718" s="207" t="n"/>
      <c r="B1718" s="209" t="n"/>
      <c r="C1718" s="207" t="n"/>
      <c r="D1718" s="963" t="n"/>
      <c r="E1718" s="214" t="n"/>
      <c r="F1718" s="262" t="n">
        <v>171241</v>
      </c>
      <c r="G1718" s="263" t="inlineStr">
        <is>
          <t>Bollino biadesivo triangolare mm. 20x20</t>
        </is>
      </c>
      <c r="H1718" s="264" t="n">
        <v>1000</v>
      </c>
      <c r="I1718" s="265" t="n">
        <v>0.02</v>
      </c>
      <c r="J1718" s="214" t="n"/>
      <c r="K1718" s="208" t="n"/>
      <c r="L1718" s="424" t="n"/>
      <c r="M1718" s="961" t="n"/>
      <c r="N1718" s="214" t="n"/>
    </row>
    <row r="1719">
      <c r="A1719" s="207" t="n"/>
      <c r="B1719" s="209" t="n"/>
      <c r="C1719" s="207" t="n"/>
      <c r="D1719" s="963" t="n"/>
      <c r="E1719" s="214" t="n"/>
      <c r="F1719" s="262" t="n">
        <v>171242</v>
      </c>
      <c r="G1719" s="263" t="inlineStr">
        <is>
          <t>Bollino biadesivo triangolare mm. 25x25</t>
        </is>
      </c>
      <c r="H1719" s="264" t="n">
        <v>1000</v>
      </c>
      <c r="I1719" s="265" t="n">
        <v>0.022</v>
      </c>
      <c r="J1719" s="214" t="n"/>
      <c r="K1719" s="208" t="n"/>
      <c r="L1719" s="424" t="n"/>
      <c r="M1719" s="961" t="n"/>
      <c r="N1719" s="214" t="n"/>
    </row>
    <row r="1720">
      <c r="A1720" s="207" t="n"/>
      <c r="B1720" s="209" t="n"/>
      <c r="C1720" s="207" t="n"/>
      <c r="D1720" s="963" t="n"/>
      <c r="E1720" s="214" t="n"/>
      <c r="F1720" s="262" t="n">
        <v>171243</v>
      </c>
      <c r="G1720" s="263" t="inlineStr">
        <is>
          <t>Bollino biadesivo triangolare mm. 30x30</t>
        </is>
      </c>
      <c r="H1720" s="264" t="n">
        <v>1000</v>
      </c>
      <c r="I1720" s="265" t="n">
        <v>0.026</v>
      </c>
      <c r="J1720" s="214" t="n"/>
      <c r="K1720" s="208" t="n"/>
      <c r="L1720" s="424" t="n"/>
      <c r="M1720" s="961" t="n"/>
      <c r="N1720" s="214" t="n"/>
    </row>
    <row r="1721">
      <c r="A1721" s="207" t="n"/>
      <c r="B1721" s="209" t="n"/>
      <c r="C1721" s="207" t="n"/>
      <c r="D1721" s="963" t="n"/>
      <c r="E1721" s="214" t="n"/>
      <c r="F1721" s="262" t="n">
        <v>171250</v>
      </c>
      <c r="G1721" s="263" t="inlineStr">
        <is>
          <t>Bollino biadesivo a forma di cuore</t>
        </is>
      </c>
      <c r="H1721" s="264" t="n">
        <v>1000</v>
      </c>
      <c r="I1721" s="265" t="n">
        <v>0.031</v>
      </c>
      <c r="J1721" s="214" t="n"/>
      <c r="K1721" s="208" t="n"/>
      <c r="L1721" s="424" t="n"/>
      <c r="M1721" s="961" t="n"/>
      <c r="N1721" s="214" t="n"/>
    </row>
    <row r="1722">
      <c r="A1722" s="207" t="n"/>
      <c r="B1722" s="209" t="n"/>
      <c r="C1722" s="207" t="n"/>
      <c r="D1722" s="963" t="n"/>
      <c r="E1722" s="214" t="n"/>
      <c r="F1722" s="262" t="n">
        <v>171251</v>
      </c>
      <c r="G1722" s="263" t="inlineStr">
        <is>
          <t>Bollino biadesivo ellittico mm. 24x14</t>
        </is>
      </c>
      <c r="H1722" s="264" t="n">
        <v>1000</v>
      </c>
      <c r="I1722" s="265" t="n">
        <v>0.023</v>
      </c>
      <c r="J1722" s="214" t="n"/>
      <c r="K1722" s="208" t="n"/>
      <c r="L1722" s="424" t="n"/>
      <c r="M1722" s="961" t="n"/>
      <c r="N1722" s="214" t="n"/>
    </row>
    <row r="1723">
      <c r="A1723" s="207" t="n"/>
      <c r="B1723" s="209" t="n"/>
      <c r="C1723" s="207" t="n"/>
      <c r="D1723" s="963" t="n"/>
      <c r="E1723" s="214" t="n"/>
      <c r="F1723" s="262" t="n">
        <v>171252</v>
      </c>
      <c r="G1723" s="263" t="inlineStr">
        <is>
          <t>Bollino biadesivo ovale mm. 38x18</t>
        </is>
      </c>
      <c r="H1723" s="264" t="n">
        <v>1000</v>
      </c>
      <c r="I1723" s="265" t="n">
        <v>0.031</v>
      </c>
      <c r="J1723" s="214" t="n"/>
      <c r="K1723" s="208" t="n"/>
      <c r="L1723" s="424" t="n"/>
      <c r="M1723" s="961" t="n"/>
      <c r="N1723" s="214" t="n"/>
    </row>
    <row r="1724">
      <c r="A1724" s="207" t="n"/>
      <c r="B1724" s="209" t="n"/>
      <c r="C1724" s="207" t="n"/>
      <c r="D1724" s="963" t="n"/>
      <c r="E1724" s="214" t="n"/>
      <c r="F1724" s="262" t="n">
        <v>171262</v>
      </c>
      <c r="G1724" s="263" t="inlineStr">
        <is>
          <t>Punto colla removibile diametro mm. 9 (rullo da 2000 pz)</t>
        </is>
      </c>
      <c r="H1724" s="264" t="n">
        <v>1</v>
      </c>
      <c r="I1724" s="265" t="n">
        <v>25.958</v>
      </c>
      <c r="J1724" s="214" t="n"/>
      <c r="K1724" s="209" t="n"/>
      <c r="L1724" s="425" t="n"/>
      <c r="M1724" s="961" t="n"/>
      <c r="N1724" s="214" t="n"/>
    </row>
    <row r="1725">
      <c r="A1725" s="207" t="n"/>
      <c r="B1725" s="209" t="n"/>
      <c r="C1725" s="207" t="n"/>
      <c r="D1725" s="963" t="n"/>
      <c r="E1725" s="214" t="n"/>
      <c r="F1725" s="262" t="n">
        <v>171263</v>
      </c>
      <c r="G1725" s="263" t="inlineStr">
        <is>
          <t>Punto colla semi permanente diametro mm. 9 (rullo da 2000 pz)</t>
        </is>
      </c>
      <c r="H1725" s="264" t="n">
        <v>1</v>
      </c>
      <c r="I1725" s="265" t="n">
        <v>25.958</v>
      </c>
      <c r="J1725" s="214" t="n"/>
      <c r="K1725" s="208" t="n"/>
      <c r="L1725" s="424" t="n"/>
      <c r="M1725" s="961" t="n"/>
      <c r="N1725" s="214" t="n"/>
    </row>
    <row r="1726">
      <c r="A1726" s="207" t="n"/>
      <c r="B1726" s="209" t="n"/>
      <c r="C1726" s="207" t="n"/>
      <c r="D1726" s="963" t="n"/>
      <c r="E1726" s="214" t="n"/>
      <c r="F1726" s="262" t="n">
        <v>171264</v>
      </c>
      <c r="G1726" s="263" t="inlineStr">
        <is>
          <t>Punto colla permanente diametro mm. 9 (rullo da 2000 pz)</t>
        </is>
      </c>
      <c r="H1726" s="264" t="n">
        <v>1</v>
      </c>
      <c r="I1726" s="265" t="n">
        <v>25.958</v>
      </c>
      <c r="J1726" s="214" t="n"/>
      <c r="K1726" s="208" t="n"/>
      <c r="L1726" s="424" t="n"/>
      <c r="M1726" s="961" t="n"/>
      <c r="N1726" s="214" t="n"/>
    </row>
    <row r="1727">
      <c r="A1727" s="207" t="n"/>
      <c r="B1727" s="209" t="n"/>
      <c r="C1727" s="207" t="n"/>
      <c r="D1727" s="963" t="n"/>
      <c r="E1727" s="214" t="n"/>
      <c r="F1727" s="262" t="n">
        <v>171270</v>
      </c>
      <c r="G1727" s="263" t="inlineStr">
        <is>
          <t>Bollino biadesivo trasparente tondo diam. mm. 15 (rullo da 500 pz)</t>
        </is>
      </c>
      <c r="H1727" s="264" t="n">
        <v>1</v>
      </c>
      <c r="I1727" s="265" t="n">
        <v>35.7</v>
      </c>
      <c r="J1727" s="214" t="n"/>
      <c r="K1727" s="208" t="n"/>
      <c r="L1727" s="424" t="n"/>
      <c r="M1727" s="961" t="n"/>
      <c r="N1727" s="214" t="n"/>
    </row>
    <row r="1728">
      <c r="A1728" s="207" t="n"/>
      <c r="B1728" s="209" t="n"/>
      <c r="C1728" s="207" t="n"/>
      <c r="D1728" s="963" t="n"/>
      <c r="E1728" s="214" t="n"/>
      <c r="F1728" s="262" t="n">
        <v>171271</v>
      </c>
      <c r="G1728" s="263" t="inlineStr">
        <is>
          <t>Bollino biadesivo trasparente tondo diam. mm. 19 (rullo da 500 pz)</t>
        </is>
      </c>
      <c r="H1728" s="264" t="n">
        <v>1</v>
      </c>
      <c r="I1728" s="265" t="n">
        <v>39.06</v>
      </c>
      <c r="J1728" s="214" t="n"/>
      <c r="K1728" s="208" t="n"/>
      <c r="L1728" s="424" t="n"/>
      <c r="M1728" s="961" t="n"/>
      <c r="N1728" s="214" t="n"/>
    </row>
    <row r="1729">
      <c r="A1729" s="207" t="n"/>
      <c r="B1729" s="209" t="n"/>
      <c r="C1729" s="207" t="n"/>
      <c r="D1729" s="963" t="n"/>
      <c r="E1729" s="214" t="n"/>
      <c r="F1729" s="262" t="n">
        <v>171280</v>
      </c>
      <c r="G1729" s="263" t="inlineStr">
        <is>
          <t>Bollino adesivo chiudibusta diam. mm. 19 rullo da 2000 pezzi</t>
        </is>
      </c>
      <c r="H1729" s="264" t="n">
        <v>1</v>
      </c>
      <c r="I1729" s="265" t="n">
        <v>11.732</v>
      </c>
      <c r="J1729" s="214" t="n"/>
      <c r="K1729" s="209" t="n"/>
      <c r="L1729" s="425" t="n"/>
      <c r="M1729" s="961" t="n"/>
      <c r="N1729" s="214" t="n"/>
    </row>
    <row r="1730">
      <c r="A1730" s="207" t="n"/>
      <c r="B1730" s="209" t="n"/>
      <c r="C1730" s="207" t="n"/>
      <c r="D1730" s="963" t="n"/>
      <c r="E1730" s="214" t="n"/>
      <c r="F1730" s="262" t="n">
        <v>171281</v>
      </c>
      <c r="G1730" s="263" t="inlineStr">
        <is>
          <t>Bollino adesivo chiudibusta diam. mm. 25 rullo da 2000 pezzi</t>
        </is>
      </c>
      <c r="H1730" s="264" t="n">
        <v>1</v>
      </c>
      <c r="I1730" s="265" t="n">
        <v>17.487</v>
      </c>
      <c r="J1730" s="214" t="n"/>
      <c r="K1730" s="209" t="n"/>
      <c r="L1730" s="425" t="n"/>
      <c r="M1730" s="961" t="n"/>
      <c r="N1730" s="214" t="n"/>
    </row>
    <row r="1731">
      <c r="A1731" s="207" t="n"/>
      <c r="B1731" s="209" t="n"/>
      <c r="C1731" s="207" t="n"/>
      <c r="D1731" s="963" t="n"/>
      <c r="E1731" s="214" t="n"/>
      <c r="F1731" s="262" t="n">
        <v>171300</v>
      </c>
      <c r="G1731" s="263" t="inlineStr">
        <is>
          <t>Piedino antisdrucciolo adesivo trasparente diam. mm. 7x1,5</t>
        </is>
      </c>
      <c r="H1731" s="264" t="n">
        <v>1000</v>
      </c>
      <c r="I1731" s="265" t="n">
        <v>0.018</v>
      </c>
      <c r="J1731" s="214" t="n"/>
      <c r="K1731" s="209" t="n"/>
      <c r="L1731" s="425" t="n"/>
      <c r="M1731" s="961" t="n"/>
      <c r="N1731" s="214" t="n"/>
    </row>
    <row r="1732">
      <c r="A1732" s="207" t="n"/>
      <c r="B1732" s="209" t="n"/>
      <c r="C1732" s="207" t="n"/>
      <c r="D1732" s="963" t="n"/>
      <c r="E1732" s="214" t="n"/>
      <c r="F1732" s="262" t="n">
        <v>171301</v>
      </c>
      <c r="G1732" s="263" t="inlineStr">
        <is>
          <t>Piedino antisdrucciolo adesivo trasparente diam. mm. 10x1,5</t>
        </is>
      </c>
      <c r="H1732" s="264" t="n">
        <v>1000</v>
      </c>
      <c r="I1732" s="265" t="n">
        <v>0.02</v>
      </c>
      <c r="J1732" s="214" t="n"/>
      <c r="K1732" s="209" t="n"/>
      <c r="L1732" s="425" t="n"/>
      <c r="M1732" s="961" t="n"/>
      <c r="N1732" s="214" t="n"/>
    </row>
    <row r="1733">
      <c r="A1733" s="207" t="n"/>
      <c r="B1733" s="209" t="n"/>
      <c r="C1733" s="207" t="n"/>
      <c r="D1733" s="963" t="n"/>
      <c r="E1733" s="214" t="n"/>
      <c r="F1733" s="262" t="n">
        <v>171302</v>
      </c>
      <c r="G1733" s="263" t="inlineStr">
        <is>
          <t>Piedino antisdrucciolo adesivo trasparente diam. mm. 10x3</t>
        </is>
      </c>
      <c r="H1733" s="264" t="n">
        <v>1000</v>
      </c>
      <c r="I1733" s="265" t="n">
        <v>0.021</v>
      </c>
      <c r="J1733" s="214" t="n"/>
      <c r="K1733" s="209" t="n"/>
      <c r="L1733" s="425" t="n"/>
      <c r="M1733" s="961" t="n"/>
      <c r="N1733" s="214" t="n"/>
    </row>
    <row r="1734">
      <c r="A1734" s="207" t="n"/>
      <c r="B1734" s="209" t="n"/>
      <c r="C1734" s="207" t="n"/>
      <c r="D1734" s="963" t="n"/>
      <c r="E1734" s="214" t="n"/>
      <c r="F1734" s="262" t="n">
        <v>171303</v>
      </c>
      <c r="G1734" s="263" t="inlineStr">
        <is>
          <t>Piedino antisdrucciolo adesivo trasparente diam. mm. 16x7,9</t>
        </is>
      </c>
      <c r="H1734" s="264" t="n">
        <v>1600</v>
      </c>
      <c r="I1734" s="265" t="n">
        <v>0.193</v>
      </c>
      <c r="J1734" s="214" t="n"/>
      <c r="K1734" s="209" t="n"/>
      <c r="L1734" s="425" t="n"/>
      <c r="M1734" s="961" t="n"/>
      <c r="N1734" s="214" t="n"/>
    </row>
    <row r="1735">
      <c r="A1735" s="207" t="n"/>
      <c r="B1735" s="209" t="n"/>
      <c r="C1735" s="207" t="n"/>
      <c r="D1735" s="963" t="n"/>
      <c r="E1735" s="214" t="n"/>
      <c r="F1735" s="262" t="n">
        <v>171304</v>
      </c>
      <c r="G1735" s="263" t="inlineStr">
        <is>
          <t>Piedino antisdrucciolo adesivo trasparente diam. mm. 8x1,6</t>
        </is>
      </c>
      <c r="H1735" s="264" t="n">
        <v>1000</v>
      </c>
      <c r="I1735" s="265" t="n">
        <v>0.019</v>
      </c>
      <c r="J1735" s="214" t="n"/>
      <c r="K1735" s="208" t="n"/>
      <c r="L1735" s="424" t="n"/>
      <c r="M1735" s="961" t="n"/>
      <c r="N1735" s="214" t="n"/>
    </row>
    <row r="1736">
      <c r="A1736" s="207" t="n"/>
      <c r="B1736" s="209" t="n"/>
      <c r="C1736" s="207" t="n"/>
      <c r="D1736" s="963" t="n"/>
      <c r="E1736" s="214" t="n"/>
      <c r="F1736" s="262" t="n">
        <v>171305</v>
      </c>
      <c r="G1736" s="263" t="inlineStr">
        <is>
          <t>Piedino antisdrucciolo adesivo trasparente diam. mm. 8x2,2</t>
        </is>
      </c>
      <c r="H1736" s="264" t="n">
        <v>1000</v>
      </c>
      <c r="I1736" s="265" t="n">
        <v>0.019</v>
      </c>
      <c r="J1736" s="214" t="n"/>
      <c r="K1736" s="208" t="n"/>
      <c r="L1736" s="424" t="n"/>
      <c r="M1736" s="961" t="n"/>
      <c r="N1736" s="214" t="n"/>
    </row>
    <row r="1737">
      <c r="A1737" s="207" t="n"/>
      <c r="B1737" s="209" t="n"/>
      <c r="C1737" s="207" t="n"/>
      <c r="D1737" s="963" t="n"/>
      <c r="E1737" s="214" t="n"/>
      <c r="F1737" s="262" t="n">
        <v>171309</v>
      </c>
      <c r="G1737" s="263" t="inlineStr">
        <is>
          <t>Piedino antisdrucciolo adesivo trasparente diam. mm. 18X1</t>
        </is>
      </c>
      <c r="H1737" s="264" t="n">
        <v>1008</v>
      </c>
      <c r="I1737" s="265" t="n">
        <v>0.07000000000000001</v>
      </c>
      <c r="J1737" s="214" t="n"/>
      <c r="K1737" s="208" t="n"/>
      <c r="L1737" s="424" t="n"/>
      <c r="M1737" s="961" t="n"/>
      <c r="N1737" s="214" t="n"/>
    </row>
    <row r="1738">
      <c r="A1738" s="207" t="n"/>
      <c r="B1738" s="209" t="n"/>
      <c r="C1738" s="207" t="n"/>
      <c r="D1738" s="963" t="n"/>
      <c r="E1738" s="214" t="n"/>
      <c r="F1738" s="262" t="n">
        <v>171310</v>
      </c>
      <c r="G1738" s="263" t="inlineStr">
        <is>
          <t>Piedino antisdrucciolo adesivo trasparente diam. mm. 13x4</t>
        </is>
      </c>
      <c r="H1738" s="264" t="n">
        <v>1000</v>
      </c>
      <c r="I1738" s="265" t="n">
        <v>0.04</v>
      </c>
      <c r="J1738" s="214" t="n"/>
      <c r="K1738" s="208" t="n"/>
      <c r="L1738" s="424" t="n"/>
      <c r="M1738" s="961" t="n"/>
      <c r="N1738" s="214" t="n"/>
    </row>
    <row r="1739">
      <c r="A1739" s="207" t="n"/>
      <c r="B1739" s="209" t="n"/>
      <c r="C1739" s="207" t="n"/>
      <c r="D1739" s="963" t="n"/>
      <c r="E1739" s="214" t="n"/>
      <c r="F1739" s="262" t="n">
        <v>171311</v>
      </c>
      <c r="G1739" s="263" t="inlineStr">
        <is>
          <t>Piedino antisdrucciolo adesivo trasparente diam. mm. 20x6,2</t>
        </is>
      </c>
      <c r="H1739" s="264" t="n">
        <v>1407</v>
      </c>
      <c r="I1739" s="265" t="n">
        <v>0.353</v>
      </c>
      <c r="J1739" s="214" t="n"/>
      <c r="K1739" s="208" t="n"/>
      <c r="L1739" s="424" t="n"/>
      <c r="M1739" s="961" t="n"/>
      <c r="N1739" s="214" t="n"/>
    </row>
    <row r="1740">
      <c r="A1740" s="207" t="n"/>
      <c r="B1740" s="209" t="n"/>
      <c r="C1740" s="207" t="n"/>
      <c r="D1740" s="963" t="n"/>
      <c r="E1740" s="214" t="n"/>
      <c r="F1740" s="262" t="n">
        <v>171312</v>
      </c>
      <c r="G1740" s="263" t="inlineStr">
        <is>
          <t>Piedino antisdrucciolo adesivo trasparente diam. mm. 10x1</t>
        </is>
      </c>
      <c r="H1740" s="264" t="n">
        <v>1000</v>
      </c>
      <c r="I1740" s="265" t="n">
        <v>0.019</v>
      </c>
      <c r="J1740" s="214" t="n"/>
      <c r="K1740" s="208" t="n"/>
      <c r="L1740" s="424" t="n"/>
      <c r="M1740" s="961" t="n"/>
      <c r="N1740" s="214" t="n"/>
    </row>
    <row r="1741">
      <c r="A1741" s="207" t="n"/>
      <c r="B1741" s="209" t="n"/>
      <c r="C1741" s="207" t="n"/>
      <c r="D1741" s="963" t="n"/>
      <c r="E1741" s="214" t="n"/>
      <c r="F1741" s="262" t="n">
        <v>171317</v>
      </c>
      <c r="G1741" s="263" t="inlineStr">
        <is>
          <t>Piedino antisdrucciolo adesivo trasparente mm. 10x10x2,5</t>
        </is>
      </c>
      <c r="H1741" s="264" t="n">
        <v>1045</v>
      </c>
      <c r="I1741" s="265" t="n">
        <v>0.06900000000000001</v>
      </c>
      <c r="J1741" s="214" t="n"/>
      <c r="K1741" s="208" t="n"/>
      <c r="L1741" s="424" t="n"/>
      <c r="M1741" s="961" t="n"/>
      <c r="N1741" s="214" t="n"/>
    </row>
    <row r="1742">
      <c r="A1742" s="207" t="n"/>
      <c r="B1742" s="209" t="n"/>
      <c r="C1742" s="207" t="n"/>
      <c r="D1742" s="963" t="n"/>
      <c r="E1742" s="214" t="n"/>
      <c r="F1742" s="262" t="n">
        <v>171322</v>
      </c>
      <c r="G1742" s="263" t="inlineStr">
        <is>
          <t>Feltrino adesivo bianco diam. mm. 24, spessore mm. 3,5</t>
        </is>
      </c>
      <c r="H1742" s="264" t="n">
        <v>1008</v>
      </c>
      <c r="I1742" s="265" t="n">
        <v>0.032</v>
      </c>
      <c r="J1742" s="214" t="n"/>
      <c r="K1742" s="208" t="n"/>
      <c r="L1742" s="424" t="n"/>
      <c r="M1742" s="961" t="n"/>
      <c r="N1742" s="214" t="n"/>
    </row>
    <row r="1743">
      <c r="A1743" s="207" t="n"/>
      <c r="B1743" s="209" t="n"/>
      <c r="C1743" s="207" t="n"/>
      <c r="D1743" s="963" t="n"/>
      <c r="E1743" s="214" t="n"/>
      <c r="F1743" s="262" t="n">
        <v>171323</v>
      </c>
      <c r="G1743" s="263" t="inlineStr">
        <is>
          <t>Feltrino adesivo marrone diam. mm. 24, spessore mm. 3,5</t>
        </is>
      </c>
      <c r="H1743" s="264" t="n">
        <v>1008</v>
      </c>
      <c r="I1743" s="265" t="n">
        <v>0.032</v>
      </c>
      <c r="J1743" s="214" t="n"/>
      <c r="K1743" s="208" t="n"/>
      <c r="L1743" s="424" t="n"/>
      <c r="M1743" s="961" t="n"/>
      <c r="N1743" s="214" t="n"/>
    </row>
    <row r="1744">
      <c r="A1744" s="207" t="n"/>
      <c r="B1744" s="209" t="n"/>
      <c r="C1744" s="207" t="n"/>
      <c r="D1744" s="963" t="n"/>
      <c r="E1744" s="214" t="n"/>
      <c r="F1744" s="262" t="n">
        <v>171350</v>
      </c>
      <c r="G1744" s="263" t="inlineStr">
        <is>
          <t>Elastico tondo con capocorda bianco mm. 320</t>
        </is>
      </c>
      <c r="H1744" s="264" t="n">
        <v>1000</v>
      </c>
      <c r="I1744" s="265" t="n">
        <v>0.168</v>
      </c>
      <c r="J1744" s="214" t="n"/>
      <c r="K1744" s="208" t="n"/>
      <c r="L1744" s="424" t="n"/>
      <c r="M1744" s="961" t="n"/>
      <c r="N1744" s="214" t="n"/>
    </row>
    <row r="1745">
      <c r="A1745" s="207" t="n"/>
      <c r="B1745" s="209" t="n"/>
      <c r="C1745" s="207" t="n"/>
      <c r="D1745" s="963" t="n"/>
      <c r="E1745" s="214" t="n"/>
      <c r="F1745" s="262" t="n">
        <v>171400</v>
      </c>
      <c r="G1745" s="263" t="inlineStr">
        <is>
          <t>Bollino di velcro maschio + femmina diametro mm. 35 bianco</t>
        </is>
      </c>
      <c r="H1745" s="264" t="n">
        <v>2</v>
      </c>
      <c r="I1745" s="265" t="n">
        <v>92.58</v>
      </c>
      <c r="J1745" s="214" t="n"/>
      <c r="K1745" s="208" t="n"/>
      <c r="L1745" s="424" t="n"/>
      <c r="M1745" s="961" t="n"/>
      <c r="N1745" s="214" t="n"/>
    </row>
    <row r="1746">
      <c r="A1746" s="207" t="n"/>
      <c r="B1746" s="209" t="n"/>
      <c r="C1746" s="207" t="n"/>
      <c r="D1746" s="963" t="n"/>
      <c r="E1746" s="214" t="n"/>
      <c r="F1746" s="262" t="n">
        <v>171401</v>
      </c>
      <c r="G1746" s="263" t="inlineStr">
        <is>
          <t>Bollino di velcro maschio + femmina diametro mm. 35 nero</t>
        </is>
      </c>
      <c r="H1746" s="264" t="n">
        <v>2</v>
      </c>
      <c r="I1746" s="265" t="n">
        <v>101.72</v>
      </c>
      <c r="J1746" s="214" t="n"/>
      <c r="K1746" s="208" t="n"/>
      <c r="L1746" s="424" t="n"/>
      <c r="M1746" s="961" t="n"/>
      <c r="N1746" s="214" t="n"/>
    </row>
    <row r="1747">
      <c r="A1747" s="207" t="n"/>
      <c r="B1747" s="209" t="n"/>
      <c r="C1747" s="207" t="n"/>
      <c r="D1747" s="963" t="n"/>
      <c r="E1747" s="214" t="n"/>
      <c r="F1747" s="262" t="n">
        <v>171420</v>
      </c>
      <c r="G1747" s="263" t="inlineStr">
        <is>
          <t>Striscia di velcro mm. 20X200 bianca</t>
        </is>
      </c>
      <c r="H1747" s="264" t="n">
        <v>1000</v>
      </c>
      <c r="I1747" s="265" t="n">
        <v>0.46</v>
      </c>
      <c r="J1747" s="214" t="n"/>
      <c r="K1747" s="208" t="n"/>
      <c r="L1747" s="424" t="n"/>
      <c r="M1747" s="961" t="n"/>
      <c r="N1747" s="214" t="n"/>
    </row>
    <row r="1748">
      <c r="A1748" s="207" t="n"/>
      <c r="B1748" s="209" t="n"/>
      <c r="C1748" s="207" t="n"/>
      <c r="D1748" s="963" t="n"/>
      <c r="E1748" s="214" t="n"/>
      <c r="F1748" s="262" t="n">
        <v>171421</v>
      </c>
      <c r="G1748" s="263" t="inlineStr">
        <is>
          <t>Bollino di velcro rettangolare mm. 20X30 bianco</t>
        </is>
      </c>
      <c r="H1748" s="264" t="n">
        <v>2</v>
      </c>
      <c r="I1748" s="265" t="n">
        <v>51.096</v>
      </c>
      <c r="J1748" s="214" t="n"/>
      <c r="K1748" s="208" t="n"/>
      <c r="L1748" s="424" t="n"/>
      <c r="M1748" s="961" t="n"/>
      <c r="N1748" s="214" t="n"/>
    </row>
    <row r="1749">
      <c r="A1749" s="207" t="n"/>
      <c r="B1749" s="209" t="n"/>
      <c r="C1749" s="207" t="n"/>
      <c r="D1749" s="963" t="n"/>
      <c r="E1749" s="214" t="n"/>
      <c r="F1749" s="262" t="n">
        <v>171422</v>
      </c>
      <c r="G1749" s="263" t="inlineStr">
        <is>
          <t>Bollino di velcro rettangolare mm. 20X50 bianco</t>
        </is>
      </c>
      <c r="H1749" s="264" t="n">
        <v>2</v>
      </c>
      <c r="I1749" s="265" t="n">
        <v>70.172</v>
      </c>
      <c r="J1749" s="214" t="n"/>
      <c r="K1749" s="208" t="n"/>
      <c r="L1749" s="424" t="n"/>
      <c r="M1749" s="961" t="n"/>
      <c r="N1749" s="214" t="n"/>
    </row>
    <row r="1750">
      <c r="A1750" s="207" t="n"/>
      <c r="B1750" s="209" t="n"/>
      <c r="C1750" s="207" t="n"/>
      <c r="D1750" s="963" t="n"/>
      <c r="E1750" s="214" t="n"/>
      <c r="F1750" s="262" t="n">
        <v>171423</v>
      </c>
      <c r="G1750" s="263" t="inlineStr">
        <is>
          <t>Bollino di velcro rettangolare mm. 20X60 bianco</t>
        </is>
      </c>
      <c r="H1750" s="264" t="n">
        <v>3</v>
      </c>
      <c r="I1750" s="265" t="n">
        <v>43.341</v>
      </c>
      <c r="J1750" s="214" t="n"/>
      <c r="K1750" s="208" t="n"/>
      <c r="L1750" s="424" t="n"/>
      <c r="M1750" s="961" t="n"/>
      <c r="N1750" s="214" t="n"/>
    </row>
    <row r="1751">
      <c r="A1751" s="207" t="n"/>
      <c r="B1751" s="209" t="n"/>
      <c r="C1751" s="207" t="n"/>
      <c r="D1751" s="963" t="n"/>
      <c r="E1751" s="214" t="n"/>
      <c r="F1751" s="262" t="n">
        <v>171424</v>
      </c>
      <c r="G1751" s="263" t="inlineStr">
        <is>
          <t>Bollino di velcro quadrato mm. 50X50 bianco</t>
        </is>
      </c>
      <c r="H1751" s="264" t="n">
        <v>4</v>
      </c>
      <c r="I1751" s="265" t="n">
        <v>51.892</v>
      </c>
      <c r="J1751" s="214" t="n"/>
      <c r="K1751" s="208" t="n"/>
      <c r="L1751" s="424" t="n"/>
      <c r="M1751" s="961" t="n"/>
      <c r="N1751" s="214" t="n"/>
    </row>
    <row r="1752">
      <c r="A1752" s="207" t="n"/>
      <c r="B1752" s="209" t="n"/>
      <c r="C1752" s="207" t="n"/>
      <c r="D1752" s="963" t="n"/>
      <c r="E1752" s="214" t="n"/>
      <c r="F1752" s="262" t="n">
        <v>171470</v>
      </c>
      <c r="G1752" s="263" t="inlineStr">
        <is>
          <t>1 etichetta adesiva mm 210x297 (prezzo per scatola da 500 pezzi)</t>
        </is>
      </c>
      <c r="H1752" s="264" t="n">
        <v>500</v>
      </c>
      <c r="I1752" s="265">
        <f>33/H1752</f>
        <v/>
      </c>
      <c r="J1752" s="214" t="n"/>
      <c r="K1752" s="208" t="n"/>
      <c r="L1752" s="424" t="n"/>
      <c r="M1752" s="961" t="n"/>
      <c r="N1752" s="214" t="n"/>
    </row>
    <row r="1753">
      <c r="A1753" s="207" t="n"/>
      <c r="B1753" s="209" t="n"/>
      <c r="C1753" s="207" t="n"/>
      <c r="D1753" s="963" t="n"/>
      <c r="E1753" s="214" t="n"/>
      <c r="F1753" s="262" t="n">
        <v>171471</v>
      </c>
      <c r="G1753" s="263" t="inlineStr">
        <is>
          <t>2 etichette adesive 210x148,5 (prezzo per scatola da 500 pezzi)</t>
        </is>
      </c>
      <c r="H1753" s="264" t="n">
        <v>500</v>
      </c>
      <c r="I1753" s="265" t="n">
        <v>0.066</v>
      </c>
      <c r="J1753" s="214" t="n"/>
      <c r="K1753" s="208" t="n"/>
      <c r="L1753" s="424" t="n"/>
      <c r="M1753" s="961" t="n"/>
      <c r="N1753" s="214" t="n"/>
    </row>
    <row r="1754">
      <c r="A1754" s="207" t="n"/>
      <c r="B1754" s="209" t="n"/>
      <c r="C1754" s="207" t="n"/>
      <c r="D1754" s="963" t="n"/>
      <c r="E1754" s="214" t="n"/>
      <c r="F1754" s="262" t="n">
        <v>171472</v>
      </c>
      <c r="G1754" s="263" t="inlineStr">
        <is>
          <t>4 etichette adesive 105x148 (prezzo per scatola da 500 pezzi)</t>
        </is>
      </c>
      <c r="H1754" s="264" t="n">
        <v>500</v>
      </c>
      <c r="I1754" s="265" t="n">
        <v>0.066</v>
      </c>
      <c r="J1754" s="214" t="n"/>
      <c r="K1754" s="208" t="n"/>
      <c r="L1754" s="424" t="n"/>
      <c r="M1754" s="961" t="n"/>
      <c r="N1754" s="214" t="n"/>
    </row>
    <row r="1755">
      <c r="A1755" s="207" t="n"/>
      <c r="B1755" s="209" t="n"/>
      <c r="C1755" s="207" t="n"/>
      <c r="D1755" s="963" t="n"/>
      <c r="E1755" s="214" t="n"/>
      <c r="F1755" s="262" t="n">
        <v>171473</v>
      </c>
      <c r="G1755" s="263" t="inlineStr">
        <is>
          <t>12 etichette adesive 96x43,5 (prezzo per scatola da 500 pezzi)</t>
        </is>
      </c>
      <c r="H1755" s="264" t="n">
        <v>500</v>
      </c>
      <c r="I1755" s="265" t="n">
        <v>0.24</v>
      </c>
      <c r="J1755" s="214" t="n"/>
      <c r="K1755" s="208" t="n"/>
      <c r="L1755" s="424" t="n"/>
      <c r="M1755" s="961" t="n"/>
      <c r="N1755" s="214" t="n"/>
    </row>
    <row r="1756">
      <c r="A1756" s="207" t="n"/>
      <c r="B1756" s="209" t="n"/>
      <c r="C1756" s="207" t="n"/>
      <c r="D1756" s="963" t="n"/>
      <c r="E1756" s="214" t="n"/>
      <c r="F1756" s="262" t="n">
        <v>171474</v>
      </c>
      <c r="G1756" s="263" t="inlineStr">
        <is>
          <t>1 etichetta adesiva 148x210 (prezzo per scatola da 1000 pezzi)</t>
        </is>
      </c>
      <c r="H1756" s="264" t="n">
        <v>1000</v>
      </c>
      <c r="I1756" s="265" t="n">
        <v>0.04305</v>
      </c>
      <c r="J1756" s="214" t="n"/>
      <c r="K1756" s="208" t="n"/>
      <c r="L1756" s="424" t="n"/>
      <c r="M1756" s="961" t="n"/>
      <c r="N1756" s="214" t="n"/>
    </row>
    <row r="1757">
      <c r="A1757" s="207" t="n"/>
      <c r="B1757" s="209" t="n"/>
      <c r="C1757" s="207" t="n"/>
      <c r="D1757" s="963" t="n"/>
      <c r="E1757" s="214" t="n"/>
      <c r="F1757" s="262" t="n">
        <v>171480</v>
      </c>
      <c r="G1757" s="263" t="inlineStr">
        <is>
          <t>Etichette adesive a trasferim. termico, neutre mm 95x120 diam mm 50 (prezzo a r</t>
        </is>
      </c>
      <c r="H1757" s="264" t="n">
        <v>6000</v>
      </c>
      <c r="I1757" s="265" t="n">
        <v>0.0045</v>
      </c>
      <c r="J1757" s="214" t="n"/>
      <c r="K1757" s="209" t="n"/>
      <c r="L1757" s="425" t="n"/>
      <c r="M1757" s="961" t="n"/>
      <c r="N1757" s="214" t="n"/>
    </row>
    <row r="1758">
      <c r="A1758" s="207" t="n"/>
      <c r="B1758" s="209" t="n"/>
      <c r="C1758" s="207" t="n"/>
      <c r="D1758" s="963" t="n"/>
      <c r="E1758" s="214" t="n"/>
      <c r="F1758" s="262" t="n">
        <v>171481</v>
      </c>
      <c r="G1758" s="263" t="inlineStr">
        <is>
          <t>Etichette adesive in carta termica mm 105x205 diam. mm 76 (prezzo a rullo 1000</t>
        </is>
      </c>
      <c r="H1758" s="264" t="n">
        <v>4000</v>
      </c>
      <c r="I1758" s="265" t="n">
        <v>0.0046875</v>
      </c>
      <c r="J1758" s="214" t="n"/>
      <c r="K1758" s="209" t="n"/>
      <c r="L1758" s="425" t="n"/>
      <c r="M1758" s="961" t="n"/>
      <c r="N1758" s="214" t="n"/>
    </row>
    <row r="1759">
      <c r="A1759" s="207" t="n"/>
      <c r="B1759" s="209" t="n"/>
      <c r="C1759" s="207" t="n"/>
      <c r="D1759" s="963" t="n"/>
      <c r="E1759" s="214" t="n"/>
      <c r="F1759" s="262" t="n">
        <v>171482</v>
      </c>
      <c r="G1759" s="263" t="inlineStr">
        <is>
          <t>Etichette adesive in carta termica mm 105x205 diam. mm 40 (prezzo a rullo 250 p</t>
        </is>
      </c>
      <c r="H1759" s="264" t="n">
        <v>6750</v>
      </c>
      <c r="I1759" s="265" t="n">
        <v>0.00188</v>
      </c>
      <c r="J1759" s="214" t="n"/>
      <c r="K1759" s="208" t="n"/>
      <c r="L1759" s="424" t="n"/>
      <c r="M1759" s="961" t="n"/>
      <c r="N1759" s="214" t="n"/>
    </row>
    <row r="1760">
      <c r="A1760" s="207" t="n"/>
      <c r="B1760" s="209" t="n"/>
      <c r="C1760" s="207" t="n"/>
      <c r="D1760" s="963" t="n"/>
      <c r="E1760" s="214" t="n"/>
      <c r="F1760" s="262" t="n">
        <v>171483</v>
      </c>
      <c r="G1760" s="263" t="inlineStr">
        <is>
          <t>Etichette adesive a trasferim. termico, neutre mm 100x160 diam mm 76 (prezzo a</t>
        </is>
      </c>
      <c r="H1760" s="264" t="n">
        <v>6400</v>
      </c>
      <c r="I1760" s="265" t="n">
        <v>0.0019828125</v>
      </c>
      <c r="J1760" s="214" t="n"/>
      <c r="K1760" s="208" t="n"/>
      <c r="L1760" s="424" t="n"/>
      <c r="M1760" s="961" t="n"/>
      <c r="N1760" s="214" t="n"/>
    </row>
    <row r="1761">
      <c r="A1761" s="207" t="n"/>
      <c r="B1761" s="209" t="n"/>
      <c r="C1761" s="207" t="n"/>
      <c r="D1761" s="963" t="n"/>
      <c r="E1761" s="214" t="n"/>
      <c r="F1761" s="262" t="n">
        <v>171484</v>
      </c>
      <c r="G1761" s="263" t="inlineStr">
        <is>
          <t>Etichette adesive in carta termica mm 100x160 diam. mm 76 (prezzo a rullo 800 p</t>
        </is>
      </c>
      <c r="H1761" s="264" t="n">
        <v>6400</v>
      </c>
      <c r="I1761" s="265" t="n">
        <v>0.0021984375</v>
      </c>
      <c r="J1761" s="214" t="n"/>
      <c r="K1761" s="208" t="n"/>
      <c r="L1761" s="424" t="n"/>
      <c r="M1761" s="961" t="n"/>
      <c r="N1761" s="214" t="n"/>
    </row>
    <row r="1762">
      <c r="A1762" s="207" t="n"/>
      <c r="B1762" s="209" t="n"/>
      <c r="C1762" s="207" t="n"/>
      <c r="D1762" s="963" t="n"/>
      <c r="E1762" s="214" t="n"/>
      <c r="F1762" s="262" t="n">
        <v>171485</v>
      </c>
      <c r="G1762" s="263" t="inlineStr">
        <is>
          <t>Etichette adesive in piega a trasfer. Termico, mm 150x213,5 (prezzo per scatola d</t>
        </is>
      </c>
      <c r="H1762" s="264" t="n">
        <v>2000</v>
      </c>
      <c r="I1762" s="265" t="n">
        <v>0.027</v>
      </c>
      <c r="J1762" s="214" t="n"/>
      <c r="K1762" s="209" t="n"/>
      <c r="L1762" s="425" t="n"/>
      <c r="M1762" s="961" t="n"/>
      <c r="N1762" s="214" t="n"/>
    </row>
    <row r="1763">
      <c r="A1763" s="207" t="n"/>
      <c r="B1763" s="209" t="n"/>
      <c r="C1763" s="207" t="n"/>
      <c r="D1763" s="963" t="n"/>
      <c r="E1763" s="214" t="n"/>
      <c r="F1763" s="262" t="n">
        <v>171486</v>
      </c>
      <c r="G1763" s="263" t="inlineStr">
        <is>
          <t>Etichette adesive a trasferim. termico, neutre mm 150x210 diam mm 76 (prezzo a</t>
        </is>
      </c>
      <c r="H1763" s="264" t="n">
        <v>2000</v>
      </c>
      <c r="I1763" s="265" t="n">
        <v>0.027</v>
      </c>
      <c r="J1763" s="214" t="n"/>
      <c r="K1763" s="209" t="n"/>
      <c r="L1763" s="425" t="n"/>
      <c r="M1763" s="961" t="n"/>
      <c r="N1763" s="214" t="n"/>
    </row>
    <row r="1764">
      <c r="A1764" s="207" t="n"/>
      <c r="B1764" s="209" t="n"/>
      <c r="C1764" s="207" t="n"/>
      <c r="D1764" s="963" t="n"/>
      <c r="E1764" s="214" t="n"/>
      <c r="F1764" s="262" t="n">
        <v>171487</v>
      </c>
      <c r="G1764" s="263" t="inlineStr">
        <is>
          <t>Etichette adesive aeree in piega in carta vellum mm 102x128 (prezzo per scatola</t>
        </is>
      </c>
      <c r="H1764" s="264" t="n">
        <v>6000</v>
      </c>
      <c r="I1764" s="265" t="n">
        <v>0.024</v>
      </c>
      <c r="J1764" s="214" t="n"/>
      <c r="K1764" s="208" t="n"/>
      <c r="L1764" s="424" t="n"/>
      <c r="M1764" s="961" t="n"/>
      <c r="N1764" s="214" t="n"/>
    </row>
    <row r="1765">
      <c r="A1765" s="207" t="n"/>
      <c r="B1765" s="209" t="n"/>
      <c r="C1765" s="207" t="n"/>
      <c r="D1765" s="963" t="n"/>
      <c r="E1765" s="214" t="n"/>
      <c r="F1765" s="262" t="n">
        <v>171488</v>
      </c>
      <c r="G1765" s="263" t="inlineStr">
        <is>
          <t>Etichette adesive aeree in piega in carta vellum mm 104x251 ( prezzo per scatola</t>
        </is>
      </c>
      <c r="H1765" s="264" t="n">
        <v>6000</v>
      </c>
      <c r="I1765" s="265" t="n">
        <v>0.015</v>
      </c>
      <c r="J1765" s="214" t="n"/>
      <c r="K1765" s="208" t="n"/>
      <c r="L1765" s="424" t="n"/>
      <c r="M1765" s="961" t="n"/>
      <c r="N1765" s="214" t="n"/>
    </row>
    <row r="1766">
      <c r="A1766" s="207" t="n"/>
      <c r="B1766" s="209" t="n"/>
      <c r="C1766" s="207" t="n"/>
      <c r="D1766" s="963" t="n"/>
      <c r="E1766" s="214" t="n"/>
      <c r="F1766" s="262" t="n">
        <v>171489</v>
      </c>
      <c r="G1766" s="263" t="inlineStr">
        <is>
          <t>Etichette adesive aeree in piega in carta termica mm 104x251 (prezzo per scatola</t>
        </is>
      </c>
      <c r="H1766" s="264" t="n">
        <v>3000</v>
      </c>
      <c r="I1766" s="265" t="n">
        <v>0.0465</v>
      </c>
      <c r="J1766" s="214" t="n"/>
      <c r="K1766" s="208" t="n"/>
      <c r="L1766" s="424" t="n"/>
      <c r="M1766" s="961" t="n"/>
      <c r="N1766" s="214" t="n"/>
    </row>
    <row r="1767">
      <c r="A1767" s="207" t="n"/>
      <c r="B1767" s="209" t="n"/>
      <c r="C1767" s="207" t="n"/>
      <c r="D1767" s="963" t="n"/>
      <c r="E1767" s="214" t="n"/>
      <c r="F1767" s="262" t="n">
        <v>171510</v>
      </c>
      <c r="G1767" s="263" t="inlineStr">
        <is>
          <t>Pallet in legno e plastica nero</t>
        </is>
      </c>
      <c r="H1767" s="264" t="n">
        <v>1</v>
      </c>
      <c r="I1767" s="265" t="n">
        <v>7.316</v>
      </c>
      <c r="J1767" s="214" t="n"/>
      <c r="K1767" s="209" t="n"/>
      <c r="L1767" s="425" t="n"/>
      <c r="M1767" s="961" t="n"/>
      <c r="N1767" s="214" t="n"/>
    </row>
    <row r="1768">
      <c r="A1768" s="207" t="n"/>
      <c r="B1768" s="209" t="n"/>
      <c r="C1768" s="207" t="n"/>
      <c r="D1768" s="963" t="n"/>
      <c r="E1768" s="214" t="n"/>
      <c r="F1768" s="262" t="n">
        <v>171511</v>
      </c>
      <c r="G1768" s="263" t="inlineStr">
        <is>
          <t>Pallet in legno pressato</t>
        </is>
      </c>
      <c r="H1768" s="264" t="n">
        <v>1</v>
      </c>
      <c r="I1768" s="265" t="n">
        <v>6.075</v>
      </c>
      <c r="J1768" s="214" t="n"/>
      <c r="K1768" s="209" t="n"/>
      <c r="L1768" s="425" t="n"/>
      <c r="M1768" s="961" t="n"/>
      <c r="N1768" s="214" t="n"/>
    </row>
    <row r="1769">
      <c r="A1769" s="207" t="n"/>
      <c r="B1769" s="209" t="n"/>
      <c r="C1769" s="207" t="n"/>
      <c r="D1769" s="963" t="n"/>
      <c r="E1769" s="214" t="n"/>
      <c r="F1769" s="262" t="n">
        <v>340200</v>
      </c>
      <c r="G1769" s="263" t="inlineStr">
        <is>
          <t>Separatore reversibile small h. mm 55 - lungh. mm 280</t>
        </is>
      </c>
      <c r="H1769" s="264" t="n">
        <v>50</v>
      </c>
      <c r="I1769" s="265" t="n">
        <v>1.549</v>
      </c>
      <c r="J1769" s="214" t="n"/>
      <c r="K1769" s="208" t="n"/>
      <c r="L1769" s="424" t="n"/>
      <c r="M1769" s="961" t="n"/>
      <c r="N1769" s="214" t="n"/>
    </row>
    <row r="1770">
      <c r="A1770" s="207" t="n"/>
      <c r="B1770" s="209" t="n"/>
      <c r="C1770" s="207" t="n"/>
      <c r="D1770" s="963" t="n"/>
      <c r="E1770" s="214" t="n"/>
      <c r="F1770" s="262" t="n">
        <v>340202</v>
      </c>
      <c r="G1770" s="263" t="inlineStr">
        <is>
          <t>Separatore reversibile small h. mm 55 - lungh. mm 360</t>
        </is>
      </c>
      <c r="H1770" s="264" t="n">
        <v>50</v>
      </c>
      <c r="I1770" s="265" t="n">
        <v>1.093</v>
      </c>
      <c r="J1770" s="214" t="n"/>
      <c r="K1770" s="208" t="n"/>
      <c r="L1770" s="424" t="n"/>
      <c r="M1770" s="961" t="n"/>
      <c r="N1770" s="214" t="n"/>
    </row>
    <row r="1771">
      <c r="A1771" s="207" t="n"/>
      <c r="B1771" s="209" t="n"/>
      <c r="C1771" s="207" t="n"/>
      <c r="D1771" s="963" t="n"/>
      <c r="E1771" s="214" t="n"/>
      <c r="F1771" s="262" t="n">
        <v>340203</v>
      </c>
      <c r="G1771" s="263" t="inlineStr">
        <is>
          <t>Separatore reversibile small h. mm 55 - lungh. mm 380</t>
        </is>
      </c>
      <c r="H1771" s="264" t="n">
        <v>50</v>
      </c>
      <c r="I1771" s="265" t="n">
        <v>1.162</v>
      </c>
      <c r="J1771" s="214" t="n"/>
      <c r="K1771" s="208" t="n"/>
      <c r="L1771" s="424" t="n"/>
      <c r="M1771" s="961" t="n"/>
      <c r="N1771" s="214" t="n"/>
    </row>
    <row r="1772">
      <c r="A1772" s="207" t="n"/>
      <c r="B1772" s="209" t="n"/>
      <c r="C1772" s="207" t="n"/>
      <c r="D1772" s="963" t="n"/>
      <c r="E1772" s="214" t="n"/>
      <c r="F1772" s="262" t="n">
        <v>340204</v>
      </c>
      <c r="G1772" s="263" t="inlineStr">
        <is>
          <t>Separatore reversibile small h. mm 55 - lungh. mm 430</t>
        </is>
      </c>
      <c r="H1772" s="264" t="n">
        <v>50</v>
      </c>
      <c r="I1772" s="265" t="n">
        <v>1.559</v>
      </c>
      <c r="J1772" s="214" t="n"/>
      <c r="K1772" s="208" t="n"/>
      <c r="L1772" s="424" t="n"/>
      <c r="M1772" s="961" t="n"/>
      <c r="N1772" s="214" t="n"/>
    </row>
    <row r="1773">
      <c r="A1773" s="207" t="n"/>
      <c r="B1773" s="209" t="n"/>
      <c r="C1773" s="207" t="n"/>
      <c r="D1773" s="963" t="n"/>
      <c r="E1773" s="214" t="n"/>
      <c r="F1773" s="262" t="n">
        <v>340206</v>
      </c>
      <c r="G1773" s="263" t="inlineStr">
        <is>
          <t>Separatore reversibile small h. mm 55 - lungh. mm 480</t>
        </is>
      </c>
      <c r="H1773" s="264" t="n">
        <v>50</v>
      </c>
      <c r="I1773" s="265" t="n">
        <v>1.358</v>
      </c>
      <c r="J1773" s="214" t="n"/>
      <c r="K1773" s="208" t="n"/>
      <c r="L1773" s="424" t="n"/>
      <c r="M1773" s="961" t="n"/>
      <c r="N1773" s="214" t="n"/>
    </row>
    <row r="1774">
      <c r="A1774" s="207" t="n"/>
      <c r="B1774" s="209" t="n"/>
      <c r="C1774" s="207" t="n"/>
      <c r="D1774" s="963" t="n"/>
      <c r="E1774" s="214" t="n"/>
      <c r="F1774" s="262" t="n">
        <v>340210</v>
      </c>
      <c r="G1774" s="263" t="inlineStr">
        <is>
          <t>Separatore reversibile medium h. mm 100 - lungh. mm 280</t>
        </is>
      </c>
      <c r="H1774" s="264" t="n">
        <v>50</v>
      </c>
      <c r="I1774" s="265" t="n">
        <v>1.331</v>
      </c>
      <c r="J1774" s="214" t="n"/>
      <c r="K1774" s="208" t="n"/>
      <c r="L1774" s="424" t="n"/>
      <c r="M1774" s="961" t="n"/>
      <c r="N1774" s="214" t="n"/>
    </row>
    <row r="1775">
      <c r="A1775" s="207" t="n"/>
      <c r="B1775" s="209" t="n"/>
      <c r="C1775" s="207" t="n"/>
      <c r="D1775" s="963" t="n"/>
      <c r="E1775" s="214" t="n"/>
      <c r="F1775" s="262" t="n">
        <v>340211</v>
      </c>
      <c r="G1775" s="263" t="inlineStr">
        <is>
          <t>Separatore reversibile medium h. mm 100 - lungh. mm 330</t>
        </is>
      </c>
      <c r="H1775" s="264" t="n">
        <v>50</v>
      </c>
      <c r="I1775" s="265" t="n">
        <v>1.5</v>
      </c>
      <c r="J1775" s="214" t="n"/>
      <c r="K1775" s="208" t="n"/>
      <c r="L1775" s="424" t="n"/>
      <c r="M1775" s="961" t="n"/>
      <c r="N1775" s="214" t="n"/>
    </row>
    <row r="1776">
      <c r="A1776" s="207" t="n"/>
      <c r="B1776" s="209" t="n"/>
      <c r="C1776" s="207" t="n"/>
      <c r="D1776" s="963" t="n"/>
      <c r="E1776" s="214" t="n"/>
      <c r="F1776" s="262" t="n">
        <v>340212</v>
      </c>
      <c r="G1776" s="263" t="inlineStr">
        <is>
          <t>Separatore reversibile medium h. mm 100 - lungh. mm 360</t>
        </is>
      </c>
      <c r="H1776" s="264" t="n">
        <v>50</v>
      </c>
      <c r="I1776" s="265" t="n">
        <v>1.573</v>
      </c>
      <c r="J1776" s="214" t="n"/>
      <c r="K1776" s="208" t="n"/>
      <c r="L1776" s="424" t="n"/>
      <c r="M1776" s="961" t="n"/>
      <c r="N1776" s="214" t="n"/>
    </row>
    <row r="1777">
      <c r="A1777" s="207" t="n"/>
      <c r="B1777" s="209" t="n"/>
      <c r="C1777" s="207" t="n"/>
      <c r="D1777" s="963" t="n"/>
      <c r="E1777" s="214" t="n"/>
      <c r="F1777" s="262" t="n">
        <v>340213</v>
      </c>
      <c r="G1777" s="263" t="inlineStr">
        <is>
          <t>Separatore reversibile medium h. mm 100 - lungh. mm 380</t>
        </is>
      </c>
      <c r="H1777" s="264" t="n">
        <v>50</v>
      </c>
      <c r="I1777" s="265" t="n">
        <v>1.573</v>
      </c>
      <c r="J1777" s="214" t="n"/>
      <c r="K1777" s="208" t="n"/>
      <c r="L1777" s="424" t="n"/>
      <c r="M1777" s="961" t="n"/>
      <c r="N1777" s="214" t="n"/>
    </row>
    <row r="1778">
      <c r="A1778" s="207" t="n"/>
      <c r="B1778" s="209" t="n"/>
      <c r="C1778" s="207" t="n"/>
      <c r="D1778" s="963" t="n"/>
      <c r="E1778" s="214" t="n"/>
      <c r="F1778" s="262" t="n">
        <v>340214</v>
      </c>
      <c r="G1778" s="263" t="inlineStr">
        <is>
          <t>Separatore reversibile medium h. mm 100 - lungh. mm 430</t>
        </is>
      </c>
      <c r="H1778" s="264" t="n">
        <v>50</v>
      </c>
      <c r="I1778" s="265" t="n">
        <v>1.742</v>
      </c>
      <c r="J1778" s="214" t="n"/>
      <c r="K1778" s="208" t="n"/>
      <c r="L1778" s="424" t="n"/>
      <c r="M1778" s="961" t="n"/>
      <c r="N1778" s="214" t="n"/>
    </row>
    <row r="1779">
      <c r="A1779" s="207" t="n"/>
      <c r="B1779" s="209" t="n"/>
      <c r="C1779" s="207" t="n"/>
      <c r="D1779" s="963" t="n"/>
      <c r="E1779" s="214" t="n"/>
      <c r="F1779" s="262" t="n">
        <v>340215</v>
      </c>
      <c r="G1779" s="263" t="inlineStr">
        <is>
          <t>Separatore reversibile medium h. mm 100 - lungh. mm 460</t>
        </is>
      </c>
      <c r="H1779" s="264" t="n">
        <v>50</v>
      </c>
      <c r="I1779" s="265" t="n">
        <v>2.13</v>
      </c>
      <c r="J1779" s="214" t="n"/>
      <c r="K1779" s="208" t="n"/>
      <c r="L1779" s="424" t="n"/>
      <c r="M1779" s="961" t="n"/>
      <c r="N1779" s="214" t="n"/>
    </row>
    <row r="1780">
      <c r="A1780" s="207" t="n"/>
      <c r="B1780" s="209" t="n"/>
      <c r="C1780" s="207" t="n"/>
      <c r="D1780" s="963" t="n"/>
      <c r="E1780" s="214" t="n"/>
      <c r="F1780" s="262" t="n">
        <v>340216</v>
      </c>
      <c r="G1780" s="263" t="inlineStr">
        <is>
          <t>Separatore reversibile medium h. mm 100 - lungh. mm 480</t>
        </is>
      </c>
      <c r="H1780" s="264" t="n">
        <v>50</v>
      </c>
      <c r="I1780" s="265" t="n">
        <v>1.694</v>
      </c>
      <c r="J1780" s="214" t="n"/>
      <c r="K1780" s="208" t="n"/>
      <c r="L1780" s="424" t="n"/>
      <c r="M1780" s="961" t="n"/>
      <c r="N1780" s="214" t="n"/>
    </row>
    <row r="1781">
      <c r="A1781" s="207" t="n"/>
      <c r="B1781" s="209" t="n"/>
      <c r="C1781" s="207" t="n"/>
      <c r="D1781" s="963" t="n"/>
      <c r="E1781" s="214" t="n"/>
      <c r="F1781" s="262" t="n">
        <v>340221</v>
      </c>
      <c r="G1781" s="263" t="inlineStr">
        <is>
          <t>Separatore reversibile large h. mm 180 - lungh. mm 330</t>
        </is>
      </c>
      <c r="H1781" s="264" t="n">
        <v>50</v>
      </c>
      <c r="I1781" s="265" t="n">
        <v>3.728</v>
      </c>
      <c r="J1781" s="214" t="n"/>
      <c r="K1781" s="208" t="n"/>
      <c r="L1781" s="424" t="n"/>
      <c r="M1781" s="961" t="n"/>
      <c r="N1781" s="214" t="n"/>
    </row>
    <row r="1782">
      <c r="A1782" s="207" t="n"/>
      <c r="B1782" s="209" t="n"/>
      <c r="C1782" s="207" t="n"/>
      <c r="D1782" s="963" t="n"/>
      <c r="E1782" s="214" t="n"/>
      <c r="F1782" s="262" t="n">
        <v>340222</v>
      </c>
      <c r="G1782" s="263" t="inlineStr">
        <is>
          <t>Separatore reversibile large h. mm 180 - lungh. mm 380</t>
        </is>
      </c>
      <c r="H1782" s="264" t="n">
        <v>50</v>
      </c>
      <c r="I1782" s="265" t="n">
        <v>3.461</v>
      </c>
      <c r="J1782" s="214" t="n"/>
      <c r="K1782" s="208" t="n"/>
      <c r="L1782" s="424" t="n"/>
      <c r="M1782" s="961" t="n"/>
      <c r="N1782" s="214" t="n"/>
    </row>
    <row r="1783">
      <c r="A1783" s="207" t="n"/>
      <c r="B1783" s="209" t="n"/>
      <c r="C1783" s="207" t="n"/>
      <c r="D1783" s="963" t="n"/>
      <c r="E1783" s="214" t="n"/>
      <c r="F1783" s="262" t="n">
        <v>340223</v>
      </c>
      <c r="G1783" s="263" t="inlineStr">
        <is>
          <t>Separatore reversibile large h. mm 180 - lungh. mm 430</t>
        </is>
      </c>
      <c r="H1783" s="264" t="n">
        <v>50</v>
      </c>
      <c r="I1783" s="265" t="n">
        <v>4.361</v>
      </c>
      <c r="J1783" s="214" t="n"/>
      <c r="K1783" s="208" t="n"/>
      <c r="L1783" s="424" t="n"/>
      <c r="M1783" s="961" t="n"/>
      <c r="N1783" s="214" t="n"/>
    </row>
    <row r="1784">
      <c r="A1784" s="207" t="n"/>
      <c r="B1784" s="209" t="n"/>
      <c r="C1784" s="207" t="n"/>
      <c r="D1784" s="963" t="n"/>
      <c r="E1784" s="214" t="n"/>
      <c r="F1784" s="262" t="n">
        <v>340224</v>
      </c>
      <c r="G1784" s="263" t="inlineStr">
        <is>
          <t>Separatore reversibile large h. mm 180 - lungh. mm 480</t>
        </is>
      </c>
      <c r="H1784" s="264" t="n">
        <v>50</v>
      </c>
      <c r="I1784" s="265" t="n">
        <v>3.63</v>
      </c>
      <c r="J1784" s="214" t="n"/>
      <c r="K1784" s="208" t="n"/>
      <c r="L1784" s="424" t="n"/>
      <c r="M1784" s="961" t="n"/>
      <c r="N1784" s="214" t="n"/>
    </row>
    <row r="1785">
      <c r="A1785" s="207" t="n"/>
      <c r="B1785" s="209" t="n"/>
      <c r="C1785" s="207" t="n"/>
      <c r="D1785" s="963" t="n"/>
      <c r="E1785" s="214" t="n"/>
      <c r="F1785" s="262" t="n">
        <v>340225</v>
      </c>
      <c r="G1785" s="263" t="inlineStr">
        <is>
          <t>Separatore reversibile large h. mm 180 - lungh. mm 530</t>
        </is>
      </c>
      <c r="H1785" s="264" t="n">
        <v>50</v>
      </c>
      <c r="I1785" s="265" t="n">
        <v>4.966</v>
      </c>
      <c r="J1785" s="214" t="n"/>
      <c r="K1785" s="208" t="n"/>
      <c r="L1785" s="424" t="n"/>
      <c r="M1785" s="961" t="n"/>
      <c r="N1785" s="214" t="n"/>
    </row>
    <row r="1786">
      <c r="A1786" s="207" t="n"/>
      <c r="B1786" s="209" t="n"/>
      <c r="C1786" s="207" t="n"/>
      <c r="D1786" s="963" t="n"/>
      <c r="E1786" s="214" t="n"/>
      <c r="F1786" s="262" t="n">
        <v>340226</v>
      </c>
      <c r="G1786" s="263" t="inlineStr">
        <is>
          <t>Separatore reversibile large h. mm 180 - lungh. mm 580</t>
        </is>
      </c>
      <c r="H1786" s="264" t="n">
        <v>50</v>
      </c>
      <c r="I1786" s="265" t="n">
        <v>5.504</v>
      </c>
      <c r="J1786" s="214" t="n"/>
      <c r="K1786" s="208" t="n"/>
      <c r="L1786" s="424" t="n"/>
      <c r="M1786" s="961" t="n"/>
      <c r="N1786" s="214" t="n"/>
    </row>
    <row r="1787">
      <c r="A1787" s="207" t="n"/>
      <c r="B1787" s="209" t="n"/>
      <c r="C1787" s="207" t="n"/>
      <c r="D1787" s="963" t="n"/>
      <c r="E1787" s="214" t="n"/>
      <c r="F1787" s="262" t="n">
        <v>340230</v>
      </c>
      <c r="G1787" s="263" t="inlineStr">
        <is>
          <t>Separatore spezzabile extra small h. mm 35 lungh. mm 180-380</t>
        </is>
      </c>
      <c r="H1787" s="264" t="n">
        <v>50</v>
      </c>
      <c r="I1787" s="265" t="n">
        <v>1.21</v>
      </c>
      <c r="J1787" s="214" t="n"/>
      <c r="K1787" s="208" t="n"/>
      <c r="L1787" s="424" t="n"/>
      <c r="M1787" s="961" t="n"/>
      <c r="N1787" s="214" t="n"/>
    </row>
    <row r="1788">
      <c r="A1788" s="207" t="n"/>
      <c r="B1788" s="209" t="n"/>
      <c r="C1788" s="207" t="n"/>
      <c r="D1788" s="963" t="n"/>
      <c r="E1788" s="214" t="n"/>
      <c r="F1788" s="262" t="n">
        <v>340240</v>
      </c>
      <c r="G1788" s="263" t="inlineStr">
        <is>
          <t>Separatore spezzabile small h. mm 55 lungh. mm 180-380</t>
        </is>
      </c>
      <c r="H1788" s="264" t="n">
        <v>50</v>
      </c>
      <c r="I1788" s="265" t="n">
        <v>1.476</v>
      </c>
      <c r="J1788" s="214" t="n"/>
      <c r="K1788" s="208" t="n"/>
      <c r="L1788" s="424" t="n"/>
      <c r="M1788" s="961" t="n"/>
      <c r="N1788" s="214" t="n"/>
    </row>
    <row r="1789">
      <c r="A1789" s="207" t="n"/>
      <c r="B1789" s="209" t="n"/>
      <c r="C1789" s="207" t="n"/>
      <c r="D1789" s="963" t="n"/>
      <c r="E1789" s="214" t="n"/>
      <c r="F1789" s="262" t="n">
        <v>340241</v>
      </c>
      <c r="G1789" s="263" t="inlineStr">
        <is>
          <t>Separatore spezzabile small h. mm 55 lungh. mm 280-480</t>
        </is>
      </c>
      <c r="H1789" s="264" t="n">
        <v>50</v>
      </c>
      <c r="I1789" s="265" t="n">
        <v>1.847</v>
      </c>
      <c r="J1789" s="214" t="n"/>
      <c r="K1789" s="208" t="n"/>
      <c r="L1789" s="424" t="n"/>
      <c r="M1789" s="961" t="n"/>
      <c r="N1789" s="214" t="n"/>
    </row>
    <row r="1790">
      <c r="A1790" s="207" t="n"/>
      <c r="B1790" s="209" t="n"/>
      <c r="C1790" s="207" t="n"/>
      <c r="D1790" s="963" t="n"/>
      <c r="E1790" s="214" t="n"/>
      <c r="F1790" s="262" t="n">
        <v>340242</v>
      </c>
      <c r="G1790" s="263" t="inlineStr">
        <is>
          <t>Separatore spezzabile small h. mm 55 lungh. mm 380-580</t>
        </is>
      </c>
      <c r="H1790" s="264" t="n">
        <v>50</v>
      </c>
      <c r="I1790" s="265" t="n">
        <v>2.363</v>
      </c>
      <c r="J1790" s="214" t="n"/>
      <c r="K1790" s="208" t="n"/>
      <c r="L1790" s="424" t="n"/>
      <c r="M1790" s="961" t="n"/>
      <c r="N1790" s="214" t="n"/>
    </row>
    <row r="1791">
      <c r="A1791" s="207" t="n"/>
      <c r="B1791" s="209" t="n"/>
      <c r="C1791" s="207" t="n"/>
      <c r="D1791" s="963" t="n"/>
      <c r="E1791" s="214" t="n"/>
      <c r="F1791" s="262" t="n">
        <v>340250</v>
      </c>
      <c r="G1791" s="263" t="inlineStr">
        <is>
          <t>Separatore spezzabile medium h. mm 100 lungh. mm 280-480</t>
        </is>
      </c>
      <c r="H1791" s="264" t="n">
        <v>50</v>
      </c>
      <c r="I1791" s="265" t="n">
        <v>2.13</v>
      </c>
      <c r="J1791" s="214" t="n"/>
      <c r="K1791" s="208" t="n"/>
      <c r="L1791" s="424" t="n"/>
      <c r="M1791" s="961" t="n"/>
      <c r="N1791" s="214" t="n"/>
    </row>
    <row r="1792">
      <c r="A1792" s="207" t="n"/>
      <c r="B1792" s="209" t="n"/>
      <c r="C1792" s="207" t="n"/>
      <c r="D1792" s="963" t="n"/>
      <c r="E1792" s="214" t="n"/>
      <c r="F1792" s="262" t="n">
        <v>340251</v>
      </c>
      <c r="G1792" s="263" t="inlineStr">
        <is>
          <t>Separatore spezzabile medium h. mm 100 lungh. mm 380-580</t>
        </is>
      </c>
      <c r="H1792" s="264" t="n">
        <v>50</v>
      </c>
      <c r="I1792" s="265" t="n">
        <v>3.139</v>
      </c>
      <c r="J1792" s="214" t="n"/>
      <c r="K1792" s="208" t="n"/>
      <c r="L1792" s="424" t="n"/>
      <c r="M1792" s="961" t="n"/>
      <c r="N1792" s="214" t="n"/>
    </row>
    <row r="1793">
      <c r="A1793" s="207" t="n"/>
      <c r="B1793" s="209" t="n"/>
      <c r="C1793" s="207" t="n"/>
      <c r="D1793" s="963" t="n"/>
      <c r="E1793" s="214" t="n"/>
      <c r="F1793" s="262" t="n">
        <v>340260</v>
      </c>
      <c r="G1793" s="263" t="inlineStr">
        <is>
          <t>Fermo small per separatore h. mm 39 - largh. mm 40</t>
        </is>
      </c>
      <c r="H1793" s="264" t="n">
        <v>50</v>
      </c>
      <c r="I1793" s="265" t="n">
        <v>0.339</v>
      </c>
      <c r="J1793" s="214" t="n"/>
      <c r="K1793" s="208" t="n"/>
      <c r="L1793" s="424" t="n"/>
      <c r="M1793" s="961" t="n"/>
      <c r="N1793" s="214" t="n"/>
    </row>
    <row r="1794">
      <c r="A1794" s="207" t="n"/>
      <c r="B1794" s="209" t="n"/>
      <c r="C1794" s="207" t="n"/>
      <c r="D1794" s="963" t="n"/>
      <c r="E1794" s="214" t="n"/>
      <c r="F1794" s="262" t="n">
        <v>340261</v>
      </c>
      <c r="G1794" s="263" t="inlineStr">
        <is>
          <t>Fermo small per separatore h. mm 39 - largh. mm 33</t>
        </is>
      </c>
      <c r="H1794" s="264" t="n">
        <v>50</v>
      </c>
      <c r="I1794" s="265" t="n">
        <v>0.49</v>
      </c>
      <c r="J1794" s="214" t="n"/>
      <c r="K1794" s="208" t="n"/>
      <c r="L1794" s="424" t="n"/>
      <c r="M1794" s="961" t="n"/>
      <c r="N1794" s="214" t="n"/>
    </row>
    <row r="1795">
      <c r="A1795" s="207" t="n"/>
      <c r="B1795" s="209" t="n"/>
      <c r="C1795" s="207" t="n"/>
      <c r="D1795" s="963" t="n"/>
      <c r="E1795" s="214" t="n"/>
      <c r="F1795" s="262" t="n">
        <v>340263</v>
      </c>
      <c r="G1795" s="263" t="inlineStr">
        <is>
          <t>Fermo medium per separatore h. mm 90 - largh. mm 40</t>
        </is>
      </c>
      <c r="H1795" s="264" t="n">
        <v>50</v>
      </c>
      <c r="I1795" s="265" t="n">
        <v>0.363</v>
      </c>
      <c r="J1795" s="214" t="n"/>
      <c r="K1795" s="208" t="n"/>
      <c r="L1795" s="424" t="n"/>
      <c r="M1795" s="961" t="n"/>
      <c r="N1795" s="214" t="n"/>
    </row>
    <row r="1796">
      <c r="A1796" s="207" t="n"/>
      <c r="B1796" s="209" t="n"/>
      <c r="C1796" s="207" t="n"/>
      <c r="D1796" s="963" t="n"/>
      <c r="E1796" s="214" t="n"/>
      <c r="F1796" s="262" t="n">
        <v>340264</v>
      </c>
      <c r="G1796" s="263" t="inlineStr">
        <is>
          <t>Fermo medium per separatore h. mm 90 - largh. mm 33</t>
        </is>
      </c>
      <c r="H1796" s="264" t="n">
        <v>50</v>
      </c>
      <c r="I1796" s="265" t="n">
        <v>0.532</v>
      </c>
      <c r="J1796" s="214" t="n"/>
      <c r="K1796" s="208" t="n"/>
      <c r="L1796" s="424" t="n"/>
      <c r="M1796" s="961" t="n"/>
      <c r="N1796" s="214" t="n"/>
    </row>
    <row r="1797">
      <c r="A1797" s="207" t="n"/>
      <c r="B1797" s="209" t="n"/>
      <c r="C1797" s="207" t="n"/>
      <c r="D1797" s="963" t="n"/>
      <c r="E1797" s="214" t="n"/>
      <c r="F1797" s="267" t="n">
        <v>340266</v>
      </c>
      <c r="G1797" s="270" t="inlineStr">
        <is>
          <t>Fermo large per separatore h. mm 150 - largh. mm 30</t>
        </is>
      </c>
      <c r="H1797" s="264" t="n">
        <v>50</v>
      </c>
      <c r="I1797" s="265" t="n">
        <v>0.774</v>
      </c>
      <c r="J1797" s="214" t="n"/>
      <c r="K1797" s="208" t="n"/>
      <c r="L1797" s="424" t="n"/>
      <c r="M1797" s="961" t="n"/>
      <c r="N1797" s="214" t="n"/>
    </row>
    <row r="1798">
      <c r="A1798" s="207" t="n"/>
      <c r="B1798" s="209" t="n"/>
      <c r="C1798" s="207" t="n"/>
      <c r="D1798" s="963" t="n"/>
      <c r="E1798" s="214" t="n"/>
      <c r="F1798" s="267" t="n">
        <v>340267</v>
      </c>
      <c r="G1798" s="270" t="inlineStr">
        <is>
          <t>Fermo large per separatore h. mm 150 - largh. mm 40</t>
        </is>
      </c>
      <c r="H1798" s="264" t="n">
        <v>20</v>
      </c>
      <c r="I1798" s="265" t="n">
        <v>1.452</v>
      </c>
      <c r="J1798" s="214" t="n"/>
      <c r="K1798" s="208" t="n"/>
      <c r="L1798" s="424" t="n"/>
      <c r="M1798" s="961" t="n"/>
      <c r="N1798" s="214" t="n"/>
    </row>
    <row r="1799">
      <c r="A1799" s="207" t="n"/>
      <c r="B1799" s="209" t="n"/>
      <c r="C1799" s="207" t="n"/>
      <c r="D1799" s="963" t="n"/>
      <c r="E1799" s="214" t="n"/>
      <c r="F1799" s="267" t="n">
        <v>340269</v>
      </c>
      <c r="G1799" s="270" t="inlineStr">
        <is>
          <t>Fermo extralarge per separatore h. mm 120 - largh. mm 99</t>
        </is>
      </c>
      <c r="H1799" s="264" t="n">
        <v>20</v>
      </c>
      <c r="I1799" s="265" t="n">
        <v>1.358</v>
      </c>
      <c r="J1799" s="214" t="n"/>
      <c r="K1799" s="208" t="n"/>
      <c r="L1799" s="424" t="n"/>
      <c r="M1799" s="961" t="n"/>
      <c r="N1799" s="214" t="n"/>
    </row>
    <row r="1800">
      <c r="A1800" s="207" t="n"/>
      <c r="B1800" s="209" t="n"/>
      <c r="C1800" s="207" t="n"/>
      <c r="D1800" s="963" t="n"/>
      <c r="E1800" s="214" t="n"/>
      <c r="F1800" s="267" t="n">
        <v>340270</v>
      </c>
      <c r="G1800" s="270" t="inlineStr">
        <is>
          <t>Fermo extralarge per separatore h. mm 120 - largh. mm 33</t>
        </is>
      </c>
      <c r="H1800" s="264" t="n">
        <v>20</v>
      </c>
      <c r="I1800" s="265" t="n">
        <v>1.864</v>
      </c>
      <c r="J1800" s="214" t="n"/>
      <c r="K1800" s="209" t="n"/>
      <c r="L1800" s="425" t="n"/>
      <c r="M1800" s="961" t="n"/>
      <c r="N1800" s="214" t="n"/>
    </row>
    <row r="1801">
      <c r="A1801" s="207" t="n"/>
      <c r="B1801" s="209" t="n"/>
      <c r="C1801" s="207" t="n"/>
      <c r="D1801" s="963" t="n"/>
      <c r="E1801" s="214" t="n"/>
      <c r="F1801" s="267" t="n">
        <v>350010</v>
      </c>
      <c r="G1801" s="270" t="inlineStr">
        <is>
          <t>Profilo porta prezzi piatto, 1 piega, adesivo mm. 10X1000</t>
        </is>
      </c>
      <c r="H1801" s="264" t="n">
        <v>20</v>
      </c>
      <c r="I1801" s="265" t="n">
        <v>0.887</v>
      </c>
      <c r="J1801" s="214" t="n"/>
      <c r="K1801" s="208" t="n"/>
      <c r="L1801" s="424" t="n"/>
      <c r="M1801" s="961" t="n"/>
      <c r="N1801" s="214" t="n"/>
    </row>
    <row r="1802">
      <c r="A1802" s="207" t="n"/>
      <c r="B1802" s="209" t="n"/>
      <c r="C1802" s="207" t="n"/>
      <c r="D1802" s="963" t="n"/>
      <c r="E1802" s="214" t="n"/>
      <c r="F1802" s="267" t="n">
        <v>350017</v>
      </c>
      <c r="G1802" s="270" t="inlineStr">
        <is>
          <t>Profilo porta prezzi piatto, 1 piega, adesivo mm. 17X1000</t>
        </is>
      </c>
      <c r="H1802" s="264" t="n">
        <v>20</v>
      </c>
      <c r="I1802" s="265" t="n">
        <v>1.127</v>
      </c>
      <c r="J1802" s="214" t="n"/>
      <c r="K1802" s="208" t="n"/>
      <c r="L1802" s="424" t="n"/>
      <c r="M1802" s="961" t="n"/>
      <c r="N1802" s="214" t="n"/>
    </row>
    <row r="1803">
      <c r="A1803" s="207" t="n"/>
      <c r="B1803" s="209" t="n"/>
      <c r="C1803" s="207" t="n"/>
      <c r="D1803" s="963" t="n"/>
      <c r="E1803" s="214" t="n"/>
      <c r="F1803" s="267" t="n">
        <v>350018</v>
      </c>
      <c r="G1803" s="270" t="inlineStr">
        <is>
          <t>Profilo porta prezzi piatto, 1 piega, adesivo mm. 18X1000</t>
        </is>
      </c>
      <c r="H1803" s="264" t="n">
        <v>20</v>
      </c>
      <c r="I1803" s="265" t="n">
        <v>1.199</v>
      </c>
      <c r="J1803" s="214" t="n"/>
      <c r="K1803" s="209" t="n"/>
      <c r="L1803" s="425" t="n"/>
      <c r="M1803" s="961" t="n"/>
      <c r="N1803" s="214" t="n"/>
    </row>
    <row r="1804">
      <c r="A1804" s="207" t="n"/>
      <c r="B1804" s="209" t="n"/>
      <c r="C1804" s="207" t="n"/>
      <c r="D1804" s="963" t="n"/>
      <c r="E1804" s="214" t="n"/>
      <c r="F1804" s="267" t="n">
        <v>350020</v>
      </c>
      <c r="G1804" s="270" t="inlineStr">
        <is>
          <t>Profilo porta prezzi piatto, 1 piega, adesivo mm. 20X1000</t>
        </is>
      </c>
      <c r="H1804" s="264" t="n">
        <v>20</v>
      </c>
      <c r="I1804" s="265" t="n">
        <v>1.199</v>
      </c>
      <c r="J1804" s="214" t="n"/>
      <c r="K1804" s="209" t="n"/>
      <c r="L1804" s="425" t="n"/>
      <c r="M1804" s="961" t="n"/>
      <c r="N1804" s="214" t="n"/>
    </row>
    <row r="1805">
      <c r="A1805" s="207" t="n"/>
      <c r="B1805" s="209" t="n"/>
      <c r="C1805" s="207" t="n"/>
      <c r="D1805" s="963" t="n"/>
      <c r="E1805" s="214" t="n"/>
      <c r="F1805" s="267" t="n">
        <v>350025</v>
      </c>
      <c r="G1805" s="270" t="inlineStr">
        <is>
          <t>Profilo porta prezzi piatto, 1 piega, adesivo mm. 25X1000</t>
        </is>
      </c>
      <c r="H1805" s="264" t="n">
        <v>20</v>
      </c>
      <c r="I1805" s="265" t="n">
        <v>1.343</v>
      </c>
      <c r="J1805" s="214" t="n"/>
      <c r="K1805" s="209" t="n"/>
      <c r="L1805" s="425" t="n"/>
      <c r="M1805" s="961" t="n"/>
      <c r="N1805" s="214" t="n"/>
    </row>
    <row r="1806">
      <c r="A1806" s="207" t="n"/>
      <c r="B1806" s="209" t="n"/>
      <c r="C1806" s="207" t="n"/>
      <c r="D1806" s="963" t="n"/>
      <c r="E1806" s="214" t="n"/>
      <c r="F1806" s="267" t="n">
        <v>350028</v>
      </c>
      <c r="G1806" s="270" t="inlineStr">
        <is>
          <t>Profilo porta prezzi piatto, 1 piega, adesivo, mm 28x1000 ANTIRIFLESSO</t>
        </is>
      </c>
      <c r="H1806" s="264" t="n">
        <v>20</v>
      </c>
      <c r="I1806" s="265" t="n">
        <v>1.006</v>
      </c>
      <c r="J1806" s="214" t="n"/>
      <c r="K1806" s="209" t="n"/>
      <c r="L1806" s="425" t="n"/>
      <c r="M1806" s="961" t="n"/>
      <c r="N1806" s="214" t="n"/>
    </row>
    <row r="1807">
      <c r="A1807" s="207" t="n"/>
      <c r="B1807" s="209" t="n"/>
      <c r="C1807" s="207" t="n"/>
      <c r="D1807" s="963" t="n"/>
      <c r="E1807" s="214" t="n"/>
      <c r="F1807" s="267" t="n">
        <v>350030</v>
      </c>
      <c r="G1807" s="270" t="inlineStr">
        <is>
          <t>Profilo porta prezzi piatto, 1 piega, adesivo mm. 30X1000</t>
        </is>
      </c>
      <c r="H1807" s="264" t="n">
        <v>20</v>
      </c>
      <c r="I1807" s="265" t="n">
        <v>1.343</v>
      </c>
      <c r="J1807" s="214" t="n"/>
      <c r="K1807" s="209" t="n"/>
      <c r="L1807" s="425" t="n"/>
      <c r="M1807" s="961" t="n"/>
      <c r="N1807" s="214" t="n"/>
    </row>
    <row r="1808">
      <c r="A1808" s="207" t="n"/>
      <c r="B1808" s="209" t="n"/>
      <c r="C1808" s="207" t="n"/>
      <c r="D1808" s="963" t="n"/>
      <c r="E1808" s="214" t="n"/>
      <c r="F1808" s="267" t="n">
        <v>350031</v>
      </c>
      <c r="G1808" s="270" t="inlineStr">
        <is>
          <t>Profilo porta prezzi piatto, 1 piega, adesivo centrale mm. 38X1330</t>
        </is>
      </c>
      <c r="H1808" s="264" t="n">
        <v>20</v>
      </c>
      <c r="I1808" s="265" t="n">
        <v>1.881</v>
      </c>
      <c r="J1808" s="214" t="n"/>
      <c r="K1808" s="209" t="n"/>
      <c r="L1808" s="425" t="n"/>
      <c r="M1808" s="961" t="n"/>
      <c r="N1808" s="214" t="n"/>
    </row>
    <row r="1809">
      <c r="A1809" s="207" t="n"/>
      <c r="B1809" s="209" t="n"/>
      <c r="C1809" s="207" t="n"/>
      <c r="D1809" s="963" t="n"/>
      <c r="E1809" s="214" t="n"/>
      <c r="F1809" s="267" t="n">
        <v>350032</v>
      </c>
      <c r="G1809" s="270" t="inlineStr">
        <is>
          <t>Profilo porta prezzi piatto, 1 piega, adesivo mm. 32X1000</t>
        </is>
      </c>
      <c r="H1809" s="264" t="n">
        <v>20</v>
      </c>
      <c r="I1809" s="265" t="n">
        <v>1.439</v>
      </c>
      <c r="J1809" s="214" t="n"/>
      <c r="K1809" s="208" t="n"/>
      <c r="L1809" s="424" t="n"/>
      <c r="M1809" s="961" t="n"/>
      <c r="N1809" s="214" t="n"/>
    </row>
    <row r="1810">
      <c r="A1810" s="207" t="n"/>
      <c r="B1810" s="209" t="n"/>
      <c r="C1810" s="207" t="n"/>
      <c r="D1810" s="963" t="n"/>
      <c r="E1810" s="214" t="n"/>
      <c r="F1810" s="267" t="n">
        <v>350035</v>
      </c>
      <c r="G1810" s="270" t="inlineStr">
        <is>
          <t>Profilo porta prezzi piatto, 1 piega, adesivo mm. 35X1000</t>
        </is>
      </c>
      <c r="H1810" s="264" t="n">
        <v>20</v>
      </c>
      <c r="I1810" s="265" t="n">
        <v>1.487</v>
      </c>
      <c r="J1810" s="214" t="n"/>
      <c r="K1810" s="209" t="n"/>
      <c r="L1810" s="425" t="n"/>
      <c r="M1810" s="961" t="n"/>
      <c r="N1810" s="214" t="n"/>
    </row>
    <row r="1811">
      <c r="A1811" s="207" t="n"/>
      <c r="B1811" s="209" t="n"/>
      <c r="C1811" s="207" t="n"/>
      <c r="D1811" s="963" t="n"/>
      <c r="E1811" s="214" t="n"/>
      <c r="F1811" s="267" t="n">
        <v>350040</v>
      </c>
      <c r="G1811" s="270" t="inlineStr">
        <is>
          <t>Profilo porta prezzi piatto, 1 piega, adesivo mm. 40X1000</t>
        </is>
      </c>
      <c r="H1811" s="264" t="n">
        <v>20</v>
      </c>
      <c r="I1811" s="265" t="n">
        <v>1.583</v>
      </c>
      <c r="J1811" s="214" t="n"/>
      <c r="K1811" s="208" t="n"/>
      <c r="L1811" s="424" t="n"/>
      <c r="M1811" s="961" t="n"/>
      <c r="N1811" s="214" t="n"/>
    </row>
    <row r="1812">
      <c r="A1812" s="207" t="n"/>
      <c r="B1812" s="209" t="n"/>
      <c r="C1812" s="207" t="n"/>
      <c r="D1812" s="963" t="n"/>
      <c r="E1812" s="214" t="n"/>
      <c r="F1812" s="267" t="n">
        <v>350041</v>
      </c>
      <c r="G1812" s="270" t="inlineStr">
        <is>
          <t>Profilo porta prezzi con guida di posa, adesivo mm. 38X1330</t>
        </is>
      </c>
      <c r="H1812" s="264" t="n">
        <v>20</v>
      </c>
      <c r="I1812" s="265" t="n">
        <v>2.409</v>
      </c>
      <c r="J1812" s="214" t="n"/>
      <c r="K1812" s="208" t="n"/>
      <c r="L1812" s="424" t="n"/>
      <c r="M1812" s="961" t="n"/>
      <c r="N1812" s="214" t="n"/>
    </row>
    <row r="1813">
      <c r="A1813" s="207" t="n"/>
      <c r="B1813" s="209" t="n"/>
      <c r="C1813" s="207" t="n"/>
      <c r="D1813" s="963" t="n"/>
      <c r="E1813" s="214" t="n"/>
      <c r="F1813" s="267" t="n">
        <v>350050</v>
      </c>
      <c r="G1813" s="270" t="inlineStr">
        <is>
          <t>Profilo porta prezzi piatto, 1 piega, adesivo mm. 50X1000</t>
        </is>
      </c>
      <c r="H1813" s="264" t="n">
        <v>20</v>
      </c>
      <c r="I1813" s="265" t="n">
        <v>1.607</v>
      </c>
      <c r="J1813" s="214" t="n"/>
      <c r="K1813" s="209" t="n"/>
      <c r="L1813" s="425" t="n"/>
      <c r="M1813" s="961" t="n"/>
      <c r="N1813" s="214" t="n"/>
    </row>
    <row r="1814">
      <c r="A1814" s="207" t="n"/>
      <c r="B1814" s="209" t="n"/>
      <c r="C1814" s="207" t="n"/>
      <c r="D1814" s="963" t="n"/>
      <c r="E1814" s="214" t="n"/>
      <c r="F1814" s="267" t="n">
        <v>350055</v>
      </c>
      <c r="G1814" s="270" t="inlineStr">
        <is>
          <t>Profilo porta prezzi piatto, 1 piega, adesivo mm. 55X1000</t>
        </is>
      </c>
      <c r="H1814" s="264" t="n">
        <v>20</v>
      </c>
      <c r="I1814" s="265" t="n">
        <v>2.183</v>
      </c>
      <c r="J1814" s="214" t="n"/>
      <c r="K1814" s="209" t="n"/>
      <c r="L1814" s="425" t="n"/>
      <c r="M1814" s="961" t="n"/>
      <c r="N1814" s="214" t="n"/>
    </row>
    <row r="1815">
      <c r="A1815" s="207" t="n"/>
      <c r="B1815" s="209" t="n"/>
      <c r="C1815" s="207" t="n"/>
      <c r="D1815" s="963" t="n"/>
      <c r="E1815" s="214" t="n"/>
      <c r="F1815" s="267" t="n">
        <v>350060</v>
      </c>
      <c r="G1815" s="270" t="inlineStr">
        <is>
          <t>Profilo porta prezzi piatto, 1 piega, adesivo mm. 60X1000</t>
        </is>
      </c>
      <c r="H1815" s="264" t="n">
        <v>20</v>
      </c>
      <c r="I1815" s="265" t="n">
        <v>2.447</v>
      </c>
      <c r="J1815" s="214" t="n"/>
      <c r="K1815" s="209" t="n"/>
      <c r="L1815" s="425" t="n"/>
      <c r="M1815" s="961" t="n"/>
      <c r="N1815" s="214" t="n"/>
    </row>
    <row r="1816">
      <c r="A1816" s="207" t="n"/>
      <c r="B1816" s="209" t="n"/>
      <c r="C1816" s="207" t="n"/>
      <c r="D1816" s="963" t="n"/>
      <c r="E1816" s="214" t="n"/>
      <c r="F1816" s="267" t="n">
        <v>350061</v>
      </c>
      <c r="G1816" s="270" t="inlineStr">
        <is>
          <t>Profilo porta prezzi con aletta protettiva, adesivo mm. 38X1330</t>
        </is>
      </c>
      <c r="H1816" s="264" t="n">
        <v>20</v>
      </c>
      <c r="I1816" s="265" t="n">
        <v>2.121</v>
      </c>
      <c r="J1816" s="214" t="n"/>
      <c r="K1816" s="209" t="n"/>
      <c r="L1816" s="425" t="n"/>
      <c r="M1816" s="961" t="n"/>
      <c r="N1816" s="214" t="n"/>
    </row>
    <row r="1817">
      <c r="A1817" s="207" t="n"/>
      <c r="B1817" s="209" t="n"/>
      <c r="C1817" s="207" t="n"/>
      <c r="D1817" s="963" t="n"/>
      <c r="E1817" s="214" t="n"/>
      <c r="F1817" s="267" t="n">
        <v>350063</v>
      </c>
      <c r="G1817" s="270" t="inlineStr">
        <is>
          <t>Profilo porta prezzi piatto, 1 piega, adesivo, aletta post. Bassa, mm 60x1000 ANTI</t>
        </is>
      </c>
      <c r="H1817" s="264" t="n">
        <v>20</v>
      </c>
      <c r="I1817" s="265" t="n">
        <v>1.424</v>
      </c>
      <c r="J1817" s="214" t="n"/>
      <c r="K1817" s="209" t="n"/>
      <c r="L1817" s="425" t="n"/>
      <c r="M1817" s="961" t="n"/>
      <c r="N1817" s="214" t="n"/>
    </row>
    <row r="1818">
      <c r="A1818" s="207" t="n"/>
      <c r="B1818" s="209" t="n"/>
      <c r="C1818" s="207" t="n"/>
      <c r="D1818" s="963" t="n"/>
      <c r="E1818" s="214" t="n"/>
      <c r="F1818" s="267" t="n">
        <v>350091</v>
      </c>
      <c r="G1818" s="270" t="inlineStr">
        <is>
          <t>Profilo porta prezzi inclinato,adesivo mm. 38X1330</t>
        </is>
      </c>
      <c r="H1818" s="264" t="n">
        <v>20</v>
      </c>
      <c r="I1818" s="265" t="n">
        <v>3.114</v>
      </c>
      <c r="J1818" s="214" t="n"/>
      <c r="K1818" s="209" t="n"/>
      <c r="L1818" s="425" t="n"/>
      <c r="M1818" s="961" t="n"/>
      <c r="N1818" s="214" t="n"/>
    </row>
    <row r="1819">
      <c r="A1819" s="207" t="n"/>
      <c r="B1819" s="209" t="n"/>
      <c r="C1819" s="207" t="n"/>
      <c r="D1819" s="963" t="n"/>
      <c r="E1819" s="214" t="n"/>
      <c r="F1819" s="267" t="n">
        <v>350110</v>
      </c>
      <c r="G1819" s="270" t="inlineStr">
        <is>
          <t>Profilo porta prezzi piatto, 1 piega, adesivo mm. 38X1330</t>
        </is>
      </c>
      <c r="H1819" s="264" t="n">
        <v>20</v>
      </c>
      <c r="I1819" s="265" t="n">
        <v>2.121</v>
      </c>
      <c r="J1819" s="214" t="n"/>
      <c r="K1819" s="209" t="n"/>
      <c r="L1819" s="425" t="n"/>
      <c r="M1819" s="961" t="n"/>
      <c r="N1819" s="214" t="n"/>
    </row>
    <row r="1820">
      <c r="A1820" s="207" t="n"/>
      <c r="B1820" s="209" t="n"/>
      <c r="C1820" s="207" t="n"/>
      <c r="D1820" s="963" t="n"/>
      <c r="E1820" s="214" t="n"/>
      <c r="F1820" s="267" t="n">
        <v>350132</v>
      </c>
      <c r="G1820" s="270" t="inlineStr">
        <is>
          <t>Profilo porta prezzi, adesivo, aletta bassa, mm. 32x1000</t>
        </is>
      </c>
      <c r="H1820" s="264" t="n">
        <v>20</v>
      </c>
      <c r="I1820" s="265" t="n">
        <v>1.151</v>
      </c>
      <c r="J1820" s="214" t="n"/>
      <c r="K1820" s="209" t="n"/>
      <c r="L1820" s="425" t="n"/>
      <c r="M1820" s="961" t="n"/>
      <c r="N1820" s="214" t="n"/>
    </row>
    <row r="1821">
      <c r="A1821" s="207" t="n"/>
      <c r="B1821" s="209" t="n"/>
      <c r="C1821" s="207" t="n"/>
      <c r="D1821" s="963" t="n"/>
      <c r="E1821" s="214" t="n"/>
      <c r="F1821" s="267" t="n">
        <v>350133</v>
      </c>
      <c r="G1821" s="270" t="inlineStr">
        <is>
          <t>Profilo porta prezzi adesivo mm. 32x1000 - per etichette h. mm. 20</t>
        </is>
      </c>
      <c r="H1821" s="264" t="n">
        <v>20</v>
      </c>
      <c r="I1821" s="265" t="n">
        <v>1.538</v>
      </c>
      <c r="J1821" s="214" t="n"/>
      <c r="K1821" s="209" t="n"/>
      <c r="L1821" s="425" t="n"/>
      <c r="M1821" s="961" t="n"/>
      <c r="N1821" s="214" t="n"/>
    </row>
    <row r="1822">
      <c r="A1822" s="207" t="n"/>
      <c r="B1822" s="209" t="n"/>
      <c r="C1822" s="207" t="n"/>
      <c r="D1822" s="963" t="n"/>
      <c r="E1822" s="214" t="n"/>
      <c r="F1822" s="267" t="n">
        <v>350134</v>
      </c>
      <c r="G1822" s="270" t="inlineStr">
        <is>
          <t>Profilo porta prezzi adesivo mm. 42x1000 - per etichette h. mm. 30</t>
        </is>
      </c>
      <c r="H1822" s="264" t="n">
        <v>20</v>
      </c>
      <c r="I1822" s="265" t="n">
        <v>1.61</v>
      </c>
      <c r="J1822" s="214" t="n"/>
      <c r="K1822" s="209" t="n"/>
      <c r="L1822" s="425" t="n"/>
      <c r="M1822" s="961" t="n"/>
      <c r="N1822" s="214" t="n"/>
    </row>
    <row r="1823">
      <c r="A1823" s="207" t="n"/>
      <c r="B1823" s="209" t="n"/>
      <c r="C1823" s="207" t="n"/>
      <c r="D1823" s="963" t="n"/>
      <c r="E1823" s="214" t="n"/>
      <c r="F1823" s="267" t="n">
        <v>350150</v>
      </c>
      <c r="G1823" s="270" t="inlineStr">
        <is>
          <t>Profilo porta prezzi piatto, 1 piega, adesivo, mm. 50x1000</t>
        </is>
      </c>
      <c r="H1823" s="264" t="n">
        <v>20</v>
      </c>
      <c r="I1823" s="265" t="n">
        <v>1.94</v>
      </c>
      <c r="J1823" s="214" t="n"/>
      <c r="K1823" s="209" t="n"/>
      <c r="L1823" s="425" t="n"/>
      <c r="M1823" s="961" t="n"/>
      <c r="N1823" s="214" t="n"/>
    </row>
    <row r="1824">
      <c r="A1824" s="207" t="n"/>
      <c r="B1824" s="209" t="n"/>
      <c r="C1824" s="207" t="n"/>
      <c r="D1824" s="963" t="n"/>
      <c r="E1824" s="214" t="n"/>
      <c r="F1824" s="267" t="n">
        <v>350160</v>
      </c>
      <c r="G1824" s="270" t="inlineStr">
        <is>
          <t>Profilo porta prezzi piatto, 1 piega, adesivo centrale  mm. 60X1000</t>
        </is>
      </c>
      <c r="H1824" s="264" t="n">
        <v>20</v>
      </c>
      <c r="I1824" s="265" t="n">
        <v>2.279</v>
      </c>
      <c r="J1824" s="214" t="n"/>
      <c r="K1824" s="209" t="n"/>
      <c r="L1824" s="425" t="n"/>
      <c r="M1824" s="961" t="n"/>
      <c r="N1824" s="214" t="n"/>
    </row>
    <row r="1825">
      <c r="A1825" s="207" t="n"/>
      <c r="B1825" s="209" t="n"/>
      <c r="C1825" s="207" t="n"/>
      <c r="D1825" s="963" t="n"/>
      <c r="E1825" s="214" t="n"/>
      <c r="F1825" s="267" t="n">
        <v>350210</v>
      </c>
      <c r="G1825" s="270" t="inlineStr">
        <is>
          <t>Profilo porta prezzi piatto, 1 piega, adesivo nella parte inferiore mm. 38X1330</t>
        </is>
      </c>
      <c r="H1825" s="264" t="n">
        <v>20</v>
      </c>
      <c r="I1825" s="265" t="n">
        <v>2.169</v>
      </c>
      <c r="J1825" s="214" t="n"/>
      <c r="K1825" s="209" t="n"/>
      <c r="L1825" s="425" t="n"/>
      <c r="M1825" s="961" t="n"/>
      <c r="N1825" s="214" t="n"/>
    </row>
    <row r="1826">
      <c r="A1826" s="207" t="n"/>
      <c r="B1826" s="209" t="n"/>
      <c r="C1826" s="207" t="n"/>
      <c r="D1826" s="963" t="n"/>
      <c r="E1826" s="214" t="n"/>
      <c r="F1826" s="267" t="n">
        <v>350250</v>
      </c>
      <c r="G1826" s="270" t="inlineStr">
        <is>
          <t>Profilo porta prezzi piatto, 1 piega, adesivo centrale, mm. 50x1000</t>
        </is>
      </c>
      <c r="H1826" s="264" t="n">
        <v>20</v>
      </c>
      <c r="I1826" s="265" t="n">
        <v>1.94</v>
      </c>
      <c r="J1826" s="214" t="n"/>
      <c r="K1826" s="209" t="n"/>
      <c r="L1826" s="425" t="n"/>
      <c r="M1826" s="961" t="n"/>
      <c r="N1826" s="214" t="n"/>
    </row>
    <row r="1827">
      <c r="A1827" s="207" t="n"/>
      <c r="B1827" s="209" t="n"/>
      <c r="C1827" s="207" t="n"/>
      <c r="D1827" s="963" t="n"/>
      <c r="E1827" s="214" t="n"/>
      <c r="F1827" s="267" t="n">
        <v>350350</v>
      </c>
      <c r="G1827" s="270" t="inlineStr">
        <is>
          <t>Profilo porta prezzi piatto, 1 piega, adesivo superiore, mm. 50x1000</t>
        </is>
      </c>
      <c r="H1827" s="264" t="n">
        <v>20</v>
      </c>
      <c r="I1827" s="265" t="n">
        <v>1.775</v>
      </c>
      <c r="J1827" s="214" t="n"/>
      <c r="K1827" s="209" t="n"/>
      <c r="L1827" s="425" t="n"/>
      <c r="M1827" s="961" t="n"/>
      <c r="N1827" s="214" t="n"/>
    </row>
    <row r="1828">
      <c r="A1828" s="207" t="n"/>
      <c r="B1828" s="209" t="n"/>
      <c r="C1828" s="207" t="n"/>
      <c r="D1828" s="963" t="n"/>
      <c r="E1828" s="214" t="n"/>
      <c r="F1828" s="267" t="n">
        <v>350450</v>
      </c>
      <c r="G1828" s="270" t="inlineStr">
        <is>
          <t>Profilo porta prezzi con guida di possa, adesivo, mm. 50x1000</t>
        </is>
      </c>
      <c r="H1828" s="264" t="n">
        <v>20</v>
      </c>
      <c r="I1828" s="265" t="n">
        <v>1.871</v>
      </c>
      <c r="J1828" s="214" t="n"/>
      <c r="K1828" s="209" t="n"/>
      <c r="L1828" s="425" t="n"/>
      <c r="M1828" s="961" t="n"/>
      <c r="N1828" s="214" t="n"/>
    </row>
    <row r="1829">
      <c r="A1829" s="207" t="n"/>
      <c r="B1829" s="209" t="n"/>
      <c r="C1829" s="207" t="n"/>
      <c r="D1829" s="963" t="n"/>
      <c r="E1829" s="214" t="n"/>
      <c r="F1829" s="267" t="n">
        <v>350700</v>
      </c>
      <c r="G1829" s="270" t="inlineStr">
        <is>
          <t>Porta prezzi piatto, 1 piega, adesivo mm. 32x50</t>
        </is>
      </c>
      <c r="H1829" s="264" t="n">
        <v>20</v>
      </c>
      <c r="I1829" s="265" t="n">
        <v>0.16</v>
      </c>
      <c r="J1829" s="214" t="n"/>
      <c r="K1829" s="209" t="n"/>
      <c r="L1829" s="425" t="n"/>
      <c r="M1829" s="961" t="n"/>
      <c r="N1829" s="214" t="n"/>
    </row>
    <row r="1830">
      <c r="A1830" s="207" t="n"/>
      <c r="B1830" s="209" t="n"/>
      <c r="C1830" s="207" t="n"/>
      <c r="D1830" s="963" t="n"/>
      <c r="E1830" s="214" t="n"/>
      <c r="F1830" s="267" t="n">
        <v>350920</v>
      </c>
      <c r="G1830" s="270" t="inlineStr">
        <is>
          <t>Profilo porta prezzi adesivo a 90° mm. 20x1000 - Aletta da 15 mm.</t>
        </is>
      </c>
      <c r="H1830" s="264" t="n">
        <v>20</v>
      </c>
      <c r="I1830" s="265" t="n">
        <v>1.313</v>
      </c>
      <c r="J1830" s="214" t="n"/>
      <c r="K1830" s="209" t="n"/>
      <c r="L1830" s="425" t="n"/>
      <c r="M1830" s="961" t="n"/>
      <c r="N1830" s="214" t="n"/>
    </row>
    <row r="1831">
      <c r="A1831" s="207" t="n"/>
      <c r="B1831" s="209" t="n"/>
      <c r="C1831" s="207" t="n"/>
      <c r="D1831" s="963" t="n"/>
      <c r="E1831" s="214" t="n"/>
      <c r="F1831" s="267" t="n">
        <v>350921</v>
      </c>
      <c r="G1831" s="270" t="inlineStr">
        <is>
          <t>Profilo porta prezzi adesivo a 90° mm. 20x1000 - Aletta da 15 mm.</t>
        </is>
      </c>
      <c r="H1831" s="264" t="n">
        <v>20</v>
      </c>
      <c r="I1831" s="265" t="n">
        <v>1.313</v>
      </c>
      <c r="J1831" s="214" t="n"/>
      <c r="K1831" s="208" t="n"/>
      <c r="L1831" s="424" t="n"/>
      <c r="M1831" s="961" t="n"/>
      <c r="N1831" s="214" t="n"/>
    </row>
    <row r="1832">
      <c r="A1832" s="207" t="n"/>
      <c r="B1832" s="209" t="n"/>
      <c r="C1832" s="207" t="n"/>
      <c r="D1832" s="963" t="n"/>
      <c r="E1832" s="214" t="n"/>
      <c r="F1832" s="267" t="n">
        <v>350941</v>
      </c>
      <c r="G1832" s="270" t="inlineStr">
        <is>
          <t>Profilo porta prezzi adesivo a 90° mm 30x1000 - Aletta da mm 20 ANTIRIFLESSO</t>
        </is>
      </c>
      <c r="H1832" s="264" t="n">
        <v>20</v>
      </c>
      <c r="I1832" s="265" t="n">
        <v>1.523</v>
      </c>
      <c r="J1832" s="214" t="n"/>
      <c r="K1832" s="209" t="n"/>
      <c r="L1832" s="425" t="n"/>
      <c r="M1832" s="961" t="n"/>
      <c r="N1832" s="214" t="n"/>
    </row>
    <row r="1833">
      <c r="A1833" s="207" t="n"/>
      <c r="B1833" s="209" t="n"/>
      <c r="C1833" s="207" t="n"/>
      <c r="D1833" s="963" t="n"/>
      <c r="E1833" s="214" t="n"/>
      <c r="F1833" s="267" t="n">
        <v>350942</v>
      </c>
      <c r="G1833" s="270" t="inlineStr">
        <is>
          <t>Profilo porta prezzi adesivo a 90° mm. 40x1000 - Aletta da 20 mm.</t>
        </is>
      </c>
      <c r="H1833" s="264" t="n">
        <v>20</v>
      </c>
      <c r="I1833" s="265" t="n">
        <v>1.786</v>
      </c>
      <c r="J1833" s="214" t="n"/>
      <c r="K1833" s="209" t="n"/>
      <c r="L1833" s="425" t="n"/>
      <c r="M1833" s="961" t="n"/>
      <c r="N1833" s="214" t="n"/>
    </row>
    <row r="1834">
      <c r="A1834" s="207" t="n"/>
      <c r="B1834" s="209" t="n"/>
      <c r="C1834" s="207" t="n"/>
      <c r="D1834" s="963" t="n"/>
      <c r="E1834" s="214" t="n"/>
      <c r="F1834" s="267" t="n">
        <v>350943</v>
      </c>
      <c r="G1834" s="270" t="inlineStr">
        <is>
          <t>Profilo porta prezzi adesivo a 90° mm. 40x1000 - Aletta da 30 mm.</t>
        </is>
      </c>
      <c r="H1834" s="264" t="n">
        <v>20</v>
      </c>
      <c r="I1834" s="265" t="n">
        <v>1.879</v>
      </c>
      <c r="J1834" s="214" t="n"/>
      <c r="K1834" s="209" t="n"/>
      <c r="L1834" s="425" t="n"/>
      <c r="M1834" s="961" t="n"/>
      <c r="N1834" s="214" t="n"/>
    </row>
    <row r="1835">
      <c r="A1835" s="207" t="n"/>
      <c r="B1835" s="209" t="n"/>
      <c r="C1835" s="207" t="n"/>
      <c r="D1835" s="963" t="n"/>
      <c r="E1835" s="214" t="n"/>
      <c r="F1835" s="267" t="n">
        <v>350944</v>
      </c>
      <c r="G1835" s="270" t="inlineStr">
        <is>
          <t>Profilo porta prezzi adesivo a 90° mm. 40x1000 - Aletta da 40 mm.</t>
        </is>
      </c>
      <c r="H1835" s="264" t="n">
        <v>20</v>
      </c>
      <c r="I1835" s="265" t="n">
        <v>2.045</v>
      </c>
      <c r="J1835" s="214" t="n"/>
      <c r="K1835" s="209" t="n"/>
      <c r="L1835" s="425" t="n"/>
      <c r="M1835" s="961" t="n"/>
      <c r="N1835" s="214" t="n"/>
    </row>
    <row r="1836">
      <c r="A1836" s="207" t="n"/>
      <c r="B1836" s="209" t="n"/>
      <c r="C1836" s="207" t="n"/>
      <c r="D1836" s="963" t="n"/>
      <c r="E1836" s="214" t="n"/>
      <c r="F1836" s="267" t="n">
        <v>350962</v>
      </c>
      <c r="G1836" s="270" t="inlineStr">
        <is>
          <t>Profilo porta prezzi adesivo a 90° mm. 60x1000 - Aletta da 20 mm.</t>
        </is>
      </c>
      <c r="H1836" s="264" t="n">
        <v>20</v>
      </c>
      <c r="I1836" s="265" t="n">
        <v>2.263</v>
      </c>
      <c r="J1836" s="214" t="n"/>
      <c r="K1836" s="208" t="n"/>
      <c r="L1836" s="424" t="n"/>
      <c r="M1836" s="961" t="n"/>
      <c r="N1836" s="214" t="n"/>
    </row>
    <row r="1837">
      <c r="A1837" s="207" t="n"/>
      <c r="B1837" s="209" t="n"/>
      <c r="C1837" s="207" t="n"/>
      <c r="D1837" s="963" t="n"/>
      <c r="E1837" s="214" t="n"/>
      <c r="F1837" s="267" t="n">
        <v>350963</v>
      </c>
      <c r="G1837" s="270" t="inlineStr">
        <is>
          <t>Profilo porta prezzi adesivo a 90° mm. 60x1000 - Aletta da 30 mm.</t>
        </is>
      </c>
      <c r="H1837" s="264" t="n">
        <v>20</v>
      </c>
      <c r="I1837" s="265" t="n">
        <v>2.427</v>
      </c>
      <c r="J1837" s="214" t="n"/>
      <c r="K1837" s="209" t="n"/>
      <c r="L1837" s="425" t="n"/>
      <c r="M1837" s="961" t="n"/>
      <c r="N1837" s="214" t="n"/>
    </row>
    <row r="1838">
      <c r="A1838" s="207" t="n"/>
      <c r="B1838" s="209" t="n"/>
      <c r="C1838" s="207" t="n"/>
      <c r="D1838" s="963" t="n"/>
      <c r="E1838" s="214" t="n"/>
      <c r="F1838" s="267" t="n">
        <v>350964</v>
      </c>
      <c r="G1838" s="270" t="inlineStr">
        <is>
          <t>Profilo porta prezzi adesivo a 90° mm. 60x1000 - Aletta da 40 mm.</t>
        </is>
      </c>
      <c r="H1838" s="264" t="n">
        <v>20</v>
      </c>
      <c r="I1838" s="265" t="n">
        <v>2.536</v>
      </c>
      <c r="J1838" s="214" t="n"/>
      <c r="K1838" s="209" t="n"/>
      <c r="L1838" s="425" t="n"/>
      <c r="M1838" s="961" t="n"/>
      <c r="N1838" s="214" t="n"/>
    </row>
    <row r="1839">
      <c r="A1839" s="207" t="n"/>
      <c r="B1839" s="209" t="n"/>
      <c r="C1839" s="207" t="n"/>
      <c r="D1839" s="963" t="n"/>
      <c r="E1839" s="214" t="n"/>
      <c r="F1839" s="267" t="n">
        <v>351000</v>
      </c>
      <c r="G1839" s="270" t="inlineStr">
        <is>
          <t>Profilo porta prezzi adesivo a 105° mm. 20x1000 - Aletta da 20 mm.</t>
        </is>
      </c>
      <c r="H1839" s="264" t="n">
        <v>20</v>
      </c>
      <c r="I1839" s="265" t="n">
        <v>1.256</v>
      </c>
      <c r="J1839" s="214" t="n"/>
      <c r="K1839" s="209" t="n"/>
      <c r="L1839" s="425" t="n"/>
      <c r="M1839" s="961" t="n"/>
      <c r="N1839" s="214" t="n"/>
    </row>
    <row r="1840">
      <c r="A1840" s="207" t="n"/>
      <c r="B1840" s="209" t="n"/>
      <c r="C1840" s="207" t="n"/>
      <c r="D1840" s="963" t="n"/>
      <c r="E1840" s="214" t="n"/>
      <c r="F1840" s="267" t="n">
        <v>351001</v>
      </c>
      <c r="G1840" s="270" t="inlineStr">
        <is>
          <t>Profilo porta prezzi adesivo a 105° mm. 30x1000 - Aletta da 20 mm.</t>
        </is>
      </c>
      <c r="H1840" s="264" t="n">
        <v>20</v>
      </c>
      <c r="I1840" s="265" t="n">
        <v>1.383</v>
      </c>
      <c r="J1840" s="214" t="n"/>
      <c r="K1840" s="209" t="n"/>
      <c r="L1840" s="425" t="n"/>
      <c r="M1840" s="961" t="n"/>
      <c r="N1840" s="214" t="n"/>
    </row>
    <row r="1841">
      <c r="A1841" s="207" t="n"/>
      <c r="B1841" s="209" t="n"/>
      <c r="C1841" s="207" t="n"/>
      <c r="D1841" s="963" t="n"/>
      <c r="E1841" s="214" t="n"/>
      <c r="F1841" s="267" t="n">
        <v>351002</v>
      </c>
      <c r="G1841" s="270" t="inlineStr">
        <is>
          <t>Profilo porta prezzi adesivo a 105° mm. 40x1000 - Aletta da 20 mm.</t>
        </is>
      </c>
      <c r="H1841" s="264" t="n">
        <v>20</v>
      </c>
      <c r="I1841" s="265" t="n">
        <v>1.747</v>
      </c>
      <c r="J1841" s="214" t="n"/>
      <c r="K1841" s="208" t="n"/>
      <c r="L1841" s="424" t="n"/>
      <c r="M1841" s="961" t="n"/>
      <c r="N1841" s="214" t="n"/>
    </row>
    <row r="1842">
      <c r="A1842" s="207" t="n"/>
      <c r="B1842" s="209" t="n"/>
      <c r="C1842" s="207" t="n"/>
      <c r="D1842" s="963" t="n"/>
      <c r="E1842" s="214" t="n"/>
      <c r="F1842" s="267" t="n">
        <v>351016</v>
      </c>
      <c r="G1842" s="270" t="inlineStr">
        <is>
          <t>Binario largh. mm 16 - lungh. mm 1245 trasparente magnetico</t>
        </is>
      </c>
      <c r="H1842" s="264" t="n">
        <v>20</v>
      </c>
      <c r="I1842" s="265" t="n">
        <v>1.646</v>
      </c>
      <c r="J1842" s="214" t="n"/>
      <c r="K1842" s="209" t="n"/>
      <c r="L1842" s="425" t="n"/>
      <c r="M1842" s="961" t="n"/>
      <c r="N1842" s="214" t="n"/>
    </row>
    <row r="1843">
      <c r="A1843" s="207" t="n"/>
      <c r="B1843" s="209" t="n"/>
      <c r="C1843" s="207" t="n"/>
      <c r="D1843" s="963" t="n"/>
      <c r="E1843" s="214" t="n"/>
      <c r="F1843" s="267" t="n">
        <v>351017</v>
      </c>
      <c r="G1843" s="270" t="inlineStr">
        <is>
          <t>Binario largh. mm 16 - lungh. mm 1325 trasparente magnetico</t>
        </is>
      </c>
      <c r="H1843" s="264" t="n">
        <v>20</v>
      </c>
      <c r="I1843" s="265" t="n">
        <v>1.742</v>
      </c>
      <c r="J1843" s="214" t="n"/>
      <c r="K1843" s="209" t="n"/>
      <c r="L1843" s="425" t="n"/>
      <c r="M1843" s="961" t="n"/>
      <c r="N1843" s="214" t="n"/>
    </row>
    <row r="1844">
      <c r="A1844" s="207" t="n"/>
      <c r="B1844" s="209" t="n"/>
      <c r="C1844" s="207" t="n"/>
      <c r="D1844" s="963" t="n"/>
      <c r="E1844" s="214" t="n"/>
      <c r="F1844" s="267" t="n">
        <v>351020</v>
      </c>
      <c r="G1844" s="270" t="inlineStr">
        <is>
          <t>Profilo porta prezzi inclinato mm. 20x1000</t>
        </is>
      </c>
      <c r="H1844" s="264" t="n">
        <v>20</v>
      </c>
      <c r="I1844" s="265" t="n">
        <v>1.274</v>
      </c>
      <c r="J1844" s="214" t="n"/>
      <c r="K1844" s="208" t="n"/>
      <c r="L1844" s="424" t="n"/>
      <c r="M1844" s="961" t="n"/>
      <c r="N1844" s="214" t="n"/>
    </row>
    <row r="1845">
      <c r="A1845" s="207" t="n"/>
      <c r="B1845" s="209" t="n"/>
      <c r="C1845" s="207" t="n"/>
      <c r="D1845" s="963" t="n"/>
      <c r="E1845" s="214" t="n"/>
      <c r="F1845" s="267" t="n">
        <v>351021</v>
      </c>
      <c r="G1845" s="270" t="inlineStr">
        <is>
          <t>Profilo porta prezzi inclinato mm. 30x1000</t>
        </is>
      </c>
      <c r="H1845" s="264" t="n">
        <v>20</v>
      </c>
      <c r="I1845" s="265" t="n">
        <v>1.456</v>
      </c>
      <c r="J1845" s="214" t="n"/>
      <c r="K1845" s="208" t="n"/>
      <c r="L1845" s="424" t="n"/>
      <c r="M1845" s="961" t="n"/>
      <c r="N1845" s="214" t="n"/>
    </row>
    <row r="1846">
      <c r="A1846" s="207" t="n"/>
      <c r="B1846" s="209" t="n"/>
      <c r="C1846" s="207" t="n"/>
      <c r="D1846" s="963" t="n"/>
      <c r="E1846" s="214" t="n"/>
      <c r="F1846" s="267" t="n">
        <v>351022</v>
      </c>
      <c r="G1846" s="270" t="inlineStr">
        <is>
          <t>Profilo porta prezzi inclinato mm. 40x1000</t>
        </is>
      </c>
      <c r="H1846" s="264" t="n">
        <v>20</v>
      </c>
      <c r="I1846" s="265" t="n">
        <v>1.79</v>
      </c>
      <c r="J1846" s="214" t="n"/>
      <c r="K1846" s="208" t="n"/>
      <c r="L1846" s="424" t="n"/>
      <c r="M1846" s="961" t="n"/>
      <c r="N1846" s="214" t="n"/>
    </row>
    <row r="1847">
      <c r="A1847" s="207" t="n"/>
      <c r="B1847" s="209" t="n"/>
      <c r="C1847" s="207" t="n"/>
      <c r="D1847" s="963" t="n"/>
      <c r="E1847" s="214" t="n"/>
      <c r="F1847" s="267" t="n">
        <v>351032</v>
      </c>
      <c r="G1847" s="270" t="inlineStr">
        <is>
          <t>Profilo porta prezzi trasparente estruso mm. 30X1325</t>
        </is>
      </c>
      <c r="H1847" s="264" t="n">
        <v>20</v>
      </c>
      <c r="I1847" s="265" t="n">
        <v>1.454</v>
      </c>
      <c r="J1847" s="214" t="n"/>
      <c r="K1847" s="208" t="n"/>
      <c r="L1847" s="424" t="n"/>
      <c r="M1847" s="961" t="n"/>
      <c r="N1847" s="214" t="n"/>
    </row>
    <row r="1848">
      <c r="A1848" s="207" t="n"/>
      <c r="B1848" s="209" t="n"/>
      <c r="C1848" s="207" t="n"/>
      <c r="D1848" s="963" t="n"/>
      <c r="E1848" s="214" t="n"/>
      <c r="F1848" s="267" t="n">
        <v>351040</v>
      </c>
      <c r="G1848" s="270" t="inlineStr">
        <is>
          <t>Profilo porta prezzi trasparente estruso mm. 38X1325</t>
        </is>
      </c>
      <c r="H1848" s="264" t="n">
        <v>20</v>
      </c>
      <c r="I1848" s="265" t="n">
        <v>2.485</v>
      </c>
      <c r="J1848" s="214" t="n"/>
      <c r="K1848" s="208" t="n"/>
      <c r="L1848" s="424" t="n"/>
      <c r="M1848" s="961" t="n"/>
      <c r="N1848" s="214" t="n"/>
    </row>
    <row r="1849">
      <c r="A1849" s="207" t="n"/>
      <c r="B1849" s="209" t="n"/>
      <c r="C1849" s="207" t="n"/>
      <c r="D1849" s="963" t="n"/>
      <c r="E1849" s="214" t="n"/>
      <c r="F1849" s="267" t="n">
        <v>351052</v>
      </c>
      <c r="G1849" s="270" t="inlineStr">
        <is>
          <t>Profilo porta prezzi trasparente estruso mm. 50X1325</t>
        </is>
      </c>
      <c r="H1849" s="264" t="n">
        <v>20</v>
      </c>
      <c r="I1849" s="265" t="n">
        <v>5.15</v>
      </c>
      <c r="J1849" s="214" t="n"/>
      <c r="K1849" s="208" t="n"/>
      <c r="L1849" s="424" t="n"/>
      <c r="M1849" s="961" t="n"/>
      <c r="N1849" s="214" t="n"/>
    </row>
    <row r="1850">
      <c r="A1850" s="207" t="n"/>
      <c r="B1850" s="209" t="n"/>
      <c r="C1850" s="207" t="n"/>
      <c r="D1850" s="963" t="n"/>
      <c r="E1850" s="214" t="n"/>
      <c r="F1850" s="267" t="n">
        <v>351062</v>
      </c>
      <c r="G1850" s="270" t="inlineStr">
        <is>
          <t>Profilo porta prezzi trasparente estruso mm. 60x1330</t>
        </is>
      </c>
      <c r="H1850" s="264" t="n">
        <v>20</v>
      </c>
      <c r="I1850" s="265" t="n">
        <v>5.168</v>
      </c>
      <c r="J1850" s="214" t="n"/>
      <c r="K1850" s="208" t="n"/>
      <c r="L1850" s="424" t="n"/>
      <c r="M1850" s="961" t="n"/>
      <c r="N1850" s="214" t="n"/>
    </row>
    <row r="1851">
      <c r="A1851" s="207" t="n"/>
      <c r="B1851" s="209" t="n"/>
      <c r="C1851" s="207" t="n"/>
      <c r="D1851" s="963" t="n"/>
      <c r="E1851" s="214" t="n"/>
      <c r="F1851" s="267" t="n">
        <v>351080</v>
      </c>
      <c r="G1851" s="270" t="inlineStr">
        <is>
          <t>Profilo porta prezzi trasparente estruso mm. 80x1330</t>
        </is>
      </c>
      <c r="H1851" s="264" t="n">
        <v>20</v>
      </c>
      <c r="I1851" s="265" t="n">
        <v>6.404</v>
      </c>
      <c r="J1851" s="214" t="n"/>
      <c r="K1851" s="208" t="n"/>
      <c r="L1851" s="424" t="n"/>
      <c r="M1851" s="961" t="n"/>
      <c r="N1851" s="214" t="n"/>
    </row>
    <row r="1852">
      <c r="A1852" s="207" t="n"/>
      <c r="B1852" s="209" t="n"/>
      <c r="C1852" s="207" t="n"/>
      <c r="D1852" s="963" t="n"/>
      <c r="E1852" s="214" t="n"/>
      <c r="F1852" s="267" t="n">
        <v>351100</v>
      </c>
      <c r="G1852" s="270" t="inlineStr">
        <is>
          <t>Profilo porta prezzi adesivo a 90° mm. 32x1000</t>
        </is>
      </c>
      <c r="H1852" s="264" t="n">
        <v>20</v>
      </c>
      <c r="I1852" s="265" t="n">
        <v>3.282</v>
      </c>
      <c r="J1852" s="214" t="n"/>
      <c r="K1852" s="208" t="n"/>
      <c r="L1852" s="424" t="n"/>
      <c r="M1852" s="961" t="n"/>
      <c r="N1852" s="214" t="n"/>
    </row>
    <row r="1853">
      <c r="A1853" s="207" t="n"/>
      <c r="B1853" s="209" t="n"/>
      <c r="C1853" s="207" t="n"/>
      <c r="D1853" s="963" t="n"/>
      <c r="E1853" s="214" t="n"/>
      <c r="F1853" s="267" t="n">
        <v>351101</v>
      </c>
      <c r="G1853" s="270" t="inlineStr">
        <is>
          <t>Profilo porta prezzi adesivo a 90° mm. 40x1000</t>
        </is>
      </c>
      <c r="H1853" s="264" t="n">
        <v>20</v>
      </c>
      <c r="I1853" s="265" t="n">
        <v>3.65</v>
      </c>
      <c r="J1853" s="214" t="n"/>
      <c r="K1853" s="208" t="n"/>
      <c r="L1853" s="424" t="n"/>
      <c r="M1853" s="961" t="n"/>
      <c r="N1853" s="214" t="n"/>
    </row>
    <row r="1854">
      <c r="A1854" s="207" t="n"/>
      <c r="B1854" s="209" t="n"/>
      <c r="C1854" s="207" t="n"/>
      <c r="D1854" s="963" t="n"/>
      <c r="E1854" s="214" t="n"/>
      <c r="F1854" s="267" t="n">
        <v>351103</v>
      </c>
      <c r="G1854" s="270" t="inlineStr">
        <is>
          <t>Profilo porta prezzi adesivo a 105° mm. 40x1000</t>
        </is>
      </c>
      <c r="H1854" s="264" t="n">
        <v>20</v>
      </c>
      <c r="I1854" s="265" t="n">
        <v>3.895</v>
      </c>
      <c r="J1854" s="214" t="n"/>
      <c r="K1854" s="208" t="n"/>
      <c r="L1854" s="424" t="n"/>
      <c r="M1854" s="961" t="n"/>
      <c r="N1854" s="214" t="n"/>
    </row>
    <row r="1855">
      <c r="A1855" s="207" t="n"/>
      <c r="B1855" s="209" t="n"/>
      <c r="C1855" s="207" t="n"/>
      <c r="D1855" s="963" t="n"/>
      <c r="E1855" s="214" t="n"/>
      <c r="F1855" s="267" t="n">
        <v>351111</v>
      </c>
      <c r="G1855" s="270" t="inlineStr">
        <is>
          <t>Binario largh. mm 16 - lungh. mm 1245 trasparente magnetico</t>
        </is>
      </c>
      <c r="H1855" s="264" t="n">
        <v>20</v>
      </c>
      <c r="I1855" s="265" t="n">
        <v>2.737</v>
      </c>
      <c r="J1855" s="214" t="n"/>
      <c r="K1855" s="208" t="n"/>
      <c r="L1855" s="424" t="n"/>
      <c r="M1855" s="961" t="n"/>
      <c r="N1855" s="214" t="n"/>
    </row>
    <row r="1856">
      <c r="A1856" s="207" t="n"/>
      <c r="B1856" s="209" t="n"/>
      <c r="C1856" s="207" t="n"/>
      <c r="D1856" s="963" t="n"/>
      <c r="E1856" s="214" t="n"/>
      <c r="F1856" s="267" t="n">
        <v>351112</v>
      </c>
      <c r="G1856" s="270" t="inlineStr">
        <is>
          <t>Binario largh. mm 16 - lungh. mm 1325 trasparente magnetico</t>
        </is>
      </c>
      <c r="H1856" s="264" t="n">
        <v>20</v>
      </c>
      <c r="I1856" s="265" t="n">
        <v>2.783</v>
      </c>
      <c r="J1856" s="214" t="n"/>
      <c r="K1856" s="208" t="n"/>
      <c r="L1856" s="424" t="n"/>
      <c r="M1856" s="961" t="n"/>
      <c r="N1856" s="214" t="n"/>
    </row>
    <row r="1857">
      <c r="A1857" s="207" t="n"/>
      <c r="B1857" s="209" t="n"/>
      <c r="C1857" s="207" t="n"/>
      <c r="D1857" s="963" t="n"/>
      <c r="E1857" s="214" t="n"/>
      <c r="F1857" s="267" t="n">
        <v>351120</v>
      </c>
      <c r="G1857" s="270" t="inlineStr">
        <is>
          <t>Supporto adesivo basculante mt. 2</t>
        </is>
      </c>
      <c r="H1857" s="264" t="n">
        <v>20</v>
      </c>
      <c r="I1857" s="265" t="n">
        <v>5.355</v>
      </c>
      <c r="J1857" s="214" t="n"/>
      <c r="K1857" s="208" t="n"/>
      <c r="L1857" s="424" t="n"/>
      <c r="M1857" s="961" t="n"/>
      <c r="N1857" s="214" t="n"/>
    </row>
    <row r="1858">
      <c r="A1858" s="207" t="n"/>
      <c r="B1858" s="209" t="n"/>
      <c r="C1858" s="207" t="n"/>
      <c r="D1858" s="963" t="n"/>
      <c r="E1858" s="214" t="n"/>
      <c r="F1858" s="267" t="n">
        <v>351121</v>
      </c>
      <c r="G1858" s="270" t="inlineStr">
        <is>
          <t>Binario largh. mm 16 - lungh. mm 1000 bianco magnetico</t>
        </is>
      </c>
      <c r="H1858" s="264" t="n">
        <v>20</v>
      </c>
      <c r="I1858" s="265" t="n">
        <v>2.13</v>
      </c>
      <c r="J1858" s="214" t="n"/>
      <c r="K1858" s="208" t="n"/>
      <c r="L1858" s="424" t="n"/>
      <c r="M1858" s="961" t="n"/>
      <c r="N1858" s="214" t="n"/>
    </row>
    <row r="1859">
      <c r="A1859" s="207" t="n"/>
      <c r="B1859" s="209" t="n"/>
      <c r="C1859" s="207" t="n"/>
      <c r="D1859" s="963" t="n"/>
      <c r="E1859" s="214" t="n"/>
      <c r="F1859" s="267" t="n">
        <v>351122</v>
      </c>
      <c r="G1859" s="270" t="inlineStr">
        <is>
          <t>Binario largh. mm 16 - lungh. mm 1245 bianco magnetico</t>
        </is>
      </c>
      <c r="H1859" s="264" t="n">
        <v>20</v>
      </c>
      <c r="I1859" s="265" t="n">
        <v>2.737</v>
      </c>
      <c r="J1859" s="214" t="n"/>
      <c r="K1859" s="208" t="n"/>
      <c r="L1859" s="424" t="n"/>
      <c r="M1859" s="961" t="n"/>
      <c r="N1859" s="214" t="n"/>
    </row>
    <row r="1860">
      <c r="A1860" s="207" t="n"/>
      <c r="B1860" s="209" t="n"/>
      <c r="C1860" s="207" t="n"/>
      <c r="D1860" s="963" t="n"/>
      <c r="E1860" s="214" t="n"/>
      <c r="F1860" s="267" t="n">
        <v>351123</v>
      </c>
      <c r="G1860" s="270" t="inlineStr">
        <is>
          <t>Binario largh. mm 16 - lungh. mm 1280 bianco magnetico</t>
        </is>
      </c>
      <c r="H1860" s="264" t="n">
        <v>20</v>
      </c>
      <c r="I1860" s="265" t="n">
        <v>2.735</v>
      </c>
      <c r="J1860" s="214" t="n"/>
      <c r="K1860" s="208" t="n"/>
      <c r="L1860" s="424" t="n"/>
      <c r="M1860" s="961" t="n"/>
      <c r="N1860" s="214" t="n"/>
    </row>
    <row r="1861">
      <c r="A1861" s="207" t="n"/>
      <c r="B1861" s="209" t="n"/>
      <c r="C1861" s="207" t="n"/>
      <c r="D1861" s="963" t="n"/>
      <c r="E1861" s="214" t="n"/>
      <c r="F1861" s="267" t="n">
        <v>351124</v>
      </c>
      <c r="G1861" s="270" t="inlineStr">
        <is>
          <t>Binario largh. mm 16 - lungh. mm 1325 bianco magnetico</t>
        </is>
      </c>
      <c r="H1861" s="264" t="n">
        <v>20</v>
      </c>
      <c r="I1861" s="265" t="n">
        <v>2.783</v>
      </c>
      <c r="J1861" s="214" t="n"/>
      <c r="K1861" s="208" t="n"/>
      <c r="L1861" s="424" t="n"/>
      <c r="M1861" s="961" t="n"/>
      <c r="N1861" s="214" t="n"/>
    </row>
    <row r="1862">
      <c r="A1862" s="207" t="n"/>
      <c r="B1862" s="209" t="n"/>
      <c r="C1862" s="207" t="n"/>
      <c r="D1862" s="963" t="n"/>
      <c r="E1862" s="214" t="n"/>
      <c r="F1862" s="267" t="n">
        <v>351130</v>
      </c>
      <c r="G1862" s="270" t="inlineStr">
        <is>
          <t>Profilo per pubblicità sui carrelli</t>
        </is>
      </c>
      <c r="H1862" s="264" t="n">
        <v>20</v>
      </c>
      <c r="I1862" s="265" t="n">
        <v>0.843</v>
      </c>
      <c r="J1862" s="214" t="n"/>
      <c r="K1862" s="208" t="n"/>
      <c r="L1862" s="424" t="n"/>
      <c r="M1862" s="961" t="n"/>
      <c r="N1862" s="214" t="n"/>
    </row>
    <row r="1863">
      <c r="A1863" s="207" t="n"/>
      <c r="B1863" s="209" t="n"/>
      <c r="C1863" s="207" t="n"/>
      <c r="D1863" s="963" t="n"/>
      <c r="E1863" s="214" t="n"/>
      <c r="F1863" s="267" t="n">
        <v>351132</v>
      </c>
      <c r="G1863" s="270" t="inlineStr">
        <is>
          <t>Binario largh. mm 16 - lungh. mm 1245 nero magnetico</t>
        </is>
      </c>
      <c r="H1863" s="264" t="n">
        <v>20</v>
      </c>
      <c r="I1863" s="265" t="n">
        <v>2.541</v>
      </c>
      <c r="J1863" s="214" t="n"/>
      <c r="K1863" s="208" t="n"/>
      <c r="L1863" s="424" t="n"/>
      <c r="M1863" s="961" t="n"/>
      <c r="N1863" s="214" t="n"/>
    </row>
    <row r="1864">
      <c r="A1864" s="207" t="n"/>
      <c r="B1864" s="209" t="n"/>
      <c r="C1864" s="207" t="n"/>
      <c r="D1864" s="963" t="n"/>
      <c r="E1864" s="214" t="n"/>
      <c r="F1864" s="267" t="n">
        <v>351133</v>
      </c>
      <c r="G1864" s="270" t="inlineStr">
        <is>
          <t>Binario largh. mm 16 - lungh. mm 1325 nero magnetico</t>
        </is>
      </c>
      <c r="H1864" s="264" t="n">
        <v>20</v>
      </c>
      <c r="I1864" s="265" t="n">
        <v>2.565</v>
      </c>
      <c r="J1864" s="214" t="n"/>
      <c r="K1864" s="208" t="n"/>
      <c r="L1864" s="424" t="n"/>
      <c r="M1864" s="961" t="n"/>
      <c r="N1864" s="214" t="n"/>
    </row>
    <row r="1865">
      <c r="A1865" s="207" t="n"/>
      <c r="B1865" s="209" t="n"/>
      <c r="C1865" s="207" t="n"/>
      <c r="D1865" s="963" t="n"/>
      <c r="E1865" s="214" t="n"/>
      <c r="F1865" s="267" t="n">
        <v>351181</v>
      </c>
      <c r="G1865" s="270" t="inlineStr">
        <is>
          <t>Binario a 90° altezza 30 mm - lunghezza 1245 - adesivo</t>
        </is>
      </c>
      <c r="H1865" s="264" t="n">
        <v>20</v>
      </c>
      <c r="I1865" s="265" t="n">
        <v>4.187</v>
      </c>
      <c r="J1865" s="214" t="n"/>
      <c r="K1865" s="208" t="n"/>
      <c r="L1865" s="424" t="n"/>
      <c r="M1865" s="961" t="n"/>
      <c r="N1865" s="214" t="n"/>
    </row>
    <row r="1866" ht="12.75" customHeight="1">
      <c r="A1866" s="207" t="n"/>
      <c r="B1866" s="209" t="n"/>
      <c r="C1866" s="209" t="n"/>
      <c r="D1866" s="960" t="n"/>
      <c r="E1866" s="215" t="n"/>
      <c r="F1866" s="267" t="n">
        <v>351182</v>
      </c>
      <c r="G1866" s="270" t="inlineStr">
        <is>
          <t>Binario a 90° altezza 30 mm - lunghezza 1325 - adesivo</t>
        </is>
      </c>
      <c r="H1866" s="264" t="n">
        <v>20</v>
      </c>
      <c r="I1866" s="265" t="n">
        <v>3.557</v>
      </c>
      <c r="J1866" s="215" t="n"/>
      <c r="K1866" s="209" t="n"/>
      <c r="L1866" s="425" t="n"/>
      <c r="M1866" s="962" t="n"/>
      <c r="N1866" s="215" t="n"/>
    </row>
    <row r="1867">
      <c r="A1867" s="207" t="n"/>
      <c r="B1867" s="209" t="n"/>
      <c r="C1867" s="207" t="n"/>
      <c r="D1867" s="963" t="n"/>
      <c r="E1867" s="214" t="n"/>
      <c r="F1867" s="267" t="n">
        <v>351191</v>
      </c>
      <c r="G1867" s="270" t="inlineStr">
        <is>
          <t>Binario a 90° altezza 30 mm - lunghezza 1245 - magnetico</t>
        </is>
      </c>
      <c r="H1867" s="264" t="n">
        <v>20</v>
      </c>
      <c r="I1867" s="265" t="n">
        <v>4.187</v>
      </c>
      <c r="J1867" s="214" t="n"/>
      <c r="K1867" s="208" t="n"/>
      <c r="L1867" s="424" t="n"/>
      <c r="M1867" s="961" t="n"/>
      <c r="N1867" s="214" t="n"/>
    </row>
    <row r="1868">
      <c r="A1868" s="207" t="n"/>
      <c r="B1868" s="209" t="n"/>
      <c r="C1868" s="207" t="n"/>
      <c r="D1868" s="963" t="n"/>
      <c r="E1868" s="214" t="n"/>
      <c r="F1868" s="267" t="n">
        <v>351192</v>
      </c>
      <c r="G1868" s="270" t="inlineStr">
        <is>
          <t>Binario a 90° altezza 30 mm - lunghezza 1325 - magnetico</t>
        </is>
      </c>
      <c r="H1868" s="264" t="n">
        <v>20</v>
      </c>
      <c r="I1868" s="265" t="n">
        <v>4.453</v>
      </c>
      <c r="J1868" s="214" t="n"/>
      <c r="K1868" s="208" t="n"/>
      <c r="L1868" s="424" t="n"/>
      <c r="M1868" s="961" t="n"/>
      <c r="N1868" s="214" t="n"/>
    </row>
    <row r="1869">
      <c r="A1869" s="207" t="n"/>
      <c r="B1869" s="209" t="n"/>
      <c r="C1869" s="207" t="n"/>
      <c r="D1869" s="963" t="n"/>
      <c r="E1869" s="214" t="n"/>
      <c r="F1869" s="267" t="n">
        <v>351216</v>
      </c>
      <c r="G1869" s="270" t="inlineStr">
        <is>
          <t>Binario a 90° altezza 60 mm - lunghezza 1245 - magnetico</t>
        </is>
      </c>
      <c r="H1869" s="264" t="n">
        <v>20</v>
      </c>
      <c r="I1869" s="265" t="n">
        <v>6.123</v>
      </c>
      <c r="J1869" s="214" t="n"/>
      <c r="K1869" s="208" t="n"/>
      <c r="L1869" s="424" t="n"/>
      <c r="M1869" s="961" t="n"/>
      <c r="N1869" s="214" t="n"/>
    </row>
    <row r="1870">
      <c r="A1870" s="207" t="n"/>
      <c r="B1870" s="209" t="n"/>
      <c r="C1870" s="207" t="n"/>
      <c r="D1870" s="963" t="n"/>
      <c r="E1870" s="214" t="n"/>
      <c r="F1870" s="267" t="n">
        <v>351217</v>
      </c>
      <c r="G1870" s="270" t="inlineStr">
        <is>
          <t>Binario a 90° altezza 60 mm - lunghezza 1325 - magnetico</t>
        </is>
      </c>
      <c r="H1870" s="264" t="n">
        <v>20</v>
      </c>
      <c r="I1870" s="265" t="n">
        <v>7.163</v>
      </c>
      <c r="J1870" s="214" t="n"/>
      <c r="K1870" s="208" t="n"/>
      <c r="L1870" s="424" t="n"/>
      <c r="M1870" s="961" t="n"/>
      <c r="N1870" s="214" t="n"/>
    </row>
    <row r="1871">
      <c r="A1871" s="207" t="n"/>
      <c r="B1871" s="209" t="n"/>
      <c r="C1871" s="207" t="n"/>
      <c r="D1871" s="963" t="n"/>
      <c r="E1871" s="214" t="n"/>
      <c r="F1871" s="267" t="n">
        <v>351225</v>
      </c>
      <c r="G1871" s="270" t="inlineStr">
        <is>
          <t>Binario a 90° altezza 80 mm - lunghezza 1245 - magnetico</t>
        </is>
      </c>
      <c r="H1871" s="264" t="n">
        <v>20</v>
      </c>
      <c r="I1871" s="265" t="n">
        <v>10.503</v>
      </c>
      <c r="J1871" s="214" t="n"/>
      <c r="K1871" s="208" t="n"/>
      <c r="L1871" s="424" t="n"/>
      <c r="M1871" s="961" t="n"/>
      <c r="N1871" s="214" t="n"/>
    </row>
    <row r="1872">
      <c r="A1872" s="207" t="n"/>
      <c r="B1872" s="209" t="n"/>
      <c r="C1872" s="207" t="n"/>
      <c r="D1872" s="963" t="n"/>
      <c r="E1872" s="214" t="n"/>
      <c r="F1872" s="267" t="n">
        <v>351226</v>
      </c>
      <c r="G1872" s="270" t="inlineStr">
        <is>
          <t>Binario a 90° altezza 80 mm - lunghezza 1325 - magnetico</t>
        </is>
      </c>
      <c r="H1872" s="264" t="n">
        <v>20</v>
      </c>
      <c r="I1872" s="265" t="n">
        <v>9.68</v>
      </c>
      <c r="J1872" s="214" t="n"/>
      <c r="K1872" s="208" t="n"/>
      <c r="L1872" s="424" t="n"/>
      <c r="M1872" s="961" t="n"/>
      <c r="N1872" s="214" t="n"/>
    </row>
    <row r="1873">
      <c r="A1873" s="207" t="n"/>
      <c r="B1873" s="209" t="n"/>
      <c r="C1873" s="207" t="n"/>
      <c r="D1873" s="963" t="n"/>
      <c r="E1873" s="214" t="n"/>
      <c r="F1873" s="267" t="n">
        <v>351235</v>
      </c>
      <c r="G1873" s="270" t="inlineStr">
        <is>
          <t>Profilo semplice con frontale arrotondato per etichetta magnetico</t>
        </is>
      </c>
      <c r="H1873" s="264" t="n">
        <v>20</v>
      </c>
      <c r="I1873" s="265" t="n">
        <v>5.227</v>
      </c>
      <c r="J1873" s="214" t="n"/>
      <c r="K1873" s="208" t="n"/>
      <c r="L1873" s="424" t="n"/>
      <c r="M1873" s="961" t="n"/>
      <c r="N1873" s="214" t="n"/>
    </row>
    <row r="1874">
      <c r="A1874" s="207" t="n"/>
      <c r="B1874" s="209" t="n"/>
      <c r="C1874" s="207" t="n"/>
      <c r="D1874" s="963" t="n"/>
      <c r="E1874" s="214" t="n"/>
      <c r="F1874" s="267" t="n">
        <v>351240</v>
      </c>
      <c r="G1874" s="270" t="inlineStr">
        <is>
          <t>Profilo porta prezzi per cesti o spessori verticali</t>
        </is>
      </c>
      <c r="H1874" s="264" t="n">
        <v>20</v>
      </c>
      <c r="I1874" s="265" t="n">
        <v>3.878</v>
      </c>
      <c r="J1874" s="214" t="n"/>
      <c r="K1874" s="208" t="n"/>
      <c r="L1874" s="424" t="n"/>
      <c r="M1874" s="961" t="n"/>
      <c r="N1874" s="214" t="n"/>
    </row>
    <row r="1875">
      <c r="A1875" s="207" t="n"/>
      <c r="B1875" s="209" t="n"/>
      <c r="C1875" s="207" t="n"/>
      <c r="D1875" s="963" t="n"/>
      <c r="E1875" s="214" t="n"/>
      <c r="F1875" s="267" t="n">
        <v>351241</v>
      </c>
      <c r="G1875" s="270" t="inlineStr">
        <is>
          <t>Profilo con fori per ceste</t>
        </is>
      </c>
      <c r="H1875" s="264" t="n">
        <v>20</v>
      </c>
      <c r="I1875" s="265" t="n">
        <v>1.26</v>
      </c>
      <c r="J1875" s="214" t="n"/>
      <c r="K1875" s="208" t="n"/>
      <c r="L1875" s="424" t="n"/>
      <c r="M1875" s="961" t="n"/>
      <c r="N1875" s="214" t="n"/>
    </row>
    <row r="1876">
      <c r="A1876" s="207" t="n"/>
      <c r="B1876" s="209" t="n"/>
      <c r="C1876" s="207" t="n"/>
      <c r="D1876" s="963" t="n"/>
      <c r="E1876" s="214" t="n"/>
      <c r="F1876" s="267" t="n">
        <v>351242</v>
      </c>
      <c r="G1876" s="270" t="inlineStr">
        <is>
          <t>Laccio per profilo con fori</t>
        </is>
      </c>
      <c r="H1876" s="264" t="n">
        <v>1000</v>
      </c>
      <c r="I1876" s="265" t="n">
        <v>0.07000000000000001</v>
      </c>
      <c r="J1876" s="214" t="n"/>
      <c r="K1876" s="208" t="n"/>
      <c r="L1876" s="424" t="n"/>
      <c r="M1876" s="961" t="n"/>
      <c r="N1876" s="214" t="n"/>
    </row>
    <row r="1877">
      <c r="A1877" s="207" t="n"/>
      <c r="B1877" s="209" t="n"/>
      <c r="C1877" s="207" t="n"/>
      <c r="D1877" s="963" t="n"/>
      <c r="E1877" s="214" t="n"/>
      <c r="F1877" s="267" t="n">
        <v>351245</v>
      </c>
      <c r="G1877" s="270" t="inlineStr">
        <is>
          <t>Binario con frontale arrotondato per etichetta adesivo</t>
        </is>
      </c>
      <c r="H1877" s="264" t="n">
        <v>10</v>
      </c>
      <c r="I1877" s="265" t="n">
        <v>4.598</v>
      </c>
      <c r="J1877" s="214" t="n"/>
      <c r="K1877" s="208" t="n"/>
      <c r="L1877" s="424" t="n"/>
      <c r="M1877" s="961" t="n"/>
      <c r="N1877" s="214" t="n"/>
    </row>
    <row r="1878">
      <c r="A1878" s="207" t="n"/>
      <c r="B1878" s="209" t="n"/>
      <c r="C1878" s="207" t="n"/>
      <c r="D1878" s="963" t="n"/>
      <c r="E1878" s="214" t="n"/>
      <c r="F1878" s="267" t="n">
        <v>351251</v>
      </c>
      <c r="G1878" s="270" t="inlineStr">
        <is>
          <t>Binario con frontale arrotondato per etichetta magnetico</t>
        </is>
      </c>
      <c r="H1878" s="264" t="n">
        <v>10</v>
      </c>
      <c r="I1878" s="265" t="n">
        <v>5.518</v>
      </c>
      <c r="J1878" s="214" t="n"/>
      <c r="K1878" s="208" t="n"/>
      <c r="L1878" s="424" t="n"/>
      <c r="M1878" s="961" t="n"/>
      <c r="N1878" s="214" t="n"/>
    </row>
    <row r="1879">
      <c r="A1879" s="207" t="n"/>
      <c r="B1879" s="209" t="n"/>
      <c r="C1879" s="207" t="n"/>
      <c r="D1879" s="963" t="n"/>
      <c r="E1879" s="214" t="n"/>
      <c r="F1879" s="267" t="n">
        <v>351260</v>
      </c>
      <c r="G1879" s="270" t="inlineStr">
        <is>
          <t>Kit scaletta e cavalletto spezzabile</t>
        </is>
      </c>
      <c r="H1879" s="264" t="n">
        <v>10</v>
      </c>
      <c r="I1879" s="265" t="n">
        <v>2.372</v>
      </c>
      <c r="J1879" s="214" t="n"/>
      <c r="K1879" s="208" t="n"/>
      <c r="L1879" s="424" t="n"/>
      <c r="M1879" s="961" t="n"/>
      <c r="N1879" s="214" t="n"/>
    </row>
    <row r="1880">
      <c r="A1880" s="207" t="n"/>
      <c r="B1880" s="209" t="n"/>
      <c r="C1880" s="207" t="n"/>
      <c r="D1880" s="963" t="n"/>
      <c r="E1880" s="214" t="n"/>
      <c r="F1880" s="267" t="n">
        <v>351261</v>
      </c>
      <c r="G1880" s="270" t="inlineStr">
        <is>
          <t>Appoggio posteriore per Kit scaletta e cavalletto spezzabile</t>
        </is>
      </c>
      <c r="H1880" s="264" t="n">
        <v>10</v>
      </c>
      <c r="I1880" s="265" t="n">
        <v>2.374</v>
      </c>
      <c r="J1880" s="214" t="n"/>
      <c r="K1880" s="208" t="n"/>
      <c r="L1880" s="424" t="n"/>
      <c r="M1880" s="961" t="n"/>
      <c r="N1880" s="214" t="n"/>
    </row>
    <row r="1881">
      <c r="A1881" s="207" t="n"/>
      <c r="B1881" s="209" t="n"/>
      <c r="C1881" s="207" t="n"/>
      <c r="D1881" s="963" t="n"/>
      <c r="E1881" s="214" t="n"/>
      <c r="F1881" s="267" t="n">
        <v>351262</v>
      </c>
      <c r="G1881" s="270" t="inlineStr">
        <is>
          <t>Tirante per Kit scaletta e cavalletto spezzabile</t>
        </is>
      </c>
      <c r="H1881" s="264" t="n">
        <v>10</v>
      </c>
      <c r="I1881" s="265" t="n">
        <v>1.333</v>
      </c>
      <c r="J1881" s="214" t="n"/>
      <c r="K1881" s="208" t="n"/>
      <c r="L1881" s="424" t="n"/>
      <c r="M1881" s="961" t="n"/>
      <c r="N1881" s="214" t="n"/>
    </row>
    <row r="1882">
      <c r="A1882" s="207" t="n"/>
      <c r="B1882" s="209" t="n"/>
      <c r="C1882" s="207" t="n"/>
      <c r="D1882" s="963" t="n"/>
      <c r="E1882" s="214" t="n"/>
      <c r="F1882" s="267" t="n">
        <v>351290</v>
      </c>
      <c r="G1882" s="270" t="inlineStr">
        <is>
          <t>Tappetino antiscivolo con scanalature</t>
        </is>
      </c>
      <c r="H1882" s="264" t="n">
        <v>1</v>
      </c>
      <c r="I1882" s="265" t="n">
        <v>215.38</v>
      </c>
      <c r="J1882" s="214" t="n"/>
      <c r="K1882" s="208" t="n"/>
      <c r="L1882" s="424" t="n"/>
      <c r="M1882" s="961" t="n"/>
      <c r="N1882" s="214" t="n"/>
    </row>
    <row r="1883">
      <c r="A1883" s="207" t="n"/>
      <c r="B1883" s="209" t="n"/>
      <c r="C1883" s="207" t="n"/>
      <c r="D1883" s="963" t="n"/>
      <c r="E1883" s="214" t="n"/>
      <c r="F1883" s="267" t="n">
        <v>351300</v>
      </c>
      <c r="G1883" s="270" t="inlineStr">
        <is>
          <t>Profilo per ripiani sottili mm. 2000</t>
        </is>
      </c>
      <c r="H1883" s="264" t="n">
        <v>10</v>
      </c>
      <c r="I1883" s="265" t="n">
        <v>8.542999999999999</v>
      </c>
      <c r="J1883" s="214" t="n"/>
      <c r="K1883" s="208" t="n"/>
      <c r="L1883" s="424" t="n"/>
      <c r="M1883" s="961" t="n"/>
      <c r="N1883" s="214" t="n"/>
    </row>
    <row r="1884">
      <c r="A1884" s="207" t="n"/>
      <c r="B1884" s="209" t="n"/>
      <c r="C1884" s="207" t="n"/>
      <c r="D1884" s="963" t="n"/>
      <c r="E1884" s="214" t="n"/>
      <c r="F1884" s="267" t="n">
        <v>351301</v>
      </c>
      <c r="G1884" s="270" t="inlineStr">
        <is>
          <t>Profilo adesivo per ripiani mm. 2000</t>
        </is>
      </c>
      <c r="H1884" s="264" t="n">
        <v>10</v>
      </c>
      <c r="I1884" s="265" t="n">
        <v>8.701000000000001</v>
      </c>
      <c r="J1884" s="214" t="n"/>
      <c r="K1884" s="208" t="n"/>
      <c r="L1884" s="424" t="n"/>
      <c r="M1884" s="961" t="n"/>
      <c r="N1884" s="214" t="n"/>
    </row>
    <row r="1885">
      <c r="A1885" s="207" t="n"/>
      <c r="B1885" s="209" t="n"/>
      <c r="C1885" s="207" t="n"/>
      <c r="D1885" s="963" t="n"/>
      <c r="E1885" s="214" t="n"/>
      <c r="F1885" s="267" t="n">
        <v>351310</v>
      </c>
      <c r="G1885" s="270" t="inlineStr">
        <is>
          <t>Molla spingiprodotto forza media lungh. m 280</t>
        </is>
      </c>
      <c r="H1885" s="264" t="n">
        <v>20</v>
      </c>
      <c r="I1885" s="265" t="n">
        <v>5.863</v>
      </c>
      <c r="J1885" s="214" t="n"/>
      <c r="K1885" s="208" t="n"/>
      <c r="L1885" s="424" t="n"/>
      <c r="M1885" s="961" t="n"/>
      <c r="N1885" s="214" t="n"/>
    </row>
    <row r="1886">
      <c r="A1886" s="207" t="n"/>
      <c r="B1886" s="209" t="n"/>
      <c r="C1886" s="207" t="n"/>
      <c r="D1886" s="963" t="n"/>
      <c r="E1886" s="214" t="n"/>
      <c r="F1886" s="267" t="n">
        <v>351311</v>
      </c>
      <c r="G1886" s="270" t="inlineStr">
        <is>
          <t>Molla spingiprodotto forza media lungh. m 380</t>
        </is>
      </c>
      <c r="H1886" s="264" t="n">
        <v>20</v>
      </c>
      <c r="I1886" s="265" t="n">
        <v>4.013</v>
      </c>
      <c r="J1886" s="214" t="n"/>
      <c r="K1886" s="208" t="n"/>
      <c r="L1886" s="424" t="n"/>
      <c r="M1886" s="961" t="n"/>
      <c r="N1886" s="214" t="n"/>
    </row>
    <row r="1887">
      <c r="A1887" s="207" t="n"/>
      <c r="B1887" s="209" t="n"/>
      <c r="C1887" s="207" t="n"/>
      <c r="D1887" s="963" t="n"/>
      <c r="E1887" s="214" t="n"/>
      <c r="F1887" s="267" t="n">
        <v>351312</v>
      </c>
      <c r="G1887" s="270" t="inlineStr">
        <is>
          <t>Molla spingiprodotto forza media lungh. m 480</t>
        </is>
      </c>
      <c r="H1887" s="264" t="n">
        <v>20</v>
      </c>
      <c r="I1887" s="265" t="n">
        <v>7.163</v>
      </c>
      <c r="J1887" s="214" t="n"/>
      <c r="K1887" s="208" t="n"/>
      <c r="L1887" s="424" t="n"/>
      <c r="M1887" s="961" t="n"/>
      <c r="N1887" s="214" t="n"/>
    </row>
    <row r="1888">
      <c r="A1888" s="207" t="n"/>
      <c r="B1888" s="209" t="n"/>
      <c r="C1888" s="207" t="n"/>
      <c r="D1888" s="963" t="n"/>
      <c r="E1888" s="214" t="n"/>
      <c r="F1888" s="262" t="n">
        <v>351320</v>
      </c>
      <c r="G1888" s="263" t="inlineStr">
        <is>
          <t>Molla spingiprodotto forza alta lungh. m 380</t>
        </is>
      </c>
      <c r="H1888" s="264" t="n">
        <v>20</v>
      </c>
      <c r="I1888" s="265" t="n">
        <v>4.013</v>
      </c>
      <c r="J1888" s="214" t="n"/>
      <c r="K1888" s="208" t="n"/>
      <c r="L1888" s="424" t="n"/>
      <c r="M1888" s="961" t="n"/>
      <c r="N1888" s="214" t="n"/>
    </row>
    <row r="1889">
      <c r="A1889" s="207" t="n"/>
      <c r="B1889" s="209" t="n"/>
      <c r="C1889" s="207" t="n"/>
      <c r="D1889" s="963" t="n"/>
      <c r="E1889" s="214" t="n"/>
      <c r="F1889" s="262" t="n">
        <v>351321</v>
      </c>
      <c r="G1889" s="263" t="inlineStr">
        <is>
          <t>Molla spingiprodotto forza alta lungh. m 480</t>
        </is>
      </c>
      <c r="H1889" s="264" t="n">
        <v>20</v>
      </c>
      <c r="I1889" s="265" t="n">
        <v>4.55</v>
      </c>
      <c r="J1889" s="214" t="n"/>
      <c r="K1889" s="208" t="n"/>
      <c r="L1889" s="424" t="n"/>
      <c r="M1889" s="961" t="n"/>
      <c r="N1889" s="214" t="n"/>
    </row>
    <row r="1890">
      <c r="A1890" s="207" t="n"/>
      <c r="B1890" s="209" t="n"/>
      <c r="C1890" s="207" t="n"/>
      <c r="D1890" s="963" t="n"/>
      <c r="E1890" s="214" t="n"/>
      <c r="F1890" s="262" t="n">
        <v>351325</v>
      </c>
      <c r="G1890" s="263" t="inlineStr">
        <is>
          <t>Estensione per molla spingiprodotto</t>
        </is>
      </c>
      <c r="H1890" s="264" t="n">
        <v>20</v>
      </c>
      <c r="I1890" s="265" t="n">
        <v>1.452</v>
      </c>
      <c r="J1890" s="214" t="n"/>
      <c r="K1890" s="208" t="n"/>
      <c r="L1890" s="424" t="n"/>
      <c r="M1890" s="961" t="n"/>
      <c r="N1890" s="214" t="n"/>
    </row>
    <row r="1891">
      <c r="A1891" s="207" t="n"/>
      <c r="B1891" s="209" t="n"/>
      <c r="C1891" s="207" t="n"/>
      <c r="D1891" s="963" t="n"/>
      <c r="E1891" s="214" t="n"/>
      <c r="F1891" s="262" t="n">
        <v>351327</v>
      </c>
      <c r="G1891" s="263" t="inlineStr">
        <is>
          <t>Profilo porta prezzi trasparente estruso mm. 25X1325</t>
        </is>
      </c>
      <c r="H1891" s="264" t="n">
        <v>20</v>
      </c>
      <c r="I1891" s="265" t="n">
        <v>6.226</v>
      </c>
      <c r="J1891" s="214" t="n"/>
      <c r="K1891" s="208" t="n"/>
      <c r="L1891" s="424" t="n"/>
      <c r="M1891" s="961" t="n"/>
      <c r="N1891" s="214" t="n"/>
    </row>
    <row r="1892">
      <c r="A1892" s="207" t="n"/>
      <c r="B1892" s="209" t="n"/>
      <c r="C1892" s="207" t="n"/>
      <c r="D1892" s="963" t="n"/>
      <c r="E1892" s="214" t="n"/>
      <c r="F1892" s="262" t="n">
        <v>355010</v>
      </c>
      <c r="G1892" s="263" t="inlineStr">
        <is>
          <t>Profilo porta prezzi piatto cristallo, 1 piega, adesivo mm. 10X1000</t>
        </is>
      </c>
      <c r="H1892" s="262" t="n">
        <v>100</v>
      </c>
      <c r="I1892" s="265" t="n">
        <v>0.591</v>
      </c>
      <c r="J1892" s="214" t="n"/>
      <c r="K1892" s="208" t="n"/>
      <c r="L1892" s="424" t="n"/>
      <c r="M1892" s="961" t="n"/>
      <c r="N1892" s="214" t="n"/>
    </row>
    <row r="1893">
      <c r="A1893" s="207" t="n"/>
      <c r="B1893" s="209" t="n"/>
      <c r="C1893" s="207" t="n"/>
      <c r="D1893" s="963" t="n"/>
      <c r="E1893" s="214" t="n"/>
      <c r="F1893" s="262" t="n">
        <v>355017</v>
      </c>
      <c r="G1893" s="263" t="inlineStr">
        <is>
          <t>Profilo porta prezzi piatto cristallo, 1 piega, adesivo mm. 17X1000</t>
        </is>
      </c>
      <c r="H1893" s="262" t="n">
        <v>100</v>
      </c>
      <c r="I1893" s="265" t="n">
        <v>0.751</v>
      </c>
      <c r="J1893" s="214" t="n"/>
      <c r="K1893" s="208" t="n"/>
      <c r="L1893" s="424" t="n"/>
      <c r="M1893" s="961" t="n"/>
      <c r="N1893" s="214" t="n"/>
    </row>
    <row r="1894">
      <c r="A1894" s="207" t="n"/>
      <c r="B1894" s="209" t="n"/>
      <c r="C1894" s="207" t="n"/>
      <c r="D1894" s="963" t="n"/>
      <c r="E1894" s="214" t="n"/>
      <c r="F1894" s="262" t="n">
        <v>355018</v>
      </c>
      <c r="G1894" s="263" t="inlineStr">
        <is>
          <t>Profilo porta prezzi piatto cristallo, 1 piega, adesivo mm. 18X1000</t>
        </is>
      </c>
      <c r="H1894" s="262" t="n">
        <v>100</v>
      </c>
      <c r="I1894" s="265" t="n">
        <v>0.799</v>
      </c>
      <c r="J1894" s="214" t="n"/>
      <c r="K1894" s="208" t="n"/>
      <c r="L1894" s="424" t="n"/>
      <c r="M1894" s="961" t="n"/>
      <c r="N1894" s="214" t="n"/>
    </row>
    <row r="1895">
      <c r="A1895" s="207" t="n"/>
      <c r="B1895" s="209" t="n"/>
      <c r="C1895" s="207" t="n"/>
      <c r="D1895" s="963" t="n"/>
      <c r="E1895" s="214" t="n"/>
      <c r="F1895" s="262" t="n">
        <v>355020</v>
      </c>
      <c r="G1895" s="263" t="inlineStr">
        <is>
          <t>Profilo porta prezzi piatto cristallo, 1 piega, adesivo mm. 20X1000</t>
        </is>
      </c>
      <c r="H1895" s="262" t="n">
        <v>100</v>
      </c>
      <c r="I1895" s="265" t="n">
        <v>0.799</v>
      </c>
      <c r="J1895" s="214" t="n"/>
      <c r="K1895" s="208" t="n"/>
      <c r="L1895" s="424" t="n"/>
      <c r="M1895" s="961" t="n"/>
      <c r="N1895" s="214" t="n"/>
    </row>
    <row r="1896">
      <c r="A1896" s="207" t="n"/>
      <c r="B1896" s="209" t="n"/>
      <c r="C1896" s="207" t="n"/>
      <c r="D1896" s="963" t="n"/>
      <c r="E1896" s="214" t="n"/>
      <c r="F1896" s="262" t="n">
        <v>355025</v>
      </c>
      <c r="G1896" s="263" t="inlineStr">
        <is>
          <t>Profilo porta prezzi piatto cristallo, 1 piega, adesivo mm. 25X1000</t>
        </is>
      </c>
      <c r="H1896" s="262" t="n">
        <v>100</v>
      </c>
      <c r="I1896" s="265" t="n">
        <v>0.895</v>
      </c>
      <c r="J1896" s="214" t="n"/>
      <c r="K1896" s="208" t="n"/>
      <c r="L1896" s="424" t="n"/>
      <c r="M1896" s="961" t="n"/>
      <c r="N1896" s="214" t="n"/>
    </row>
    <row r="1897">
      <c r="A1897" s="207" t="n"/>
      <c r="B1897" s="209" t="n"/>
      <c r="C1897" s="207" t="n"/>
      <c r="D1897" s="963" t="n"/>
      <c r="E1897" s="214" t="n"/>
      <c r="F1897" s="262" t="n">
        <v>355028</v>
      </c>
      <c r="G1897" s="263" t="inlineStr">
        <is>
          <t>Profilo porta prezzi piatto, 1 piega, adesivo, mm 28x1000 CRISTALLO</t>
        </is>
      </c>
      <c r="H1897" s="262" t="n">
        <v>100</v>
      </c>
      <c r="I1897" s="265" t="n">
        <v>1.095</v>
      </c>
      <c r="J1897" s="214" t="n"/>
      <c r="K1897" s="208" t="n"/>
      <c r="L1897" s="424" t="n"/>
      <c r="M1897" s="961" t="n"/>
      <c r="N1897" s="214" t="n"/>
    </row>
    <row r="1898">
      <c r="A1898" s="207" t="n"/>
      <c r="B1898" s="209" t="n"/>
      <c r="C1898" s="207" t="n"/>
      <c r="D1898" s="963" t="n"/>
      <c r="E1898" s="214" t="n"/>
      <c r="F1898" s="262" t="n">
        <v>355030</v>
      </c>
      <c r="G1898" s="263" t="inlineStr">
        <is>
          <t>Profilo porta prezzi piatto cristallo, 1 piega, adesivo mm. 30X1000</t>
        </is>
      </c>
      <c r="H1898" s="262" t="n">
        <v>100</v>
      </c>
      <c r="I1898" s="265" t="n">
        <v>0.895</v>
      </c>
      <c r="J1898" s="214" t="n"/>
      <c r="K1898" s="208" t="n"/>
      <c r="L1898" s="424" t="n"/>
      <c r="M1898" s="961" t="n"/>
      <c r="N1898" s="214" t="n"/>
    </row>
    <row r="1899">
      <c r="A1899" s="207" t="n"/>
      <c r="B1899" s="209" t="n"/>
      <c r="C1899" s="207" t="n"/>
      <c r="D1899" s="963" t="n"/>
      <c r="E1899" s="214" t="n"/>
      <c r="F1899" s="262" t="n">
        <v>355031</v>
      </c>
      <c r="G1899" s="263" t="inlineStr">
        <is>
          <t>Profilo porta prezzi piatto cristallo, 1 piega, adesivo centrale mm. 38X1330</t>
        </is>
      </c>
      <c r="H1899" s="262" t="n">
        <v>100</v>
      </c>
      <c r="I1899" s="265" t="n">
        <v>1.254</v>
      </c>
      <c r="J1899" s="214" t="n"/>
      <c r="K1899" s="208" t="n"/>
      <c r="L1899" s="424" t="n"/>
      <c r="M1899" s="961" t="n"/>
      <c r="N1899" s="214" t="n"/>
    </row>
    <row r="1900">
      <c r="A1900" s="207" t="n"/>
      <c r="B1900" s="209" t="n"/>
      <c r="C1900" s="207" t="n"/>
      <c r="D1900" s="963" t="n"/>
      <c r="E1900" s="214" t="n"/>
      <c r="F1900" s="262" t="n">
        <v>355032</v>
      </c>
      <c r="G1900" s="263" t="inlineStr">
        <is>
          <t>Profilo porta prezzi piatto cristallo, 1 piega, adesivo mm. 32X1000</t>
        </is>
      </c>
      <c r="H1900" s="262" t="n">
        <v>100</v>
      </c>
      <c r="I1900" s="265" t="n">
        <v>0.959</v>
      </c>
      <c r="J1900" s="214" t="n"/>
      <c r="K1900" s="208" t="n"/>
      <c r="L1900" s="424" t="n"/>
      <c r="M1900" s="961" t="n"/>
      <c r="N1900" s="214" t="n"/>
    </row>
    <row r="1901">
      <c r="A1901" s="207" t="n"/>
      <c r="B1901" s="209" t="n"/>
      <c r="C1901" s="207" t="n"/>
      <c r="D1901" s="963" t="n"/>
      <c r="E1901" s="214" t="n"/>
      <c r="F1901" s="262" t="n">
        <v>355035</v>
      </c>
      <c r="G1901" s="263" t="inlineStr">
        <is>
          <t>Profilo porta prezzi piatto cristallo, 1 piega, adesivo mm. 35X1000</t>
        </is>
      </c>
      <c r="H1901" s="262" t="n">
        <v>100</v>
      </c>
      <c r="I1901" s="265" t="n">
        <v>0.991</v>
      </c>
      <c r="J1901" s="214" t="n"/>
      <c r="K1901" s="208" t="n"/>
      <c r="L1901" s="424" t="n"/>
      <c r="M1901" s="961" t="n"/>
      <c r="N1901" s="214" t="n"/>
    </row>
    <row r="1902">
      <c r="A1902" s="207" t="n"/>
      <c r="B1902" s="209" t="n"/>
      <c r="C1902" s="207" t="n"/>
      <c r="D1902" s="963" t="n"/>
      <c r="E1902" s="214" t="n"/>
      <c r="F1902" s="262" t="n">
        <v>355040</v>
      </c>
      <c r="G1902" s="263" t="inlineStr">
        <is>
          <t>Profilo porta prezzi piatto cristallo, 1 piega, adesivo mm. 40X1000</t>
        </is>
      </c>
      <c r="H1902" s="262" t="n">
        <v>100</v>
      </c>
      <c r="I1902" s="265" t="n">
        <v>1.055</v>
      </c>
      <c r="J1902" s="214" t="n"/>
      <c r="K1902" s="208" t="n"/>
      <c r="L1902" s="424" t="n"/>
      <c r="M1902" s="961" t="n"/>
      <c r="N1902" s="214" t="n"/>
    </row>
    <row r="1903">
      <c r="A1903" s="207" t="n"/>
      <c r="B1903" s="209" t="n"/>
      <c r="C1903" s="207" t="n"/>
      <c r="D1903" s="963" t="n"/>
      <c r="E1903" s="214" t="n"/>
      <c r="F1903" s="262" t="n">
        <v>355041</v>
      </c>
      <c r="G1903" s="263" t="inlineStr">
        <is>
          <t>Profilo porta prezzi cristallo con guida di posa, adesivo mm. 38X1330</t>
        </is>
      </c>
      <c r="H1903" s="262" t="n">
        <v>100</v>
      </c>
      <c r="I1903" s="265" t="n">
        <v>1.606</v>
      </c>
      <c r="J1903" s="214" t="n"/>
      <c r="K1903" s="208" t="n"/>
      <c r="L1903" s="424" t="n"/>
      <c r="M1903" s="961" t="n"/>
      <c r="N1903" s="214" t="n"/>
    </row>
    <row r="1904">
      <c r="A1904" s="207" t="n"/>
      <c r="B1904" s="209" t="n"/>
      <c r="C1904" s="207" t="n"/>
      <c r="D1904" s="963" t="n"/>
      <c r="E1904" s="214" t="n"/>
      <c r="F1904" s="262" t="n">
        <v>355050</v>
      </c>
      <c r="G1904" s="263" t="inlineStr">
        <is>
          <t>Profilo porta prezzi piatto, 1 piega, adesivo mm. 50X1000</t>
        </is>
      </c>
      <c r="H1904" s="262" t="n">
        <v>100</v>
      </c>
      <c r="I1904" s="265" t="n">
        <v>1.071</v>
      </c>
      <c r="J1904" s="214" t="n"/>
      <c r="K1904" s="208" t="n"/>
      <c r="L1904" s="424" t="n"/>
      <c r="M1904" s="961" t="n"/>
      <c r="N1904" s="214" t="n"/>
    </row>
    <row r="1905">
      <c r="A1905" s="207" t="n"/>
      <c r="B1905" s="209" t="n"/>
      <c r="C1905" s="207" t="n"/>
      <c r="D1905" s="963" t="n"/>
      <c r="E1905" s="214" t="n"/>
      <c r="F1905" s="262" t="n">
        <v>355055</v>
      </c>
      <c r="G1905" s="263" t="inlineStr">
        <is>
          <t>Profilo porta prezzi piatto cristallo, 1 piega, adesivo mm. 55X1000</t>
        </is>
      </c>
      <c r="H1905" s="262" t="n">
        <v>100</v>
      </c>
      <c r="I1905" s="265" t="n">
        <v>1.455</v>
      </c>
      <c r="J1905" s="214" t="n"/>
      <c r="K1905" s="208" t="n"/>
      <c r="L1905" s="424" t="n"/>
      <c r="M1905" s="961" t="n"/>
      <c r="N1905" s="214" t="n"/>
    </row>
    <row r="1906">
      <c r="A1906" s="207" t="n"/>
      <c r="B1906" s="209" t="n"/>
      <c r="C1906" s="207" t="n"/>
      <c r="D1906" s="963" t="n"/>
      <c r="E1906" s="214" t="n"/>
      <c r="F1906" s="262" t="n">
        <v>355060</v>
      </c>
      <c r="G1906" s="263" t="inlineStr">
        <is>
          <t>Profilo porta prezzi piatto cristallo, 1 piega, adesivo mm. 60X1000</t>
        </is>
      </c>
      <c r="H1906" s="262" t="n">
        <v>100</v>
      </c>
      <c r="I1906" s="265" t="n">
        <v>1.631</v>
      </c>
      <c r="J1906" s="214" t="n"/>
      <c r="K1906" s="208" t="n"/>
      <c r="L1906" s="424" t="n"/>
      <c r="M1906" s="961" t="n"/>
      <c r="N1906" s="214" t="n"/>
    </row>
    <row r="1907">
      <c r="A1907" s="207" t="n"/>
      <c r="B1907" s="209" t="n"/>
      <c r="C1907" s="207" t="n"/>
      <c r="D1907" s="963" t="n"/>
      <c r="E1907" s="214" t="n"/>
      <c r="F1907" s="262" t="n">
        <v>355061</v>
      </c>
      <c r="G1907" s="263" t="inlineStr">
        <is>
          <t>Profilo porta prezzi cristallo con aletta protettiva, adesivo mm. 38X1330</t>
        </is>
      </c>
      <c r="H1907" s="262" t="n">
        <v>100</v>
      </c>
      <c r="I1907" s="265" t="n">
        <v>1.414</v>
      </c>
      <c r="J1907" s="214" t="n"/>
      <c r="K1907" s="208" t="n"/>
      <c r="L1907" s="424" t="n"/>
      <c r="M1907" s="961" t="n"/>
      <c r="N1907" s="214" t="n"/>
    </row>
    <row r="1908">
      <c r="A1908" s="207" t="n"/>
      <c r="B1908" s="209" t="n"/>
      <c r="C1908" s="207" t="n"/>
      <c r="D1908" s="963" t="n"/>
      <c r="E1908" s="214" t="n"/>
      <c r="F1908" s="262" t="n">
        <v>355063</v>
      </c>
      <c r="G1908" s="263" t="inlineStr">
        <is>
          <t>Profilo porta prezzi piatto, 1 piega, adesivo, aletta post. Bassa, mm 60x1000 CRIS</t>
        </is>
      </c>
      <c r="H1908" s="262" t="n">
        <v>100</v>
      </c>
      <c r="I1908" s="265" t="n">
        <v>1.592</v>
      </c>
      <c r="J1908" s="214" t="n"/>
      <c r="K1908" s="208" t="n"/>
      <c r="L1908" s="424" t="n"/>
      <c r="M1908" s="961" t="n"/>
      <c r="N1908" s="214" t="n"/>
    </row>
    <row r="1909">
      <c r="A1909" s="207" t="n"/>
      <c r="B1909" s="209" t="n"/>
      <c r="C1909" s="207" t="n"/>
      <c r="D1909" s="963" t="n"/>
      <c r="E1909" s="214" t="n"/>
      <c r="F1909" s="262" t="n">
        <v>355110</v>
      </c>
      <c r="G1909" s="263" t="inlineStr">
        <is>
          <t>Profilo porta prezzi piatto cristallo, 1 piega, adesivo mm. 38X1330</t>
        </is>
      </c>
      <c r="H1909" s="262" t="n">
        <v>100</v>
      </c>
      <c r="I1909" s="265" t="n">
        <v>1.414</v>
      </c>
      <c r="J1909" s="214" t="n"/>
      <c r="K1909" s="208" t="n"/>
      <c r="L1909" s="424" t="n"/>
      <c r="M1909" s="961" t="n"/>
      <c r="N1909" s="214" t="n"/>
    </row>
    <row r="1910">
      <c r="A1910" s="207" t="n"/>
      <c r="B1910" s="209" t="n"/>
      <c r="C1910" s="207" t="n"/>
      <c r="D1910" s="963" t="n"/>
      <c r="E1910" s="214" t="n"/>
      <c r="F1910" s="262" t="n">
        <v>355132</v>
      </c>
      <c r="G1910" s="263" t="inlineStr">
        <is>
          <t>Profilo porta prezzi cristallo, adesivo, aletta bassa, mm. 32x1000</t>
        </is>
      </c>
      <c r="H1910" s="262" t="n">
        <v>100</v>
      </c>
      <c r="I1910" s="265" t="n">
        <v>0.767</v>
      </c>
      <c r="J1910" s="214" t="n"/>
      <c r="K1910" s="208" t="n"/>
      <c r="L1910" s="424" t="n"/>
      <c r="M1910" s="961" t="n"/>
      <c r="N1910" s="214" t="n"/>
    </row>
    <row r="1911">
      <c r="A1911" s="207" t="n"/>
      <c r="B1911" s="209" t="n"/>
      <c r="C1911" s="207" t="n"/>
      <c r="D1911" s="963" t="n"/>
      <c r="E1911" s="214" t="n"/>
      <c r="F1911" s="262" t="n">
        <v>355150</v>
      </c>
      <c r="G1911" s="263" t="inlineStr">
        <is>
          <t>Profilo porta prezzi piatto cristallo, 1 piega, adesivo, mm. 50x1000</t>
        </is>
      </c>
      <c r="H1911" s="262" t="n">
        <v>100</v>
      </c>
      <c r="I1911" s="265" t="n">
        <v>1.293</v>
      </c>
      <c r="J1911" s="214" t="n"/>
      <c r="K1911" s="208" t="n"/>
      <c r="L1911" s="424" t="n"/>
      <c r="M1911" s="961" t="n"/>
      <c r="N1911" s="214" t="n"/>
    </row>
    <row r="1912">
      <c r="A1912" s="207" t="n"/>
      <c r="B1912" s="209" t="n"/>
      <c r="C1912" s="207" t="n"/>
      <c r="D1912" s="963" t="n"/>
      <c r="E1912" s="214" t="n"/>
      <c r="F1912" s="262" t="n">
        <v>355160</v>
      </c>
      <c r="G1912" s="263" t="inlineStr">
        <is>
          <t>Profilo porta prezzi piatto cristallo, 1 piega, adesivo centrale  mm. 60X1000</t>
        </is>
      </c>
      <c r="H1912" s="262" t="n">
        <v>100</v>
      </c>
      <c r="I1912" s="265" t="n">
        <v>1.519</v>
      </c>
      <c r="J1912" s="214" t="n"/>
      <c r="K1912" s="208" t="n"/>
      <c r="L1912" s="424" t="n"/>
      <c r="M1912" s="961" t="n"/>
      <c r="N1912" s="214" t="n"/>
    </row>
    <row r="1913">
      <c r="A1913" s="207" t="n"/>
      <c r="B1913" s="209" t="n"/>
      <c r="C1913" s="207" t="n"/>
      <c r="D1913" s="963" t="n"/>
      <c r="E1913" s="214" t="n"/>
      <c r="F1913" s="262" t="n">
        <v>355210</v>
      </c>
      <c r="G1913" s="263" t="inlineStr">
        <is>
          <t>Profilo porta prezzi piatto cristallo, 1 piega, adesivo nella parte inferiore mm. 38X1</t>
        </is>
      </c>
      <c r="H1913" s="262" t="n">
        <v>100</v>
      </c>
      <c r="I1913" s="265" t="n">
        <v>1.446</v>
      </c>
      <c r="J1913" s="214" t="n"/>
      <c r="K1913" s="208" t="n"/>
      <c r="L1913" s="424" t="n"/>
      <c r="M1913" s="961" t="n"/>
      <c r="N1913" s="214" t="n"/>
    </row>
    <row r="1914">
      <c r="A1914" s="207" t="n"/>
      <c r="B1914" s="209" t="n"/>
      <c r="C1914" s="207" t="n"/>
      <c r="D1914" s="963" t="n"/>
      <c r="E1914" s="214" t="n"/>
      <c r="F1914" s="262" t="n">
        <v>355250</v>
      </c>
      <c r="G1914" s="263" t="inlineStr">
        <is>
          <t>Profilo porta prezzi piatto cristallo, 1 piega, adesivo centrale, mm. 50x1000</t>
        </is>
      </c>
      <c r="H1914" s="262" t="n">
        <v>100</v>
      </c>
      <c r="I1914" s="265" t="n">
        <v>1.293</v>
      </c>
      <c r="J1914" s="214" t="n"/>
      <c r="K1914" s="208" t="n"/>
      <c r="L1914" s="424" t="n"/>
      <c r="M1914" s="961" t="n"/>
      <c r="N1914" s="214" t="n"/>
    </row>
    <row r="1915">
      <c r="A1915" s="207" t="n"/>
      <c r="B1915" s="209" t="n"/>
      <c r="C1915" s="207" t="n"/>
      <c r="D1915" s="963" t="n"/>
      <c r="E1915" s="214" t="n"/>
      <c r="F1915" s="262" t="n">
        <v>355350</v>
      </c>
      <c r="G1915" s="263" t="inlineStr">
        <is>
          <t>Profilo porta prezzi piatto cristallo, 1 piega, adesivo superiore, mm. 50x1000</t>
        </is>
      </c>
      <c r="H1915" s="262" t="n">
        <v>100</v>
      </c>
      <c r="I1915" s="265" t="n">
        <v>1.183</v>
      </c>
      <c r="J1915" s="214" t="n"/>
      <c r="K1915" s="208" t="n"/>
      <c r="L1915" s="424" t="n"/>
      <c r="M1915" s="961" t="n"/>
      <c r="N1915" s="214" t="n"/>
    </row>
    <row r="1916">
      <c r="A1916" s="207" t="n"/>
      <c r="B1916" s="209" t="n"/>
      <c r="C1916" s="207" t="n"/>
      <c r="D1916" s="963" t="n"/>
      <c r="E1916" s="214" t="n"/>
      <c r="F1916" s="262" t="n">
        <v>355450</v>
      </c>
      <c r="G1916" s="263" t="inlineStr">
        <is>
          <t>Profilo porta prezzi cristallo con guida di possa, adesivo, mm. 50x1000</t>
        </is>
      </c>
      <c r="H1916" s="262" t="n">
        <v>100</v>
      </c>
      <c r="I1916" s="265" t="n">
        <v>1.197</v>
      </c>
      <c r="J1916" s="214" t="n"/>
      <c r="K1916" s="208" t="n"/>
      <c r="L1916" s="424" t="n"/>
      <c r="M1916" s="961" t="n"/>
      <c r="N1916" s="214" t="n"/>
    </row>
    <row r="1917">
      <c r="A1917" s="207" t="n"/>
      <c r="B1917" s="209" t="n"/>
      <c r="C1917" s="207" t="n"/>
      <c r="D1917" s="963" t="n"/>
      <c r="E1917" s="214" t="n"/>
      <c r="F1917" s="262" t="n">
        <v>355941</v>
      </c>
      <c r="G1917" s="263" t="inlineStr">
        <is>
          <t>Profilo porta prezzi adesivo a 90° mm 30x1000 - Aletta da mm 20 CRISTALLO</t>
        </is>
      </c>
      <c r="H1917" s="262" t="n">
        <v>100</v>
      </c>
      <c r="I1917" s="265" t="n">
        <v>1.623</v>
      </c>
      <c r="J1917" s="214" t="n"/>
      <c r="K1917" s="208" t="n"/>
      <c r="L1917" s="424" t="n"/>
      <c r="M1917" s="961" t="n"/>
      <c r="N1917" s="214" t="n"/>
    </row>
    <row r="1918">
      <c r="A1918" s="207" t="n"/>
      <c r="B1918" s="209" t="n"/>
      <c r="C1918" s="207" t="n"/>
      <c r="D1918" s="963" t="n"/>
      <c r="E1918" s="214" t="n"/>
      <c r="F1918" s="262" t="n">
        <v>355942</v>
      </c>
      <c r="G1918" s="263" t="inlineStr">
        <is>
          <t>Profilo porta prezzi cristallo adesivo a 90° mm. 40x1000 - Aletta da 20 mm.</t>
        </is>
      </c>
      <c r="H1918" s="262" t="n">
        <v>100</v>
      </c>
      <c r="I1918" s="265" t="n">
        <v>1.337</v>
      </c>
      <c r="J1918" s="214" t="n"/>
      <c r="K1918" s="208" t="n"/>
      <c r="L1918" s="424" t="n"/>
      <c r="M1918" s="961" t="n"/>
      <c r="N1918" s="214" t="n"/>
    </row>
    <row r="1919">
      <c r="A1919" s="207" t="n"/>
      <c r="B1919" s="209" t="n"/>
      <c r="C1919" s="207" t="n"/>
      <c r="D1919" s="963" t="n"/>
      <c r="E1919" s="214" t="n"/>
      <c r="F1919" s="262" t="n">
        <v>355943</v>
      </c>
      <c r="G1919" s="263" t="inlineStr">
        <is>
          <t>Profilo porta prezzi cristallo adesivo a 90° mm. 40x1000 - Aletta da 30 mm.</t>
        </is>
      </c>
      <c r="H1919" s="262" t="n">
        <v>100</v>
      </c>
      <c r="I1919" s="265" t="n">
        <v>1.405</v>
      </c>
      <c r="J1919" s="214" t="n"/>
      <c r="K1919" s="208" t="n"/>
      <c r="L1919" s="424" t="n"/>
      <c r="M1919" s="961" t="n"/>
      <c r="N1919" s="214" t="n"/>
    </row>
    <row r="1920">
      <c r="A1920" s="207" t="n"/>
      <c r="B1920" s="209" t="n"/>
      <c r="C1920" s="207" t="n"/>
      <c r="D1920" s="963" t="n"/>
      <c r="E1920" s="214" t="n"/>
      <c r="F1920" s="262" t="n">
        <v>355944</v>
      </c>
      <c r="G1920" s="263" t="inlineStr">
        <is>
          <t>Profilo porta prezzi cristallo adesivo a 90° mm. 40x1000 - Aletta da 40 mm.</t>
        </is>
      </c>
      <c r="H1920" s="262" t="n">
        <v>100</v>
      </c>
      <c r="I1920" s="265" t="n">
        <v>1.484</v>
      </c>
      <c r="J1920" s="214" t="n"/>
      <c r="K1920" s="208" t="n"/>
      <c r="L1920" s="424" t="n"/>
      <c r="M1920" s="961" t="n"/>
      <c r="N1920" s="214" t="n"/>
    </row>
    <row r="1921">
      <c r="A1921" s="207" t="n"/>
      <c r="B1921" s="209" t="n"/>
      <c r="C1921" s="207" t="n"/>
      <c r="D1921" s="963" t="n"/>
      <c r="E1921" s="214" t="n"/>
      <c r="F1921" s="262" t="n">
        <v>355962</v>
      </c>
      <c r="G1921" s="263" t="inlineStr">
        <is>
          <t>Profilo porta prezzi cristallo adesivo a 90° mm. 60x1000 - Aletta da 20 mm.</t>
        </is>
      </c>
      <c r="H1921" s="262" t="n">
        <v>100</v>
      </c>
      <c r="I1921" s="265" t="n">
        <v>1.643</v>
      </c>
      <c r="J1921" s="214" t="n"/>
      <c r="K1921" s="208" t="n"/>
      <c r="L1921" s="424" t="n"/>
      <c r="M1921" s="961" t="n"/>
      <c r="N1921" s="214" t="n"/>
    </row>
    <row r="1922">
      <c r="A1922" s="207" t="n"/>
      <c r="B1922" s="209" t="n"/>
      <c r="C1922" s="207" t="n"/>
      <c r="D1922" s="963" t="n"/>
      <c r="E1922" s="214" t="n"/>
      <c r="F1922" s="262" t="n">
        <v>355963</v>
      </c>
      <c r="G1922" s="263" t="inlineStr">
        <is>
          <t>Profilo porta prezzi cristallo adesivo a 90° mm. 60x1000 - Aletta da 30 mm.</t>
        </is>
      </c>
      <c r="H1922" s="262" t="n">
        <v>100</v>
      </c>
      <c r="I1922" s="265" t="n">
        <v>1.761</v>
      </c>
      <c r="J1922" s="214" t="n"/>
      <c r="K1922" s="208" t="n"/>
      <c r="L1922" s="424" t="n"/>
      <c r="M1922" s="961" t="n"/>
      <c r="N1922" s="214" t="n"/>
    </row>
    <row r="1923">
      <c r="A1923" s="207" t="n"/>
      <c r="B1923" s="209" t="n"/>
      <c r="C1923" s="207" t="n"/>
      <c r="D1923" s="963" t="n"/>
      <c r="E1923" s="214" t="n"/>
      <c r="F1923" s="262" t="n">
        <v>355964</v>
      </c>
      <c r="G1923" s="263" t="inlineStr">
        <is>
          <t>Profilo porta prezzi cristallo adesivo a 90° mm. 60x1000 - Aletta da 40 mm.</t>
        </is>
      </c>
      <c r="H1923" s="262" t="n">
        <v>100</v>
      </c>
      <c r="I1923" s="265" t="n">
        <v>1.841</v>
      </c>
      <c r="J1923" s="214" t="n"/>
      <c r="K1923" s="208" t="n"/>
      <c r="L1923" s="424" t="n"/>
      <c r="M1923" s="961" t="n"/>
      <c r="N1923" s="214" t="n"/>
    </row>
    <row r="1924">
      <c r="A1924" s="207" t="n"/>
      <c r="B1924" s="209" t="n"/>
      <c r="C1924" s="207" t="n"/>
      <c r="D1924" s="963" t="n"/>
      <c r="E1924" s="214" t="n"/>
      <c r="F1924" s="262" t="n">
        <v>356000</v>
      </c>
      <c r="G1924" s="263" t="inlineStr">
        <is>
          <t>Profilo porta prezzi cristallo adesivo a 105° mm. 20x1000 - Aletta da 20 mm.</t>
        </is>
      </c>
      <c r="H1924" s="262" t="n">
        <v>100</v>
      </c>
      <c r="I1924" s="265" t="n">
        <v>0.912</v>
      </c>
      <c r="J1924" s="214" t="n"/>
      <c r="K1924" s="208" t="n"/>
      <c r="L1924" s="424" t="n"/>
      <c r="M1924" s="961" t="n"/>
      <c r="N1924" s="214" t="n"/>
    </row>
    <row r="1925">
      <c r="A1925" s="207" t="n"/>
      <c r="B1925" s="209" t="n"/>
      <c r="C1925" s="207" t="n"/>
      <c r="D1925" s="963" t="n"/>
      <c r="E1925" s="214" t="n"/>
      <c r="F1925" s="262" t="n">
        <v>356001</v>
      </c>
      <c r="G1925" s="263" t="inlineStr">
        <is>
          <t>Profilo porta prezzi cristallo adesivo a 105° mm. 30x1000 - Aletta da 20 mm.</t>
        </is>
      </c>
      <c r="H1925" s="262" t="n">
        <v>100</v>
      </c>
      <c r="I1925" s="265" t="n">
        <v>1.004</v>
      </c>
      <c r="J1925" s="214" t="n"/>
      <c r="K1925" s="208" t="n"/>
      <c r="L1925" s="424" t="n"/>
      <c r="M1925" s="961" t="n"/>
      <c r="N1925" s="214" t="n"/>
    </row>
    <row r="1926">
      <c r="A1926" s="207" t="n"/>
      <c r="B1926" s="209" t="n"/>
      <c r="C1926" s="207" t="n"/>
      <c r="D1926" s="963" t="n"/>
      <c r="E1926" s="214" t="n"/>
      <c r="F1926" s="262" t="n">
        <v>356002</v>
      </c>
      <c r="G1926" s="263" t="inlineStr">
        <is>
          <t>Profilo porta prezzi cristallo adesivo a 105° mm. 40x1000 - Aletta da 20 mm.</t>
        </is>
      </c>
      <c r="H1926" s="262" t="n">
        <v>100</v>
      </c>
      <c r="I1926" s="265" t="n">
        <v>1.268</v>
      </c>
      <c r="J1926" s="214" t="n"/>
      <c r="K1926" s="208" t="n"/>
      <c r="L1926" s="424" t="n"/>
      <c r="M1926" s="961" t="n"/>
      <c r="N1926" s="214" t="n"/>
    </row>
    <row r="1927">
      <c r="A1927" s="207" t="n"/>
      <c r="B1927" s="209" t="n"/>
      <c r="C1927" s="207" t="n"/>
      <c r="D1927" s="963" t="n"/>
      <c r="E1927" s="214" t="n"/>
      <c r="F1927" s="262" t="n">
        <v>356020</v>
      </c>
      <c r="G1927" s="263" t="inlineStr">
        <is>
          <t>Profilo porta prezzi cristallo inclinato mm. 20x1000</t>
        </is>
      </c>
      <c r="H1927" s="262" t="n">
        <v>100</v>
      </c>
      <c r="I1927" s="265" t="n">
        <v>0.925</v>
      </c>
      <c r="J1927" s="214" t="n"/>
      <c r="K1927" s="208" t="n"/>
      <c r="L1927" s="424" t="n"/>
      <c r="M1927" s="961" t="n"/>
      <c r="N1927" s="214" t="n"/>
    </row>
    <row r="1928">
      <c r="A1928" s="207" t="n"/>
      <c r="B1928" s="209" t="n"/>
      <c r="C1928" s="207" t="n"/>
      <c r="D1928" s="963" t="n"/>
      <c r="E1928" s="214" t="n"/>
      <c r="F1928" s="262" t="n">
        <v>356021</v>
      </c>
      <c r="G1928" s="263" t="inlineStr">
        <is>
          <t>Profilo porta prezzi cristallo inclinato mm. 30x1000</t>
        </is>
      </c>
      <c r="H1928" s="262" t="n">
        <v>100</v>
      </c>
      <c r="I1928" s="265" t="n">
        <v>1.139</v>
      </c>
      <c r="J1928" s="214" t="n"/>
      <c r="K1928" s="208" t="n"/>
      <c r="L1928" s="424" t="n"/>
      <c r="M1928" s="961" t="n"/>
      <c r="N1928" s="214" t="n"/>
    </row>
    <row r="1929">
      <c r="A1929" s="207" t="n"/>
      <c r="B1929" s="209" t="n"/>
      <c r="C1929" s="207" t="n"/>
      <c r="D1929" s="963" t="n"/>
      <c r="E1929" s="214" t="n"/>
      <c r="F1929" s="262" t="n">
        <v>356022</v>
      </c>
      <c r="G1929" s="263" t="inlineStr">
        <is>
          <t>Profilo porta prezzi cristallo inclinato mm. 40x1000</t>
        </is>
      </c>
      <c r="H1929" s="262" t="n">
        <v>100</v>
      </c>
      <c r="I1929" s="265" t="n">
        <v>1.299</v>
      </c>
      <c r="J1929" s="214" t="n"/>
      <c r="K1929" s="208" t="n"/>
      <c r="L1929" s="424" t="n"/>
      <c r="M1929" s="961" t="n"/>
      <c r="N1929" s="214" t="n"/>
    </row>
    <row r="1930">
      <c r="A1930" s="207" t="n"/>
      <c r="B1930" s="209" t="n"/>
      <c r="C1930" s="207" t="n"/>
      <c r="D1930" s="963" t="n"/>
      <c r="E1930" s="214" t="n"/>
      <c r="F1930" s="262" t="n">
        <v>390315</v>
      </c>
      <c r="G1930" s="263" t="inlineStr">
        <is>
          <t>Distributore a chiocciola con supporto rosso</t>
        </is>
      </c>
      <c r="H1930" s="262" t="n">
        <v>100</v>
      </c>
      <c r="I1930" s="265" t="n">
        <v>11.88</v>
      </c>
      <c r="J1930" s="214" t="n"/>
      <c r="K1930" s="208" t="n"/>
      <c r="L1930" s="424" t="n"/>
      <c r="M1930" s="961" t="n"/>
      <c r="N1930" s="214" t="n"/>
    </row>
    <row r="1931">
      <c r="A1931" s="207" t="n"/>
      <c r="B1931" s="209" t="n"/>
      <c r="C1931" s="207" t="n"/>
      <c r="D1931" s="963" t="n"/>
      <c r="E1931" s="214" t="n"/>
      <c r="F1931" s="262" t="n">
        <v>390316</v>
      </c>
      <c r="G1931" s="263" t="inlineStr">
        <is>
          <t>Distributore a chiocciola con supporto giallo</t>
        </is>
      </c>
      <c r="H1931" s="262" t="n">
        <v>100</v>
      </c>
      <c r="I1931" s="265" t="n">
        <v>15.444</v>
      </c>
      <c r="J1931" s="214" t="n"/>
      <c r="K1931" s="208" t="n"/>
      <c r="L1931" s="424" t="n"/>
      <c r="M1931" s="961" t="n"/>
      <c r="N1931" s="214" t="n"/>
    </row>
    <row r="1932">
      <c r="A1932" s="207" t="n"/>
      <c r="B1932" s="209" t="n"/>
      <c r="C1932" s="207" t="n"/>
      <c r="D1932" s="963" t="n"/>
      <c r="E1932" s="214" t="n"/>
      <c r="F1932" s="262" t="n">
        <v>390317</v>
      </c>
      <c r="G1932" s="263" t="inlineStr">
        <is>
          <t>Distributore a chiocciola con supporto verde</t>
        </is>
      </c>
      <c r="H1932" s="262" t="n">
        <v>100</v>
      </c>
      <c r="I1932" s="265" t="n">
        <v>15.444</v>
      </c>
      <c r="J1932" s="214" t="n"/>
      <c r="K1932" s="208" t="n"/>
      <c r="L1932" s="424" t="n"/>
      <c r="M1932" s="961" t="n"/>
      <c r="N1932" s="214" t="n"/>
    </row>
    <row r="1933">
      <c r="A1933" s="207" t="n"/>
      <c r="B1933" s="209" t="n"/>
      <c r="C1933" s="207" t="n"/>
      <c r="D1933" s="963" t="n"/>
      <c r="E1933" s="214" t="n"/>
      <c r="F1933" s="262" t="n">
        <v>390318</v>
      </c>
      <c r="G1933" s="263" t="inlineStr">
        <is>
          <t>Distributore a chiocciola con supporto blu</t>
        </is>
      </c>
      <c r="H1933" s="262" t="n">
        <v>100</v>
      </c>
      <c r="I1933" s="265" t="n">
        <v>15.444</v>
      </c>
      <c r="J1933" s="214" t="n"/>
      <c r="K1933" s="208" t="n"/>
      <c r="L1933" s="424" t="n"/>
      <c r="M1933" s="961" t="n"/>
      <c r="N1933" s="214" t="n"/>
    </row>
    <row r="1934">
      <c r="A1934" s="207" t="n"/>
      <c r="B1934" s="209" t="n"/>
      <c r="C1934" s="207" t="n"/>
      <c r="D1934" s="963" t="n"/>
      <c r="E1934" s="214" t="n"/>
      <c r="F1934" s="262" t="n">
        <v>390325</v>
      </c>
      <c r="G1934" s="263" t="inlineStr">
        <is>
          <t>Scontrini</t>
        </is>
      </c>
      <c r="H1934" s="262" t="n">
        <v>100</v>
      </c>
      <c r="I1934" s="265" t="n">
        <v>4.32</v>
      </c>
      <c r="J1934" s="214" t="n"/>
      <c r="K1934" s="208" t="n"/>
      <c r="L1934" s="424" t="n"/>
      <c r="M1934" s="961" t="n"/>
      <c r="N1934" s="214" t="n"/>
    </row>
    <row r="1935">
      <c r="A1935" s="207" t="n"/>
      <c r="B1935" s="209" t="n"/>
      <c r="C1935" s="207" t="n"/>
      <c r="D1935" s="963" t="n"/>
      <c r="E1935" s="214" t="n"/>
      <c r="F1935" s="262" t="n">
        <v>390327</v>
      </c>
      <c r="G1935" s="263" t="inlineStr">
        <is>
          <t>Raccoglitore scontrini</t>
        </is>
      </c>
      <c r="H1935" s="262" t="n">
        <v>100</v>
      </c>
      <c r="I1935" s="265" t="n">
        <v>21.33</v>
      </c>
      <c r="J1935" s="214" t="n"/>
      <c r="K1935" s="208" t="n"/>
      <c r="L1935" s="424" t="n"/>
      <c r="M1935" s="961" t="n"/>
      <c r="N1935" s="214" t="n"/>
    </row>
    <row r="1936">
      <c r="A1936" s="207" t="n"/>
      <c r="B1936" s="209" t="n"/>
      <c r="C1936" s="207" t="n"/>
      <c r="D1936" s="963" t="n"/>
      <c r="E1936" s="214" t="n"/>
      <c r="F1936" s="262" t="n">
        <v>399002</v>
      </c>
      <c r="G1936" s="263" t="inlineStr">
        <is>
          <t>Profilo porta prezzi adesivo a 105° mm 40x1000 - Aletta da mm 20, PET</t>
        </is>
      </c>
      <c r="H1936" s="262" t="n">
        <v>100</v>
      </c>
      <c r="I1936" s="265" t="n">
        <v>1.676</v>
      </c>
      <c r="J1936" s="214" t="n"/>
      <c r="K1936" s="208" t="n"/>
      <c r="L1936" s="424" t="n"/>
      <c r="M1936" s="961" t="n"/>
      <c r="N1936" s="214" t="n"/>
    </row>
    <row r="1937">
      <c r="A1937" s="207" t="n"/>
      <c r="B1937" s="209" t="n"/>
      <c r="C1937" s="207" t="n"/>
      <c r="D1937" s="963" t="n"/>
      <c r="E1937" s="214" t="n"/>
      <c r="F1937" s="262" t="n">
        <v>399020</v>
      </c>
      <c r="G1937" s="263" t="inlineStr">
        <is>
          <t>Profilo porta prezzi piatto, 1 piega, adesivo, mm 20x1000 PET</t>
        </is>
      </c>
      <c r="H1937" s="262" t="n">
        <v>100</v>
      </c>
      <c r="I1937" s="265" t="n">
        <v>1.048</v>
      </c>
      <c r="J1937" s="214" t="n"/>
      <c r="K1937" s="208" t="n"/>
      <c r="L1937" s="424" t="n"/>
      <c r="M1937" s="961" t="n"/>
      <c r="N1937" s="214" t="n"/>
    </row>
    <row r="1938">
      <c r="A1938" s="207" t="n"/>
      <c r="B1938" s="209" t="n"/>
      <c r="C1938" s="207" t="n"/>
      <c r="D1938" s="963" t="n"/>
      <c r="E1938" s="214" t="n"/>
      <c r="F1938" s="262" t="n">
        <v>399021</v>
      </c>
      <c r="G1938" s="263" t="inlineStr">
        <is>
          <t>Profilo porta prezzi inclinato mm 30x1000 PET</t>
        </is>
      </c>
      <c r="H1938" s="262" t="n">
        <v>100</v>
      </c>
      <c r="I1938" s="265" t="n">
        <v>1.494</v>
      </c>
      <c r="J1938" s="214" t="n"/>
      <c r="K1938" s="208" t="n"/>
      <c r="L1938" s="424" t="n"/>
      <c r="M1938" s="961" t="n"/>
      <c r="N1938" s="214" t="n"/>
    </row>
    <row r="1939">
      <c r="A1939" s="207" t="n"/>
      <c r="B1939" s="209" t="n"/>
      <c r="C1939" s="207" t="n"/>
      <c r="D1939" s="963" t="n"/>
      <c r="E1939" s="214" t="n"/>
      <c r="F1939" s="262" t="n">
        <v>399025</v>
      </c>
      <c r="G1939" s="263" t="inlineStr">
        <is>
          <t>Profilo porta prezzi piatto, 1 piega, adesivo, mm 25x1000 PET</t>
        </is>
      </c>
      <c r="H1939" s="262" t="n">
        <v>100</v>
      </c>
      <c r="I1939" s="265" t="n">
        <v>1.11</v>
      </c>
      <c r="J1939" s="214" t="n"/>
      <c r="K1939" s="208" t="n"/>
      <c r="L1939" s="424" t="n"/>
      <c r="M1939" s="961" t="n"/>
      <c r="N1939" s="214" t="n"/>
    </row>
    <row r="1940">
      <c r="A1940" s="207" t="n"/>
      <c r="B1940" s="209" t="n"/>
      <c r="C1940" s="207" t="n"/>
      <c r="D1940" s="963" t="n"/>
      <c r="E1940" s="214" t="n"/>
      <c r="F1940" s="262" t="n">
        <v>399030</v>
      </c>
      <c r="G1940" s="263" t="inlineStr">
        <is>
          <t>Profilo porta prezzi piatto, 1 piega, adesivo, mm 30x1000 PET</t>
        </is>
      </c>
      <c r="H1940" s="262" t="n">
        <v>100</v>
      </c>
      <c r="I1940" s="265" t="n">
        <v>1.041</v>
      </c>
      <c r="J1940" s="214" t="n"/>
      <c r="K1940" s="208" t="n"/>
      <c r="L1940" s="424" t="n"/>
      <c r="M1940" s="961" t="n"/>
      <c r="N1940" s="214" t="n"/>
    </row>
    <row r="1941">
      <c r="A1941" s="207" t="n"/>
      <c r="B1941" s="209" t="n"/>
      <c r="C1941" s="207" t="n"/>
      <c r="D1941" s="963" t="n"/>
      <c r="E1941" s="214" t="n"/>
      <c r="F1941" s="262" t="n">
        <v>399040</v>
      </c>
      <c r="G1941" s="263" t="inlineStr">
        <is>
          <t>Profilo porta prezzi piatto, 1 piega, adesivo, mm 40x1000 PET</t>
        </is>
      </c>
      <c r="H1941" s="262" t="n">
        <v>100</v>
      </c>
      <c r="I1941" s="265" t="n">
        <v>1.325</v>
      </c>
      <c r="J1941" s="214" t="n"/>
      <c r="K1941" s="208" t="n"/>
      <c r="L1941" s="424" t="n"/>
      <c r="M1941" s="961" t="n"/>
      <c r="N1941" s="214" t="n"/>
    </row>
    <row r="1942">
      <c r="A1942" s="207" t="n"/>
      <c r="B1942" s="209" t="n"/>
      <c r="C1942" s="207" t="n"/>
      <c r="D1942" s="963" t="n"/>
      <c r="E1942" s="214" t="n"/>
      <c r="F1942" s="262" t="n">
        <v>399041</v>
      </c>
      <c r="G1942" s="263" t="inlineStr">
        <is>
          <t>Profilo porta prezzi con guida di posa, adesivo, mm 38x1330 PET</t>
        </is>
      </c>
      <c r="H1942" s="262" t="n">
        <v>100</v>
      </c>
      <c r="I1942" s="265" t="n">
        <v>1.795</v>
      </c>
      <c r="J1942" s="214" t="n"/>
      <c r="K1942" s="208" t="n"/>
      <c r="L1942" s="424" t="n"/>
      <c r="M1942" s="961" t="n"/>
      <c r="N1942" s="214" t="n"/>
    </row>
    <row r="1943">
      <c r="A1943" s="207" t="n"/>
      <c r="B1943" s="209" t="n"/>
      <c r="C1943" s="207" t="n"/>
      <c r="D1943" s="963" t="n"/>
      <c r="E1943" s="214" t="n"/>
      <c r="F1943" s="262" t="n">
        <v>399060</v>
      </c>
      <c r="G1943" s="263" t="inlineStr">
        <is>
          <t>Profilo porta prezzi piatto, 1 piega, adesivo, mm 60x1000 PET</t>
        </is>
      </c>
      <c r="H1943" s="262" t="n">
        <v>100</v>
      </c>
      <c r="I1943" s="265" t="n">
        <v>1.908</v>
      </c>
      <c r="J1943" s="214" t="n"/>
      <c r="K1943" s="208" t="n"/>
      <c r="L1943" s="424" t="n"/>
      <c r="M1943" s="961" t="n"/>
      <c r="N1943" s="214" t="n"/>
    </row>
    <row r="1944">
      <c r="A1944" s="207" t="n"/>
      <c r="B1944" s="209" t="n"/>
      <c r="C1944" s="207" t="n"/>
      <c r="D1944" s="963" t="n"/>
      <c r="E1944" s="214" t="n"/>
      <c r="F1944" s="262" t="n">
        <v>399110</v>
      </c>
      <c r="G1944" s="263" t="inlineStr">
        <is>
          <t>Profilo porta prezzi piatto, 1 piega, adesivo, mm 38x1330 PET</t>
        </is>
      </c>
      <c r="H1944" s="262" t="n">
        <v>100</v>
      </c>
      <c r="I1944" s="265" t="n">
        <v>1.795</v>
      </c>
      <c r="J1944" s="214" t="n"/>
      <c r="K1944" s="208" t="n"/>
      <c r="L1944" s="424" t="n"/>
      <c r="M1944" s="961" t="n"/>
      <c r="N1944" s="214" t="n"/>
    </row>
    <row r="1945">
      <c r="A1945" s="207" t="n"/>
      <c r="B1945" s="209" t="n"/>
      <c r="C1945" s="207" t="n"/>
      <c r="D1945" s="963" t="n"/>
      <c r="E1945" s="214" t="n"/>
      <c r="F1945" s="262" t="n">
        <v>399133</v>
      </c>
      <c r="G1945" s="263" t="inlineStr">
        <is>
          <t>Profilo porta prezzi adesivo mm 32x1000 - Per etichette h. mm 20, PET</t>
        </is>
      </c>
      <c r="H1945" s="262" t="n">
        <v>100</v>
      </c>
      <c r="I1945" s="265" t="n">
        <v>1.075</v>
      </c>
      <c r="J1945" s="214" t="n"/>
      <c r="K1945" s="208" t="n"/>
      <c r="L1945" s="424" t="n"/>
      <c r="M1945" s="961" t="n"/>
      <c r="N1945" s="214" t="n"/>
    </row>
    <row r="1946">
      <c r="A1946" s="207" t="n"/>
      <c r="B1946" s="209" t="n"/>
      <c r="C1946" s="207" t="n"/>
      <c r="D1946" s="963" t="n"/>
      <c r="E1946" s="214" t="n"/>
      <c r="F1946" s="262" t="n">
        <v>399250</v>
      </c>
      <c r="G1946" s="263" t="inlineStr">
        <is>
          <t>Profilo porta prezzi piatto, 1 piega, adesivo centrale, mm 50x1000 PET</t>
        </is>
      </c>
      <c r="H1946" s="262" t="n">
        <v>100</v>
      </c>
      <c r="I1946" s="265" t="n">
        <v>1.701</v>
      </c>
      <c r="J1946" s="214" t="n"/>
      <c r="K1946" s="208" t="n"/>
      <c r="L1946" s="424" t="n"/>
      <c r="M1946" s="961" t="n"/>
      <c r="N1946" s="214" t="n"/>
    </row>
    <row r="1947">
      <c r="A1947" s="207" t="n"/>
      <c r="B1947" s="209" t="n"/>
      <c r="C1947" s="207" t="n"/>
      <c r="D1947" s="963" t="n"/>
      <c r="E1947" s="214" t="n"/>
      <c r="F1947" s="262" t="n">
        <v>399920</v>
      </c>
      <c r="G1947" s="263" t="inlineStr">
        <is>
          <t>Profilo porta prezzi adesivo a 90° mm 20x1000, PET</t>
        </is>
      </c>
      <c r="H1947" s="262" t="n">
        <v>100</v>
      </c>
      <c r="I1947" s="265" t="n">
        <v>1.162</v>
      </c>
      <c r="J1947" s="214" t="n"/>
      <c r="K1947" s="208" t="n"/>
      <c r="L1947" s="424" t="n"/>
      <c r="M1947" s="961" t="n"/>
      <c r="N1947" s="214" t="n"/>
    </row>
    <row r="1948">
      <c r="A1948" s="207" t="n"/>
      <c r="B1948" s="209" t="n"/>
      <c r="C1948" s="207" t="n"/>
      <c r="D1948" s="963" t="n"/>
      <c r="E1948" s="214" t="n"/>
      <c r="F1948" s="262" t="n">
        <v>399941</v>
      </c>
      <c r="G1948" s="263" t="inlineStr">
        <is>
          <t>Profilo porta prezzi adesivo a 90° mm 30x1000 - Aletta da mm 20, PET</t>
        </is>
      </c>
      <c r="H1948" s="262" t="n">
        <v>100</v>
      </c>
      <c r="I1948" s="265" t="n">
        <v>1.69</v>
      </c>
      <c r="J1948" s="214" t="n"/>
      <c r="K1948" s="208" t="n"/>
      <c r="L1948" s="424" t="n"/>
      <c r="M1948" s="961" t="n"/>
      <c r="N1948" s="214" t="n"/>
    </row>
    <row r="1949">
      <c r="A1949" s="207" t="n"/>
      <c r="B1949" s="209" t="n"/>
      <c r="C1949" s="207" t="n"/>
      <c r="D1949" s="963" t="n"/>
      <c r="E1949" s="214" t="n"/>
      <c r="F1949" s="262" t="n">
        <v>399942</v>
      </c>
      <c r="G1949" s="263" t="inlineStr">
        <is>
          <t>Profilo porta prezzi adesivo a 90° mm 40x1000 - Aletta da mm 20, PET</t>
        </is>
      </c>
      <c r="H1949" s="262" t="n">
        <v>100</v>
      </c>
      <c r="I1949" s="265" t="n">
        <v>1.758</v>
      </c>
      <c r="J1949" s="214" t="n"/>
      <c r="K1949" s="208" t="n"/>
      <c r="L1949" s="424" t="n"/>
      <c r="M1949" s="961" t="n"/>
      <c r="N1949" s="214" t="n"/>
    </row>
    <row r="1950">
      <c r="A1950" s="207" t="n"/>
      <c r="B1950" s="209" t="n"/>
      <c r="C1950" s="207" t="n"/>
      <c r="D1950" s="963" t="n"/>
      <c r="E1950" s="214" t="n"/>
      <c r="F1950" s="262" t="n">
        <v>399962</v>
      </c>
      <c r="G1950" s="263" t="inlineStr">
        <is>
          <t>Profilo porta prezzi adesivo a 90° mm 60x1000 - Aletta da mm 20, PET</t>
        </is>
      </c>
      <c r="H1950" s="262" t="n">
        <v>100</v>
      </c>
      <c r="I1950" s="265" t="n">
        <v>2.367</v>
      </c>
      <c r="J1950" s="214" t="n"/>
      <c r="K1950" s="208" t="n"/>
      <c r="L1950" s="424" t="n"/>
      <c r="M1950" s="961" t="n"/>
      <c r="N1950" s="214" t="n"/>
    </row>
    <row r="1951">
      <c r="A1951" s="207" t="n"/>
      <c r="B1951" s="209" t="n"/>
      <c r="C1951" s="207" t="n"/>
      <c r="D1951" s="963" t="n"/>
      <c r="E1951" s="214" t="n"/>
      <c r="F1951" s="262" t="n">
        <v>401600</v>
      </c>
      <c r="G1951" s="263" t="inlineStr">
        <is>
          <t>Spillo in acciaio mm. 78</t>
        </is>
      </c>
      <c r="H1951" s="262" t="n">
        <v>100</v>
      </c>
      <c r="I1951" s="265" t="n">
        <v>0.187</v>
      </c>
      <c r="J1951" s="214" t="n"/>
      <c r="K1951" s="208" t="n"/>
      <c r="L1951" s="424" t="n"/>
      <c r="M1951" s="961" t="n"/>
      <c r="N1951" s="214" t="n"/>
    </row>
    <row r="1952">
      <c r="A1952" s="207" t="n"/>
      <c r="B1952" s="209" t="n"/>
      <c r="C1952" s="207" t="n"/>
      <c r="D1952" s="963" t="n"/>
      <c r="E1952" s="214" t="n"/>
      <c r="F1952" s="262" t="n">
        <v>401601</v>
      </c>
      <c r="G1952" s="263" t="inlineStr">
        <is>
          <t>Spillo in acciaio mm. 86</t>
        </is>
      </c>
      <c r="H1952" s="262" t="n">
        <v>100</v>
      </c>
      <c r="I1952" s="265" t="n">
        <v>0.187</v>
      </c>
      <c r="J1952" s="214" t="n"/>
      <c r="K1952" s="208" t="n"/>
      <c r="L1952" s="424" t="n"/>
      <c r="M1952" s="961" t="n"/>
      <c r="N1952" s="214" t="n"/>
    </row>
    <row r="1953">
      <c r="A1953" s="207" t="n"/>
      <c r="B1953" s="209" t="n"/>
      <c r="C1953" s="207" t="n"/>
      <c r="D1953" s="963" t="n"/>
      <c r="E1953" s="214" t="n"/>
      <c r="F1953" s="262" t="n">
        <v>402264</v>
      </c>
      <c r="G1953" s="263" t="inlineStr">
        <is>
          <t>Maxi clip oscillante per messaggio</t>
        </is>
      </c>
      <c r="H1953" s="262" t="n">
        <v>100</v>
      </c>
      <c r="I1953" s="265" t="n">
        <v>0.374</v>
      </c>
      <c r="J1953" s="214" t="n"/>
      <c r="K1953" s="208" t="n"/>
      <c r="L1953" s="424" t="n"/>
      <c r="M1953" s="961" t="n"/>
      <c r="N1953" s="214" t="n"/>
    </row>
    <row r="1954">
      <c r="A1954" s="207" t="n"/>
      <c r="B1954" s="209" t="n"/>
      <c r="C1954" s="207" t="n"/>
      <c r="D1954" s="963" t="n"/>
      <c r="E1954" s="214" t="n"/>
      <c r="F1954" s="262" t="n">
        <v>402265</v>
      </c>
      <c r="G1954" s="263" t="inlineStr">
        <is>
          <t>Clip oscillante per messaggio</t>
        </is>
      </c>
      <c r="H1954" s="262" t="n">
        <v>100</v>
      </c>
      <c r="I1954" s="265" t="n">
        <v>0.252</v>
      </c>
      <c r="J1954" s="214" t="n"/>
      <c r="K1954" s="208" t="n"/>
      <c r="L1954" s="424" t="n"/>
      <c r="M1954" s="961" t="n"/>
      <c r="N1954" s="214" t="n"/>
    </row>
    <row r="1955">
      <c r="A1955" s="207" t="n"/>
      <c r="B1955" s="209" t="n"/>
      <c r="C1955" s="207" t="n"/>
      <c r="D1955" s="963" t="n"/>
      <c r="E1955" s="214" t="n"/>
      <c r="F1955" s="262" t="n">
        <v>402623</v>
      </c>
      <c r="G1955" s="263" t="inlineStr">
        <is>
          <t>Deko clip per stopper diametro mm. 20</t>
        </is>
      </c>
      <c r="H1955" s="262" t="n">
        <v>100</v>
      </c>
      <c r="I1955" s="265" t="n">
        <v>0.112</v>
      </c>
      <c r="J1955" s="214" t="n"/>
      <c r="K1955" s="208" t="n"/>
      <c r="L1955" s="424" t="n"/>
      <c r="M1955" s="961" t="n"/>
      <c r="N1955" s="214" t="n"/>
    </row>
    <row r="1956">
      <c r="A1956" s="207" t="n"/>
      <c r="B1956" s="209" t="n"/>
      <c r="C1956" s="207" t="n"/>
      <c r="D1956" s="963" t="n"/>
      <c r="E1956" s="214" t="n"/>
      <c r="F1956" s="262" t="n">
        <v>403780</v>
      </c>
      <c r="G1956" s="263" t="inlineStr">
        <is>
          <t>Filo nylon regolabile mm. 125</t>
        </is>
      </c>
      <c r="H1956" s="262" t="n">
        <v>100</v>
      </c>
      <c r="I1956" s="265" t="n">
        <v>0.02</v>
      </c>
      <c r="J1956" s="214" t="n"/>
      <c r="K1956" s="208" t="n"/>
      <c r="L1956" s="424" t="n"/>
      <c r="M1956" s="961" t="n"/>
      <c r="N1956" s="214" t="n"/>
    </row>
    <row r="1957">
      <c r="A1957" s="207" t="n"/>
      <c r="B1957" s="209" t="n"/>
      <c r="C1957" s="207" t="n"/>
      <c r="D1957" s="963" t="n"/>
      <c r="E1957" s="214" t="n"/>
      <c r="F1957" s="262" t="n">
        <v>404074</v>
      </c>
      <c r="G1957" s="263" t="inlineStr">
        <is>
          <t>Twister plastica trasparente 2 adesivi</t>
        </is>
      </c>
      <c r="H1957" s="262" t="n">
        <v>100</v>
      </c>
      <c r="I1957" s="265" t="n">
        <v>0.127</v>
      </c>
      <c r="J1957" s="214" t="n"/>
      <c r="K1957" s="208" t="n"/>
      <c r="L1957" s="424" t="n"/>
      <c r="M1957" s="961" t="n"/>
      <c r="N1957" s="214" t="n"/>
    </row>
    <row r="1958">
      <c r="A1958" s="207" t="n"/>
      <c r="B1958" s="209" t="n"/>
      <c r="C1958" s="207" t="n"/>
      <c r="D1958" s="963" t="n"/>
      <c r="E1958" s="214" t="n"/>
      <c r="F1958" s="262" t="n">
        <v>404571</v>
      </c>
      <c r="G1958" s="263" t="inlineStr">
        <is>
          <t>Twister metallo 2 adesivi</t>
        </is>
      </c>
      <c r="H1958" s="262" t="n">
        <v>100</v>
      </c>
      <c r="I1958" s="265" t="n">
        <v>0.168</v>
      </c>
      <c r="J1958" s="214" t="n"/>
      <c r="K1958" s="208" t="n"/>
      <c r="L1958" s="424" t="n"/>
      <c r="M1958" s="961" t="n"/>
      <c r="N1958" s="214" t="n"/>
    </row>
    <row r="1959">
      <c r="A1959" s="207" t="n"/>
      <c r="B1959" s="209" t="n"/>
      <c r="C1959" s="207" t="n"/>
      <c r="D1959" s="963" t="n"/>
      <c r="E1959" s="214" t="n"/>
      <c r="F1959" s="262" t="n">
        <v>404572</v>
      </c>
      <c r="G1959" s="263" t="inlineStr">
        <is>
          <t>Megatwister metallo 2 adesivi</t>
        </is>
      </c>
      <c r="H1959" s="262" t="n">
        <v>100</v>
      </c>
      <c r="I1959" s="265" t="n">
        <v>0.281</v>
      </c>
      <c r="J1959" s="214" t="n"/>
      <c r="K1959" s="208" t="n"/>
      <c r="L1959" s="424" t="n"/>
      <c r="M1959" s="961" t="n"/>
      <c r="N1959" s="214" t="n"/>
    </row>
    <row r="1960">
      <c r="A1960" s="207" t="n"/>
      <c r="B1960" s="209" t="n"/>
      <c r="C1960" s="207" t="n"/>
      <c r="D1960" s="963" t="n"/>
      <c r="E1960" s="214" t="n"/>
      <c r="F1960" s="262" t="n">
        <v>404573</v>
      </c>
      <c r="G1960" s="263" t="inlineStr">
        <is>
          <t>Twister metallo 3 adesivi</t>
        </is>
      </c>
      <c r="H1960" s="262" t="n">
        <v>100</v>
      </c>
      <c r="I1960" s="265" t="n">
        <v>0.193</v>
      </c>
      <c r="J1960" s="214" t="n"/>
      <c r="K1960" s="208" t="n"/>
      <c r="L1960" s="424" t="n"/>
      <c r="M1960" s="961" t="n"/>
      <c r="N1960" s="214" t="n"/>
    </row>
    <row r="1961">
      <c r="A1961" s="207" t="n"/>
      <c r="B1961" s="209" t="n"/>
      <c r="C1961" s="207" t="n"/>
      <c r="D1961" s="963" t="n"/>
      <c r="E1961" s="214" t="n"/>
      <c r="F1961" s="262" t="n">
        <v>404574</v>
      </c>
      <c r="G1961" s="263" t="inlineStr">
        <is>
          <t>Maxitwister metallo 2 adesivi</t>
        </is>
      </c>
      <c r="H1961" s="262" t="n">
        <v>100</v>
      </c>
      <c r="I1961" s="265" t="n">
        <v>0.361</v>
      </c>
      <c r="J1961" s="214" t="n"/>
      <c r="K1961" s="208" t="n"/>
      <c r="L1961" s="424" t="n"/>
      <c r="M1961" s="961" t="n"/>
      <c r="N1961" s="214" t="n"/>
    </row>
    <row r="1962">
      <c r="A1962" s="207" t="n"/>
      <c r="B1962" s="209" t="n"/>
      <c r="C1962" s="207" t="n"/>
      <c r="D1962" s="963" t="n"/>
      <c r="E1962" s="214" t="n"/>
      <c r="F1962" s="262" t="n">
        <v>405040</v>
      </c>
      <c r="G1962" s="263" t="inlineStr">
        <is>
          <t>Clip per penna adesiva</t>
        </is>
      </c>
      <c r="H1962" s="262" t="n">
        <v>100</v>
      </c>
      <c r="I1962" s="265" t="n">
        <v>0.092</v>
      </c>
      <c r="J1962" s="214" t="n"/>
      <c r="K1962" s="208" t="n"/>
      <c r="L1962" s="424" t="n"/>
      <c r="M1962" s="961" t="n"/>
      <c r="N1962" s="214" t="n"/>
    </row>
    <row r="1963">
      <c r="A1963" s="207" t="n"/>
      <c r="B1963" s="209" t="n"/>
      <c r="C1963" s="207" t="n"/>
      <c r="D1963" s="963" t="n"/>
      <c r="E1963" s="214" t="n"/>
      <c r="F1963" s="262" t="n">
        <v>406101</v>
      </c>
      <c r="G1963" s="263" t="inlineStr">
        <is>
          <t>Clip cristal free-standing</t>
        </is>
      </c>
      <c r="H1963" s="262" t="n">
        <v>100</v>
      </c>
      <c r="I1963" s="265" t="n">
        <v>0.213</v>
      </c>
      <c r="J1963" s="214" t="n"/>
      <c r="K1963" s="208" t="n"/>
      <c r="L1963" s="424" t="n"/>
      <c r="M1963" s="961" t="n"/>
      <c r="N1963" s="214" t="n"/>
    </row>
    <row r="1964">
      <c r="A1964" s="207" t="n"/>
      <c r="B1964" s="209" t="n"/>
      <c r="C1964" s="207" t="n"/>
      <c r="D1964" s="963" t="n"/>
      <c r="E1964" s="214" t="n"/>
      <c r="F1964" s="262" t="n">
        <v>406102</v>
      </c>
      <c r="G1964" s="263" t="inlineStr">
        <is>
          <t>Clip cristal porta comunicazione</t>
        </is>
      </c>
      <c r="H1964" s="262" t="n">
        <v>100</v>
      </c>
      <c r="I1964" s="265" t="n">
        <v>0.213</v>
      </c>
      <c r="J1964" s="214" t="n"/>
      <c r="K1964" s="208" t="n"/>
      <c r="L1964" s="424" t="n"/>
      <c r="M1964" s="961" t="n"/>
      <c r="N1964" s="214" t="n"/>
    </row>
    <row r="1965">
      <c r="A1965" s="207" t="n"/>
      <c r="B1965" s="209" t="n"/>
      <c r="C1965" s="207" t="n"/>
      <c r="D1965" s="963" t="n"/>
      <c r="E1965" s="214" t="n"/>
      <c r="F1965" s="262" t="n">
        <v>406103</v>
      </c>
      <c r="G1965" s="263" t="inlineStr">
        <is>
          <t>Clip porta messaggio trasparente 50x80 mm</t>
        </is>
      </c>
      <c r="H1965" s="264" t="n">
        <v>50</v>
      </c>
      <c r="I1965" s="265" t="n">
        <v>2.111</v>
      </c>
      <c r="J1965" s="214" t="n"/>
      <c r="K1965" s="208" t="n"/>
      <c r="L1965" s="424" t="n"/>
      <c r="M1965" s="961" t="n"/>
      <c r="N1965" s="214" t="n"/>
    </row>
    <row r="1966">
      <c r="A1966" s="207" t="n"/>
      <c r="B1966" s="209" t="n"/>
      <c r="C1966" s="207" t="n"/>
      <c r="D1966" s="963" t="n"/>
      <c r="E1966" s="214" t="n"/>
      <c r="F1966" s="262" t="n">
        <v>406104</v>
      </c>
      <c r="G1966" s="263" t="inlineStr">
        <is>
          <t>Clip porta messaggio trasparente 100x80 mm</t>
        </is>
      </c>
      <c r="H1966" s="264" t="n">
        <v>25</v>
      </c>
      <c r="I1966" s="265" t="n">
        <v>3.222</v>
      </c>
      <c r="J1966" s="214" t="n"/>
      <c r="K1966" s="208" t="n"/>
      <c r="L1966" s="424" t="n"/>
      <c r="M1966" s="961" t="n"/>
      <c r="N1966" s="214" t="n"/>
    </row>
    <row r="1967">
      <c r="A1967" s="207" t="n"/>
      <c r="B1967" s="209" t="n"/>
      <c r="C1967" s="207" t="n"/>
      <c r="D1967" s="963" t="n"/>
      <c r="E1967" s="215" t="n"/>
      <c r="F1967" s="262" t="n">
        <v>406105</v>
      </c>
      <c r="G1967" s="263" t="inlineStr">
        <is>
          <t>Clip porta messaggio in acciaio 50x62 mm</t>
        </is>
      </c>
      <c r="H1967" s="264" t="n">
        <v>20</v>
      </c>
      <c r="I1967" s="265" t="n">
        <v>5.891</v>
      </c>
      <c r="J1967" s="215" t="n"/>
      <c r="K1967" s="209" t="n"/>
      <c r="L1967" s="425" t="n"/>
      <c r="M1967" s="962" t="n"/>
      <c r="N1967" s="215" t="n"/>
    </row>
    <row r="1968">
      <c r="A1968" s="207" t="n"/>
      <c r="B1968" s="209" t="n"/>
      <c r="C1968" s="207" t="n"/>
      <c r="D1968" s="963" t="n"/>
      <c r="E1968" s="215" t="n"/>
      <c r="F1968" s="262" t="n">
        <v>406106</v>
      </c>
      <c r="G1968" s="263" t="inlineStr">
        <is>
          <t>Clip porta messaggio in acciaio 100x62 mm</t>
        </is>
      </c>
      <c r="H1968" s="264" t="n">
        <v>10</v>
      </c>
      <c r="I1968" s="265" t="n">
        <v>10.999</v>
      </c>
      <c r="J1968" s="215" t="n"/>
      <c r="K1968" s="209" t="n"/>
      <c r="L1968" s="425" t="n"/>
      <c r="M1968" s="962" t="n"/>
      <c r="N1968" s="215" t="n"/>
    </row>
    <row r="1969">
      <c r="A1969" s="207" t="n"/>
      <c r="B1969" s="209" t="n"/>
      <c r="C1969" s="207" t="n"/>
      <c r="D1969" s="963" t="n"/>
      <c r="E1969" s="215" t="n"/>
      <c r="F1969" s="262" t="n">
        <v>406107</v>
      </c>
      <c r="G1969" s="263" t="inlineStr">
        <is>
          <t>Molletta porta messaggio - base alluminio lucido</t>
        </is>
      </c>
      <c r="H1969" s="264" t="n">
        <v>10</v>
      </c>
      <c r="I1969" s="265" t="n">
        <v>6.386</v>
      </c>
      <c r="J1969" s="215" t="n"/>
      <c r="K1969" s="209" t="n"/>
      <c r="L1969" s="425" t="n"/>
      <c r="M1969" s="962" t="n"/>
      <c r="N1969" s="215" t="n"/>
    </row>
    <row r="1970">
      <c r="A1970" s="207" t="n"/>
      <c r="B1970" s="209" t="n"/>
      <c r="C1970" s="207" t="n"/>
      <c r="D1970" s="963" t="n"/>
      <c r="E1970" s="215" t="n"/>
      <c r="F1970" s="262" t="n">
        <v>406108</v>
      </c>
      <c r="G1970" s="263" t="inlineStr">
        <is>
          <t>Molletta porta messaggio - base alluminio cromato (cubo)</t>
        </is>
      </c>
      <c r="H1970" s="264" t="n">
        <v>10</v>
      </c>
      <c r="I1970" s="265" t="n">
        <v>6.386</v>
      </c>
      <c r="J1970" s="215" t="n"/>
      <c r="K1970" s="209" t="n"/>
      <c r="L1970" s="425" t="n"/>
      <c r="M1970" s="962" t="n"/>
      <c r="N1970" s="215" t="n"/>
    </row>
    <row r="1971">
      <c r="A1971" s="207" t="n"/>
      <c r="B1971" s="209" t="n"/>
      <c r="C1971" s="207" t="n"/>
      <c r="D1971" s="963" t="n"/>
      <c r="E1971" s="215" t="n"/>
      <c r="F1971" s="262" t="n">
        <v>406109</v>
      </c>
      <c r="G1971" s="263" t="inlineStr">
        <is>
          <t>Molletta porta messaggio - base alluminio cromato (cono)</t>
        </is>
      </c>
      <c r="H1971" s="264" t="n">
        <v>10</v>
      </c>
      <c r="I1971" s="265" t="n">
        <v>6.386</v>
      </c>
      <c r="J1971" s="215" t="n"/>
      <c r="K1971" s="209" t="n"/>
      <c r="L1971" s="425" t="n"/>
      <c r="M1971" s="962" t="n"/>
      <c r="N1971" s="215" t="n"/>
    </row>
    <row r="1972">
      <c r="A1972" s="207" t="n"/>
      <c r="B1972" s="209" t="n"/>
      <c r="C1972" s="207" t="n"/>
      <c r="D1972" s="963" t="n"/>
      <c r="E1972" s="215" t="n"/>
      <c r="F1972" s="262" t="n">
        <v>406110</v>
      </c>
      <c r="G1972" s="263" t="inlineStr">
        <is>
          <t>Supporto autoportante trasparente formato 95x80</t>
        </is>
      </c>
      <c r="H1972" s="264" t="n">
        <v>10</v>
      </c>
      <c r="I1972" s="265" t="n">
        <v>3.383</v>
      </c>
      <c r="J1972" s="215" t="n"/>
      <c r="K1972" s="209" t="n"/>
      <c r="L1972" s="425" t="n"/>
      <c r="M1972" s="962" t="n"/>
      <c r="N1972" s="215" t="n"/>
    </row>
    <row r="1973">
      <c r="A1973" s="207" t="n"/>
      <c r="B1973" s="209" t="n"/>
      <c r="C1973" s="207" t="n"/>
      <c r="D1973" s="963" t="n"/>
      <c r="E1973" s="215" t="n"/>
      <c r="F1973" s="262" t="n">
        <v>406111</v>
      </c>
      <c r="G1973" s="263" t="inlineStr">
        <is>
          <t>Supporto autoportante trasparente formato 65x80</t>
        </is>
      </c>
      <c r="H1973" s="264" t="n">
        <v>10</v>
      </c>
      <c r="I1973" s="265" t="n">
        <v>3.748</v>
      </c>
      <c r="J1973" s="215" t="n"/>
      <c r="K1973" s="209" t="n"/>
      <c r="L1973" s="425" t="n"/>
      <c r="M1973" s="962" t="n"/>
      <c r="N1973" s="215" t="n"/>
    </row>
    <row r="1974">
      <c r="A1974" s="207" t="n"/>
      <c r="B1974" s="209" t="n"/>
      <c r="C1974" s="207" t="n"/>
      <c r="D1974" s="963" t="n"/>
      <c r="E1974" s="215" t="n"/>
      <c r="F1974" s="262" t="n">
        <v>406226</v>
      </c>
      <c r="G1974" s="263" t="inlineStr">
        <is>
          <t>Bottone adesivo per piccoli inserti</t>
        </is>
      </c>
      <c r="H1974" s="264" t="n">
        <v>1000</v>
      </c>
      <c r="I1974" s="265" t="n">
        <v>0.105</v>
      </c>
      <c r="J1974" s="215" t="n"/>
      <c r="K1974" s="209" t="n"/>
      <c r="L1974" s="425" t="n"/>
      <c r="M1974" s="962" t="n"/>
      <c r="N1974" s="215" t="n"/>
    </row>
    <row r="1975">
      <c r="A1975" s="207" t="n"/>
      <c r="B1975" s="209" t="n"/>
      <c r="C1975" s="207" t="n"/>
      <c r="D1975" s="963" t="n"/>
      <c r="E1975" s="215" t="n"/>
      <c r="F1975" s="262" t="n">
        <v>406248</v>
      </c>
      <c r="G1975" s="263" t="inlineStr">
        <is>
          <t>Porta pannelli trasparente adesivo</t>
        </is>
      </c>
      <c r="H1975" s="264" t="n">
        <v>100</v>
      </c>
      <c r="I1975" s="265" t="n">
        <v>0.334</v>
      </c>
      <c r="J1975" s="215" t="n"/>
      <c r="K1975" s="209" t="n"/>
      <c r="L1975" s="425" t="n"/>
      <c r="M1975" s="962" t="n"/>
      <c r="N1975" s="215" t="n"/>
    </row>
    <row r="1976">
      <c r="A1976" s="207" t="n"/>
      <c r="B1976" s="209" t="n"/>
      <c r="C1976" s="207" t="n"/>
      <c r="D1976" s="963" t="n"/>
      <c r="E1976" s="215" t="n"/>
      <c r="F1976" s="262" t="n">
        <v>406510</v>
      </c>
      <c r="G1976" s="263" t="inlineStr">
        <is>
          <t>Porta messaggi non adesivo mm. 50</t>
        </is>
      </c>
      <c r="H1976" s="264" t="n">
        <v>100</v>
      </c>
      <c r="I1976" s="265" t="n">
        <v>0.261</v>
      </c>
      <c r="J1976" s="215" t="n"/>
      <c r="K1976" s="209" t="n"/>
      <c r="L1976" s="425" t="n"/>
      <c r="M1976" s="962" t="n"/>
      <c r="N1976" s="215" t="n"/>
    </row>
    <row r="1977">
      <c r="A1977" s="207" t="n"/>
      <c r="B1977" s="209" t="n"/>
      <c r="C1977" s="207" t="n"/>
      <c r="D1977" s="963" t="n"/>
      <c r="E1977" s="215" t="n"/>
      <c r="F1977" s="262" t="n">
        <v>406511</v>
      </c>
      <c r="G1977" s="263" t="inlineStr">
        <is>
          <t>Porta messaggi non adesivo mm. 75</t>
        </is>
      </c>
      <c r="H1977" s="264" t="n">
        <v>100</v>
      </c>
      <c r="I1977" s="265" t="n">
        <v>0.296</v>
      </c>
      <c r="J1977" s="215" t="n"/>
      <c r="K1977" s="209" t="n"/>
      <c r="L1977" s="425" t="n"/>
      <c r="M1977" s="962" t="n"/>
      <c r="N1977" s="215" t="n"/>
    </row>
    <row r="1978">
      <c r="A1978" s="207" t="n"/>
      <c r="B1978" s="209" t="n"/>
      <c r="C1978" s="207" t="n"/>
      <c r="D1978" s="963" t="n"/>
      <c r="E1978" s="215" t="n"/>
      <c r="F1978" s="262" t="n">
        <v>406512</v>
      </c>
      <c r="G1978" s="263" t="inlineStr">
        <is>
          <t>Porta messaggi non adesivo mm. 100</t>
        </is>
      </c>
      <c r="H1978" s="264" t="n">
        <v>100</v>
      </c>
      <c r="I1978" s="265" t="n">
        <v>0.31</v>
      </c>
      <c r="J1978" s="215" t="n"/>
      <c r="K1978" s="209" t="n"/>
      <c r="L1978" s="425" t="n"/>
      <c r="M1978" s="962" t="n"/>
      <c r="N1978" s="215" t="n"/>
    </row>
    <row r="1979">
      <c r="A1979" s="207" t="n"/>
      <c r="B1979" s="209" t="n"/>
      <c r="C1979" s="207" t="n"/>
      <c r="D1979" s="963" t="n"/>
      <c r="E1979" s="215" t="n"/>
      <c r="F1979" s="262" t="n">
        <v>406513</v>
      </c>
      <c r="G1979" s="263" t="inlineStr">
        <is>
          <t>Porta messaggi non adesivo mm. 150</t>
        </is>
      </c>
      <c r="H1979" s="264" t="n">
        <v>100</v>
      </c>
      <c r="I1979" s="265" t="n">
        <v>0.658</v>
      </c>
      <c r="J1979" s="215" t="n"/>
      <c r="K1979" s="209" t="n"/>
      <c r="L1979" s="425" t="n"/>
      <c r="M1979" s="962" t="n"/>
      <c r="N1979" s="215" t="n"/>
    </row>
    <row r="1980">
      <c r="A1980" s="207" t="n"/>
      <c r="B1980" s="209" t="n"/>
      <c r="C1980" s="207" t="n"/>
      <c r="D1980" s="963" t="n"/>
      <c r="E1980" s="215" t="n"/>
      <c r="F1980" s="262" t="n">
        <v>406515</v>
      </c>
      <c r="G1980" s="263" t="inlineStr">
        <is>
          <t>Porta messaggi adesivo mm. 50</t>
        </is>
      </c>
      <c r="H1980" s="264" t="n">
        <v>100</v>
      </c>
      <c r="I1980" s="265" t="n">
        <v>0.219</v>
      </c>
      <c r="J1980" s="215" t="n"/>
      <c r="K1980" s="209" t="n"/>
      <c r="L1980" s="425" t="n"/>
      <c r="M1980" s="962" t="n"/>
      <c r="N1980" s="215" t="n"/>
    </row>
    <row r="1981">
      <c r="A1981" s="207" t="n"/>
      <c r="B1981" s="209" t="n"/>
      <c r="C1981" s="207" t="n"/>
      <c r="D1981" s="963" t="n"/>
      <c r="E1981" s="215" t="n"/>
      <c r="F1981" s="262" t="n">
        <v>406516</v>
      </c>
      <c r="G1981" s="263" t="inlineStr">
        <is>
          <t>Porta messaggi adesivo mm. 75</t>
        </is>
      </c>
      <c r="H1981" s="264" t="n">
        <v>100</v>
      </c>
      <c r="I1981" s="265" t="n">
        <v>0.329</v>
      </c>
      <c r="J1981" s="215" t="n"/>
      <c r="K1981" s="209" t="n"/>
      <c r="L1981" s="425" t="n"/>
      <c r="M1981" s="962" t="n"/>
      <c r="N1981" s="215" t="n"/>
    </row>
    <row r="1982">
      <c r="A1982" s="207" t="n"/>
      <c r="B1982" s="209" t="n"/>
      <c r="C1982" s="207" t="n"/>
      <c r="D1982" s="963" t="n"/>
      <c r="E1982" s="214" t="n"/>
      <c r="F1982" s="262" t="n">
        <v>406517</v>
      </c>
      <c r="G1982" s="263" t="inlineStr">
        <is>
          <t>Porta messaggi adesivo mm. 100</t>
        </is>
      </c>
      <c r="H1982" s="264" t="n">
        <v>100</v>
      </c>
      <c r="I1982" s="265" t="n">
        <v>0.321</v>
      </c>
      <c r="J1982" s="214" t="n"/>
      <c r="K1982" s="208" t="n"/>
      <c r="L1982" s="424" t="n"/>
      <c r="M1982" s="961" t="n"/>
      <c r="N1982" s="214" t="n"/>
    </row>
    <row r="1983">
      <c r="A1983" s="207" t="n"/>
      <c r="B1983" s="209" t="n"/>
      <c r="C1983" s="207" t="n"/>
      <c r="D1983" s="963" t="n"/>
      <c r="E1983" s="214" t="n"/>
      <c r="F1983" s="262" t="n">
        <v>406518</v>
      </c>
      <c r="G1983" s="263" t="inlineStr">
        <is>
          <t>Porta messaggi adesivo mm. 150</t>
        </is>
      </c>
      <c r="H1983" s="264" t="n">
        <v>100</v>
      </c>
      <c r="I1983" s="265" t="n">
        <v>0.658</v>
      </c>
      <c r="J1983" s="214" t="n"/>
      <c r="K1983" s="208" t="n"/>
      <c r="L1983" s="424" t="n"/>
      <c r="M1983" s="961" t="n"/>
      <c r="N1983" s="214" t="n"/>
    </row>
    <row r="1984">
      <c r="A1984" s="207" t="n"/>
      <c r="B1984" s="209" t="n"/>
      <c r="C1984" s="207" t="n"/>
      <c r="D1984" s="963" t="n"/>
      <c r="E1984" s="214" t="n"/>
      <c r="F1984" s="262" t="n">
        <v>407009</v>
      </c>
      <c r="G1984" s="263" t="inlineStr">
        <is>
          <t>Clip inox doppio inserto per cursori a C - mm. 40</t>
        </is>
      </c>
      <c r="H1984" s="264" t="n">
        <v>100</v>
      </c>
      <c r="I1984" s="265" t="n">
        <v>0.249</v>
      </c>
      <c r="J1984" s="214" t="n"/>
      <c r="K1984" s="208" t="n"/>
      <c r="L1984" s="424" t="n"/>
      <c r="M1984" s="961" t="n"/>
      <c r="N1984" s="214" t="n"/>
    </row>
    <row r="1985">
      <c r="A1985" s="207" t="n"/>
      <c r="B1985" s="209" t="n"/>
      <c r="C1985" s="207" t="n"/>
      <c r="D1985" s="963" t="n"/>
      <c r="E1985" s="214" t="n"/>
      <c r="F1985" s="262" t="n">
        <v>407011</v>
      </c>
      <c r="G1985" s="263" t="inlineStr">
        <is>
          <t>Clip doppio inserto</t>
        </is>
      </c>
      <c r="H1985" s="264" t="n">
        <v>100</v>
      </c>
      <c r="I1985" s="265" t="n">
        <v>0.15</v>
      </c>
      <c r="J1985" s="214" t="n"/>
      <c r="K1985" s="209" t="n"/>
      <c r="L1985" s="425" t="n"/>
      <c r="M1985" s="961" t="n"/>
      <c r="N1985" s="214" t="n"/>
    </row>
    <row r="1986">
      <c r="A1986" s="207" t="n"/>
      <c r="B1986" s="209" t="n"/>
      <c r="C1986" s="207" t="n"/>
      <c r="D1986" s="963" t="n"/>
      <c r="E1986" s="214" t="n"/>
      <c r="F1986" s="267" t="n">
        <v>407014</v>
      </c>
      <c r="G1986" s="263" t="inlineStr">
        <is>
          <t>Clip inox semplice inserto per cursori scanner</t>
        </is>
      </c>
      <c r="H1986" s="264" t="n">
        <v>100</v>
      </c>
      <c r="I1986" s="265" t="n">
        <v>0.291</v>
      </c>
      <c r="J1986" s="214" t="n"/>
      <c r="K1986" s="209" t="n"/>
      <c r="L1986" s="425" t="n"/>
      <c r="M1986" s="961" t="n"/>
      <c r="N1986" s="214" t="n"/>
    </row>
    <row r="1987">
      <c r="A1987" s="207" t="n"/>
      <c r="B1987" s="209" t="n"/>
      <c r="C1987" s="207" t="n"/>
      <c r="D1987" s="963" t="n"/>
      <c r="E1987" s="214" t="n"/>
      <c r="F1987" s="267" t="n">
        <v>407042</v>
      </c>
      <c r="G1987" s="263" t="inlineStr">
        <is>
          <t>Clip in plastica per messaggi a bandiera per cursori scanner</t>
        </is>
      </c>
      <c r="H1987" s="264" t="n">
        <v>100</v>
      </c>
      <c r="I1987" s="265" t="n">
        <v>0.11</v>
      </c>
      <c r="J1987" s="214" t="n"/>
      <c r="K1987" s="208" t="n"/>
      <c r="L1987" s="424" t="n"/>
      <c r="M1987" s="961" t="n"/>
      <c r="N1987" s="214" t="n"/>
    </row>
    <row r="1988">
      <c r="A1988" s="207" t="n"/>
      <c r="B1988" s="209" t="n"/>
      <c r="C1988" s="207" t="n"/>
      <c r="D1988" s="963" t="n"/>
      <c r="E1988" s="214" t="n"/>
      <c r="F1988" s="267" t="n">
        <v>407057</v>
      </c>
      <c r="G1988" s="263" t="inlineStr">
        <is>
          <t>Piede shark con base magnetica</t>
        </is>
      </c>
      <c r="H1988" s="264" t="n">
        <v>50</v>
      </c>
      <c r="I1988" s="265" t="n">
        <v>2.868</v>
      </c>
      <c r="J1988" s="214" t="n"/>
      <c r="K1988" s="208" t="n"/>
      <c r="L1988" s="424" t="n"/>
      <c r="M1988" s="961" t="n"/>
      <c r="N1988" s="214" t="n"/>
    </row>
    <row r="1989">
      <c r="A1989" s="207" t="n"/>
      <c r="B1989" s="209" t="n"/>
      <c r="C1989" s="207" t="n"/>
      <c r="D1989" s="963" t="n"/>
      <c r="E1989" s="214" t="n"/>
      <c r="F1989" s="267" t="n">
        <v>407087</v>
      </c>
      <c r="G1989" s="263" t="inlineStr">
        <is>
          <t>Busta porta messaggio per piede shark mm. 100X200</t>
        </is>
      </c>
      <c r="H1989" s="264" t="n">
        <v>50</v>
      </c>
      <c r="I1989" s="265" t="n">
        <v>0.044</v>
      </c>
      <c r="J1989" s="214" t="n"/>
      <c r="K1989" s="208" t="n"/>
      <c r="L1989" s="424" t="n"/>
      <c r="M1989" s="961" t="n"/>
      <c r="N1989" s="214" t="n"/>
    </row>
    <row r="1990">
      <c r="A1990" s="207" t="n"/>
      <c r="B1990" s="209" t="n"/>
      <c r="C1990" s="207" t="n"/>
      <c r="D1990" s="963" t="n"/>
      <c r="E1990" s="214" t="n"/>
      <c r="F1990" s="267" t="n">
        <v>407091</v>
      </c>
      <c r="G1990" s="263" t="inlineStr">
        <is>
          <t>Busta porta messaggio per piede shark mm. 150X145</t>
        </is>
      </c>
      <c r="H1990" s="264" t="n">
        <v>50</v>
      </c>
      <c r="I1990" s="265" t="n">
        <v>1.307</v>
      </c>
      <c r="J1990" s="214" t="n"/>
      <c r="K1990" s="209" t="n"/>
      <c r="L1990" s="425" t="n"/>
      <c r="M1990" s="961" t="n"/>
      <c r="N1990" s="214" t="n"/>
    </row>
    <row r="1991">
      <c r="A1991" s="207" t="n"/>
      <c r="B1991" s="209" t="n"/>
      <c r="C1991" s="207" t="n"/>
      <c r="D1991" s="963" t="n"/>
      <c r="E1991" s="214" t="n"/>
      <c r="F1991" s="267" t="n">
        <v>407092</v>
      </c>
      <c r="G1991" s="263" t="inlineStr">
        <is>
          <t>Busta porta messaggio per piede shark mm. 200X200</t>
        </is>
      </c>
      <c r="H1991" s="264" t="n">
        <v>50</v>
      </c>
      <c r="I1991" s="265" t="n">
        <v>0.794</v>
      </c>
      <c r="J1991" s="214" t="n"/>
      <c r="K1991" s="209" t="n"/>
      <c r="L1991" s="425" t="n"/>
      <c r="M1991" s="961" t="n"/>
      <c r="N1991" s="214" t="n"/>
    </row>
    <row r="1992">
      <c r="A1992" s="207" t="n"/>
      <c r="B1992" s="209" t="n"/>
      <c r="C1992" s="207" t="n"/>
      <c r="D1992" s="963" t="n"/>
      <c r="E1992" s="214" t="n"/>
      <c r="F1992" s="267" t="n">
        <v>407570</v>
      </c>
      <c r="G1992" s="263" t="inlineStr">
        <is>
          <t>Adattatore per cursore scanner</t>
        </is>
      </c>
      <c r="H1992" s="264" t="n">
        <v>100</v>
      </c>
      <c r="I1992" s="265" t="n">
        <v>0.15</v>
      </c>
      <c r="J1992" s="214" t="n"/>
      <c r="K1992" s="208" t="n"/>
      <c r="L1992" s="424" t="n"/>
      <c r="M1992" s="961" t="n"/>
      <c r="N1992" s="214" t="n"/>
    </row>
    <row r="1993">
      <c r="A1993" s="207" t="n"/>
      <c r="B1993" s="209" t="n"/>
      <c r="C1993" s="207" t="n"/>
      <c r="D1993" s="963" t="n"/>
      <c r="E1993" s="214" t="n"/>
      <c r="F1993" s="267" t="n">
        <v>408503</v>
      </c>
      <c r="G1993" s="263" t="inlineStr">
        <is>
          <t>Striscia colora cursori gialla</t>
        </is>
      </c>
      <c r="H1993" s="264" t="n">
        <v>5</v>
      </c>
      <c r="I1993" s="265" t="n">
        <v>23.999</v>
      </c>
      <c r="J1993" s="214" t="n"/>
      <c r="K1993" s="208" t="n"/>
      <c r="L1993" s="424" t="n"/>
      <c r="M1993" s="961" t="n"/>
      <c r="N1993" s="214" t="n"/>
    </row>
    <row r="1994">
      <c r="A1994" s="207" t="n"/>
      <c r="B1994" s="209" t="n"/>
      <c r="C1994" s="207" t="n"/>
      <c r="D1994" s="963" t="n"/>
      <c r="E1994" s="214" t="n"/>
      <c r="F1994" s="267" t="n">
        <v>408506</v>
      </c>
      <c r="G1994" s="263" t="inlineStr">
        <is>
          <t>Striscia colora cursori verde</t>
        </is>
      </c>
      <c r="H1994" s="264" t="n">
        <v>5</v>
      </c>
      <c r="I1994" s="265" t="n">
        <v>23.999</v>
      </c>
      <c r="J1994" s="214" t="n"/>
      <c r="K1994" s="208" t="n"/>
      <c r="L1994" s="424" t="n"/>
      <c r="M1994" s="961" t="n"/>
      <c r="N1994" s="214" t="n"/>
    </row>
    <row r="1995">
      <c r="A1995" s="207" t="n"/>
      <c r="B1995" s="209" t="n"/>
      <c r="C1995" s="207" t="n"/>
      <c r="D1995" s="963" t="n"/>
      <c r="E1995" s="214" t="n"/>
      <c r="F1995" s="267" t="n">
        <v>408508</v>
      </c>
      <c r="G1995" s="263" t="inlineStr">
        <is>
          <t>Striscia colora cursori arancione</t>
        </is>
      </c>
      <c r="H1995" s="264" t="n">
        <v>5</v>
      </c>
      <c r="I1995" s="265" t="n">
        <v>20.57</v>
      </c>
      <c r="J1995" s="214" t="n"/>
      <c r="K1995" s="209" t="n"/>
      <c r="L1995" s="425" t="n"/>
      <c r="M1995" s="961" t="n"/>
      <c r="N1995" s="214" t="n"/>
    </row>
    <row r="1996">
      <c r="A1996" s="207" t="n"/>
      <c r="B1996" s="209" t="n"/>
      <c r="C1996" s="207" t="n"/>
      <c r="D1996" s="963" t="n"/>
      <c r="E1996" s="214" t="n"/>
      <c r="F1996" s="267" t="n">
        <v>408510</v>
      </c>
      <c r="G1996" s="263" t="inlineStr">
        <is>
          <t>Striscia colora cursori blu reflex</t>
        </is>
      </c>
      <c r="H1996" s="264" t="n">
        <v>5</v>
      </c>
      <c r="I1996" s="265" t="n">
        <v>23.999</v>
      </c>
      <c r="J1996" s="214" t="n"/>
      <c r="K1996" s="209" t="n"/>
      <c r="L1996" s="425" t="n"/>
      <c r="M1996" s="961" t="n"/>
      <c r="N1996" s="214" t="n"/>
    </row>
    <row r="1997">
      <c r="A1997" s="207" t="n"/>
      <c r="B1997" s="209" t="n"/>
      <c r="C1997" s="207" t="n"/>
      <c r="D1997" s="963" t="n"/>
      <c r="E1997" s="214" t="n"/>
      <c r="F1997" s="267" t="n">
        <v>408524</v>
      </c>
      <c r="G1997" s="263" t="inlineStr">
        <is>
          <t>Striscia colora cursori rosso-ciliegia</t>
        </is>
      </c>
      <c r="H1997" s="264" t="n">
        <v>5</v>
      </c>
      <c r="I1997" s="265" t="n">
        <v>23.999</v>
      </c>
      <c r="J1997" s="214" t="n"/>
      <c r="K1997" s="208" t="n"/>
      <c r="L1997" s="424" t="n"/>
      <c r="M1997" s="961" t="n"/>
      <c r="N1997" s="214" t="n"/>
    </row>
    <row r="1998">
      <c r="A1998" s="207" t="n"/>
      <c r="B1998" s="209" t="n"/>
      <c r="C1998" s="207" t="n"/>
      <c r="D1998" s="963" t="n"/>
      <c r="E1998" s="214" t="n"/>
      <c r="F1998" s="267" t="n">
        <v>408600</v>
      </c>
      <c r="G1998" s="263" t="inlineStr">
        <is>
          <t>Porta occhiali a 5 posizioni</t>
        </is>
      </c>
      <c r="H1998" s="264" t="n">
        <v>100</v>
      </c>
      <c r="I1998" s="265" t="n">
        <v>0.587</v>
      </c>
      <c r="J1998" s="214" t="n"/>
      <c r="K1998" s="208" t="n"/>
      <c r="L1998" s="424" t="n"/>
      <c r="M1998" s="961" t="n"/>
      <c r="N1998" s="214" t="n"/>
    </row>
    <row r="1999">
      <c r="A1999" s="207" t="n"/>
      <c r="B1999" s="209" t="n"/>
      <c r="C1999" s="207" t="n"/>
      <c r="D1999" s="963" t="n"/>
      <c r="E1999" s="214" t="n"/>
      <c r="F1999" s="267" t="n">
        <v>408601</v>
      </c>
      <c r="G1999" s="263" t="inlineStr">
        <is>
          <t>Porta occhiali a 10 posizioni</t>
        </is>
      </c>
      <c r="H1999" s="264" t="n">
        <v>20</v>
      </c>
      <c r="I1999" s="265" t="n">
        <v>1.3</v>
      </c>
      <c r="J1999" s="214" t="n"/>
      <c r="K1999" s="208" t="n"/>
      <c r="L1999" s="424" t="n"/>
      <c r="M1999" s="961" t="n"/>
      <c r="N1999" s="214" t="n"/>
    </row>
    <row r="2000">
      <c r="A2000" s="207" t="n"/>
      <c r="B2000" s="209" t="n"/>
      <c r="C2000" s="207" t="n"/>
      <c r="D2000" s="963" t="n"/>
      <c r="E2000" s="214" t="n"/>
      <c r="F2000" s="267" t="n">
        <v>409000</v>
      </c>
      <c r="G2000" s="263" t="inlineStr">
        <is>
          <t>Gancino di ricambio per potence</t>
        </is>
      </c>
      <c r="H2000" s="264" t="n">
        <v>100</v>
      </c>
      <c r="I2000" s="265" t="n">
        <v>0.228</v>
      </c>
      <c r="J2000" s="214" t="n"/>
      <c r="K2000" s="208" t="n"/>
      <c r="L2000" s="424" t="n"/>
      <c r="M2000" s="961" t="n"/>
      <c r="N2000" s="214" t="n"/>
    </row>
    <row r="2001">
      <c r="A2001" s="207" t="n"/>
      <c r="B2001" s="209" t="n"/>
      <c r="C2001" s="207" t="n"/>
      <c r="D2001" s="963" t="n"/>
      <c r="E2001" s="214" t="n"/>
      <c r="F2001" s="267" t="n">
        <v>409002</v>
      </c>
      <c r="G2001" s="263" t="inlineStr">
        <is>
          <t>Gancio Ø 8 mm per porta banner ad anello</t>
        </is>
      </c>
      <c r="H2001" s="264" t="n">
        <v>100</v>
      </c>
      <c r="I2001" s="265" t="n">
        <v>0.177</v>
      </c>
      <c r="J2001" s="214" t="n"/>
      <c r="K2001" s="208" t="n"/>
      <c r="L2001" s="424" t="n"/>
      <c r="M2001" s="961" t="n"/>
      <c r="N2001" s="214" t="n"/>
    </row>
    <row r="2002">
      <c r="A2002" s="207" t="n"/>
      <c r="B2002" s="209" t="n"/>
      <c r="C2002" s="207" t="n"/>
      <c r="D2002" s="963" t="n"/>
      <c r="E2002" s="214" t="n"/>
      <c r="F2002" s="267" t="n">
        <v>409003</v>
      </c>
      <c r="G2002" s="263" t="inlineStr">
        <is>
          <t>Gancio Ø 8 mm per porta banner aperto</t>
        </is>
      </c>
      <c r="H2002" s="264" t="n">
        <v>100</v>
      </c>
      <c r="I2002" s="265" t="n">
        <v>0.177</v>
      </c>
      <c r="J2002" s="214" t="n"/>
      <c r="K2002" s="208" t="n"/>
      <c r="L2002" s="424" t="n"/>
      <c r="M2002" s="961" t="n"/>
      <c r="N2002" s="214" t="n"/>
    </row>
    <row r="2003">
      <c r="A2003" s="207" t="n"/>
      <c r="B2003" s="209" t="n"/>
      <c r="C2003" s="207" t="n"/>
      <c r="D2003" s="963" t="n"/>
      <c r="E2003" s="214" t="n"/>
      <c r="F2003" s="267" t="n">
        <v>409206</v>
      </c>
      <c r="G2003" s="263" t="inlineStr">
        <is>
          <t>Porta banner magnetico multiposizione con ganci chiusi</t>
        </is>
      </c>
      <c r="H2003" s="264" t="n">
        <v>10</v>
      </c>
      <c r="I2003" s="265" t="n">
        <v>7.15</v>
      </c>
      <c r="J2003" s="214" t="n"/>
      <c r="K2003" s="208" t="n"/>
      <c r="L2003" s="424" t="n"/>
      <c r="M2003" s="961" t="n"/>
      <c r="N2003" s="214" t="n"/>
    </row>
    <row r="2004">
      <c r="A2004" s="207" t="n"/>
      <c r="B2004" s="209" t="n"/>
      <c r="C2004" s="207" t="n"/>
      <c r="D2004" s="963" t="n"/>
      <c r="E2004" s="214" t="n"/>
      <c r="F2004" s="267" t="n">
        <v>409207</v>
      </c>
      <c r="G2004" s="263" t="inlineStr">
        <is>
          <t>Porta banner magnetico multiposizione con ganci aperti</t>
        </is>
      </c>
      <c r="H2004" s="264" t="n">
        <v>10</v>
      </c>
      <c r="I2004" s="265" t="n">
        <v>7.15</v>
      </c>
      <c r="J2004" s="214" t="n"/>
      <c r="K2004" s="208" t="n"/>
      <c r="L2004" s="424" t="n"/>
      <c r="M2004" s="961" t="n"/>
      <c r="N2004" s="214" t="n"/>
    </row>
    <row r="2005">
      <c r="A2005" s="207" t="n"/>
      <c r="B2005" s="209" t="n"/>
      <c r="C2005" s="207" t="n"/>
      <c r="D2005" s="963" t="n"/>
      <c r="E2005" s="214" t="n"/>
      <c r="F2005" s="267" t="n">
        <v>409208</v>
      </c>
      <c r="G2005" s="263" t="inlineStr">
        <is>
          <t>Porta banner magnetico multiposizione 420 mm</t>
        </is>
      </c>
      <c r="H2005" s="264" t="n">
        <v>10</v>
      </c>
      <c r="I2005" s="265" t="n">
        <v>7.722</v>
      </c>
      <c r="J2005" s="214" t="n"/>
      <c r="K2005" s="208" t="n"/>
      <c r="L2005" s="424" t="n"/>
      <c r="M2005" s="961" t="n"/>
      <c r="N2005" s="214" t="n"/>
    </row>
    <row r="2006">
      <c r="A2006" s="207" t="n"/>
      <c r="B2006" s="209" t="n"/>
      <c r="C2006" s="207" t="n"/>
      <c r="D2006" s="963" t="n"/>
      <c r="E2006" s="214" t="n"/>
      <c r="F2006" s="267" t="n">
        <v>409209</v>
      </c>
      <c r="G2006" s="263" t="inlineStr">
        <is>
          <t>Porta banner magnetico multiposizione telescopico</t>
        </is>
      </c>
      <c r="H2006" s="264" t="n">
        <v>3</v>
      </c>
      <c r="I2006" s="265" t="n">
        <v>11.011</v>
      </c>
      <c r="J2006" s="214" t="n"/>
      <c r="K2006" s="208" t="n"/>
      <c r="L2006" s="424" t="n"/>
      <c r="M2006" s="961" t="n"/>
      <c r="N2006" s="214" t="n"/>
    </row>
    <row r="2007">
      <c r="A2007" s="207" t="n"/>
      <c r="B2007" s="209" t="n"/>
      <c r="C2007" s="207" t="n"/>
      <c r="D2007" s="963" t="n"/>
      <c r="E2007" s="214" t="n"/>
      <c r="F2007" s="267" t="n">
        <v>409210</v>
      </c>
      <c r="G2007" s="263" t="inlineStr">
        <is>
          <t>Porta banner magnetico a due posizioni con ganci ad anello</t>
        </is>
      </c>
      <c r="H2007" s="264" t="n">
        <v>3</v>
      </c>
      <c r="I2007" s="265" t="n">
        <v>6.006</v>
      </c>
      <c r="J2007" s="214" t="n"/>
      <c r="K2007" s="208" t="n"/>
      <c r="L2007" s="424" t="n"/>
      <c r="M2007" s="961" t="n"/>
      <c r="N2007" s="214" t="n"/>
    </row>
    <row r="2008">
      <c r="A2008" s="207" t="n"/>
      <c r="B2008" s="209" t="n"/>
      <c r="C2008" s="207" t="n"/>
      <c r="D2008" s="963" t="n"/>
      <c r="E2008" s="214" t="n"/>
      <c r="F2008" s="267" t="n">
        <v>409211</v>
      </c>
      <c r="G2008" s="263" t="inlineStr">
        <is>
          <t>Porta banner magnetico a due posizioni con ganci aperti</t>
        </is>
      </c>
      <c r="H2008" s="264" t="n">
        <v>3</v>
      </c>
      <c r="I2008" s="265" t="n">
        <v>6.006</v>
      </c>
      <c r="J2008" s="214" t="n"/>
      <c r="K2008" s="208" t="n"/>
      <c r="L2008" s="424" t="n"/>
      <c r="M2008" s="961" t="n"/>
      <c r="N2008" s="214" t="n"/>
    </row>
    <row r="2009">
      <c r="A2009" s="207" t="n"/>
      <c r="B2009" s="209" t="n"/>
      <c r="C2009" s="207" t="n"/>
      <c r="D2009" s="963" t="n"/>
      <c r="E2009" s="214" t="n"/>
      <c r="F2009" s="267" t="n">
        <v>409212</v>
      </c>
      <c r="G2009" s="263" t="inlineStr">
        <is>
          <t>Porta banner magnetico multiposizione economico</t>
        </is>
      </c>
      <c r="H2009" s="264" t="n">
        <v>3</v>
      </c>
      <c r="I2009" s="265" t="n">
        <v>4.716</v>
      </c>
      <c r="J2009" s="214" t="n"/>
      <c r="K2009" s="208" t="n"/>
      <c r="L2009" s="424" t="n"/>
      <c r="M2009" s="961" t="n"/>
      <c r="N2009" s="214" t="n"/>
    </row>
    <row r="2010">
      <c r="A2010" s="207" t="n"/>
      <c r="B2010" s="209" t="n"/>
      <c r="C2010" s="207" t="n"/>
      <c r="D2010" s="963" t="n"/>
      <c r="E2010" s="214" t="n"/>
      <c r="F2010" s="267" t="n">
        <v>409220</v>
      </c>
      <c r="G2010" s="263" t="inlineStr">
        <is>
          <t>Supporto magnetico per pannello testata di gondola</t>
        </is>
      </c>
      <c r="H2010" s="264" t="n">
        <v>5</v>
      </c>
      <c r="I2010" s="265" t="n">
        <v>4.74</v>
      </c>
      <c r="J2010" s="214" t="n"/>
      <c r="K2010" s="208" t="n"/>
      <c r="L2010" s="424" t="n"/>
      <c r="M2010" s="961" t="n"/>
      <c r="N2010" s="214" t="n"/>
    </row>
    <row r="2011">
      <c r="A2011" s="207" t="n"/>
      <c r="B2011" s="209" t="n"/>
      <c r="C2011" s="207" t="n"/>
      <c r="D2011" s="963" t="n"/>
      <c r="E2011" s="214" t="n"/>
      <c r="F2011" s="267" t="n">
        <v>409221</v>
      </c>
      <c r="G2011" s="263" t="inlineStr">
        <is>
          <t>Profilo per pannello testata di gondola - 1000 mm</t>
        </is>
      </c>
      <c r="H2011" s="264" t="n">
        <v>3</v>
      </c>
      <c r="I2011" s="265" t="n">
        <v>51.48</v>
      </c>
      <c r="J2011" s="214" t="n"/>
      <c r="K2011" s="208" t="n"/>
      <c r="L2011" s="424" t="n"/>
      <c r="M2011" s="961" t="n"/>
      <c r="N2011" s="214" t="n"/>
    </row>
    <row r="2012">
      <c r="A2012" s="207" t="n"/>
      <c r="B2012" s="209" t="n"/>
      <c r="C2012" s="207" t="n"/>
      <c r="D2012" s="963" t="n"/>
      <c r="E2012" s="215" t="n"/>
      <c r="F2012" s="267" t="n">
        <v>409222</v>
      </c>
      <c r="G2012" s="263" t="inlineStr">
        <is>
          <t>Profilo per pannello testata di gondola - 1300 mm</t>
        </is>
      </c>
      <c r="H2012" s="264" t="n">
        <v>1</v>
      </c>
      <c r="I2012" s="265" t="n">
        <v>45.76</v>
      </c>
      <c r="J2012" s="215" t="n"/>
      <c r="K2012" s="209" t="n"/>
      <c r="L2012" s="425" t="n"/>
      <c r="M2012" s="962" t="n"/>
      <c r="N2012" s="215" t="n"/>
    </row>
    <row r="2013">
      <c r="A2013" s="207" t="n"/>
      <c r="B2013" s="209" t="n"/>
      <c r="C2013" s="207" t="n"/>
      <c r="D2013" s="963" t="n"/>
      <c r="E2013" s="215" t="n"/>
      <c r="F2013" s="267" t="n">
        <v>409223</v>
      </c>
      <c r="G2013" s="263" t="inlineStr">
        <is>
          <t>Supporto magnetico per pannello</t>
        </is>
      </c>
      <c r="H2013" s="264" t="n">
        <v>10</v>
      </c>
      <c r="I2013" s="265" t="n">
        <v>4.648</v>
      </c>
      <c r="J2013" s="215" t="n"/>
      <c r="K2013" s="209" t="n"/>
      <c r="L2013" s="425" t="n"/>
      <c r="M2013" s="962" t="n"/>
      <c r="N2013" s="215" t="n"/>
    </row>
    <row r="2014">
      <c r="A2014" s="207" t="n"/>
      <c r="B2014" s="209" t="n"/>
      <c r="C2014" s="207" t="n"/>
      <c r="D2014" s="963" t="n"/>
      <c r="E2014" s="215" t="n"/>
      <c r="F2014" s="267" t="n">
        <v>409224</v>
      </c>
      <c r="G2014" s="263" t="inlineStr">
        <is>
          <t>Supporto magnetico per pannello inclinato</t>
        </is>
      </c>
      <c r="H2014" s="264" t="n">
        <v>10</v>
      </c>
      <c r="I2014" s="265" t="n">
        <v>4.648</v>
      </c>
      <c r="J2014" s="215" t="n"/>
      <c r="K2014" s="209" t="n"/>
      <c r="L2014" s="425" t="n"/>
      <c r="M2014" s="962" t="n"/>
      <c r="N2014" s="215" t="n"/>
    </row>
    <row r="2015">
      <c r="A2015" s="207" t="n"/>
      <c r="B2015" s="209" t="n"/>
      <c r="C2015" s="207" t="n"/>
      <c r="D2015" s="963" t="n"/>
      <c r="E2015" s="215" t="n"/>
      <c r="F2015" s="267" t="n">
        <v>409225</v>
      </c>
      <c r="G2015" s="263" t="inlineStr">
        <is>
          <t>Supporto magnetico per pannello - con adesivo</t>
        </is>
      </c>
      <c r="H2015" s="264" t="n">
        <v>10</v>
      </c>
      <c r="I2015" s="265" t="n">
        <v>5.005</v>
      </c>
      <c r="J2015" s="215" t="n"/>
      <c r="K2015" s="209" t="n"/>
      <c r="L2015" s="425" t="n"/>
      <c r="M2015" s="962" t="n"/>
      <c r="N2015" s="215" t="n"/>
    </row>
    <row r="2016">
      <c r="A2016" s="207" t="n"/>
      <c r="B2016" s="209" t="n"/>
      <c r="C2016" s="207" t="n"/>
      <c r="D2016" s="963" t="n"/>
      <c r="E2016" s="215" t="n"/>
      <c r="F2016" s="267" t="n">
        <v>409226</v>
      </c>
      <c r="G2016" s="263" t="inlineStr">
        <is>
          <t>Supporto magnetico per pannello orientabile da 0° a 180°</t>
        </is>
      </c>
      <c r="H2016" s="264" t="n">
        <v>10</v>
      </c>
      <c r="I2016" s="265" t="n">
        <v>3.215</v>
      </c>
      <c r="J2016" s="215" t="n"/>
      <c r="K2016" s="209" t="n"/>
      <c r="L2016" s="425" t="n"/>
      <c r="M2016" s="962" t="n"/>
      <c r="N2016" s="215" t="n"/>
    </row>
    <row r="2017">
      <c r="A2017" s="207" t="n"/>
      <c r="B2017" s="209" t="n"/>
      <c r="C2017" s="207" t="n"/>
      <c r="D2017" s="963" t="n"/>
      <c r="E2017" s="215" t="n"/>
      <c r="F2017" s="267" t="n">
        <v>409227</v>
      </c>
      <c r="G2017" s="263" t="inlineStr">
        <is>
          <t>Base magnetica porta pannello - con gripper</t>
        </is>
      </c>
      <c r="H2017" s="264" t="n">
        <v>10</v>
      </c>
      <c r="I2017" s="265" t="n">
        <v>4.93</v>
      </c>
      <c r="J2017" s="215" t="n"/>
      <c r="K2017" s="209" t="n"/>
      <c r="L2017" s="425" t="n"/>
      <c r="M2017" s="962" t="n"/>
      <c r="N2017" s="215" t="n"/>
    </row>
    <row r="2018">
      <c r="A2018" s="207" t="n"/>
      <c r="B2018" s="209" t="n"/>
      <c r="C2018" s="207" t="n"/>
      <c r="D2018" s="963" t="n"/>
      <c r="E2018" s="215" t="n"/>
      <c r="F2018" s="267" t="n">
        <v>409228</v>
      </c>
      <c r="G2018" s="263" t="inlineStr">
        <is>
          <t>Supporto magnetico per pannello - con gripper</t>
        </is>
      </c>
      <c r="H2018" s="264" t="n">
        <v>10</v>
      </c>
      <c r="I2018" s="265" t="n">
        <v>2.787</v>
      </c>
      <c r="J2018" s="215" t="n"/>
      <c r="K2018" s="209" t="n"/>
      <c r="L2018" s="425" t="n"/>
      <c r="M2018" s="962" t="n"/>
      <c r="N2018" s="215" t="n"/>
    </row>
    <row r="2019">
      <c r="A2019" s="207" t="n"/>
      <c r="B2019" s="209" t="n"/>
      <c r="C2019" s="207" t="n"/>
      <c r="D2019" s="963" t="n"/>
      <c r="E2019" s="215" t="n"/>
      <c r="F2019" s="267" t="n">
        <v>409229</v>
      </c>
      <c r="G2019" s="263" t="inlineStr">
        <is>
          <t>Gripper</t>
        </is>
      </c>
      <c r="H2019" s="264" t="n">
        <v>100</v>
      </c>
      <c r="I2019" s="265" t="n">
        <v>0.472</v>
      </c>
      <c r="J2019" s="215" t="n"/>
      <c r="K2019" s="209" t="n"/>
      <c r="L2019" s="425" t="n"/>
      <c r="M2019" s="962" t="n"/>
      <c r="N2019" s="215" t="n"/>
    </row>
    <row r="2020">
      <c r="A2020" s="207" t="n"/>
      <c r="B2020" s="209" t="n"/>
      <c r="C2020" s="207" t="n"/>
      <c r="D2020" s="963" t="n"/>
      <c r="E2020" s="215" t="n"/>
      <c r="F2020" s="267" t="n">
        <v>409604</v>
      </c>
      <c r="G2020" s="263" t="inlineStr">
        <is>
          <t>Porta banner adesivo con fenditura</t>
        </is>
      </c>
      <c r="H2020" s="264" t="n">
        <v>10</v>
      </c>
      <c r="I2020" s="265" t="n">
        <v>2.145</v>
      </c>
      <c r="J2020" s="215" t="n"/>
      <c r="K2020" s="209" t="n"/>
      <c r="L2020" s="425" t="n"/>
      <c r="M2020" s="962" t="n"/>
      <c r="N2020" s="215" t="n"/>
    </row>
    <row r="2021">
      <c r="A2021" s="207" t="n"/>
      <c r="B2021" s="209" t="n"/>
      <c r="C2021" s="207" t="n"/>
      <c r="D2021" s="963" t="n"/>
      <c r="E2021" s="215" t="n"/>
      <c r="F2021" s="267" t="n">
        <v>409605</v>
      </c>
      <c r="G2021" s="263" t="inlineStr">
        <is>
          <t>Tubo con fenditura mm. 450 con 2 calamite forza kg. 4</t>
        </is>
      </c>
      <c r="H2021" s="264" t="n">
        <v>10</v>
      </c>
      <c r="I2021" s="265" t="n">
        <v>4.554</v>
      </c>
      <c r="J2021" s="215" t="n"/>
      <c r="K2021" s="209" t="n"/>
      <c r="L2021" s="425" t="n"/>
      <c r="M2021" s="962" t="n"/>
      <c r="N2021" s="215" t="n"/>
    </row>
    <row r="2022">
      <c r="A2022" s="207" t="n"/>
      <c r="B2022" s="209" t="n"/>
      <c r="C2022" s="207" t="n"/>
      <c r="D2022" s="963" t="n"/>
      <c r="E2022" s="215" t="n"/>
      <c r="F2022" s="267" t="n">
        <v>409607</v>
      </c>
      <c r="G2022" s="263" t="inlineStr">
        <is>
          <t>Porta banner telescopico per barra di forza</t>
        </is>
      </c>
      <c r="H2022" s="264" t="n">
        <v>3</v>
      </c>
      <c r="I2022" s="265" t="n">
        <v>10.868</v>
      </c>
      <c r="J2022" s="215" t="n"/>
      <c r="K2022" s="209" t="n"/>
      <c r="L2022" s="425" t="n"/>
      <c r="M2022" s="962" t="n"/>
      <c r="N2022" s="215" t="n"/>
    </row>
    <row r="2023">
      <c r="A2023" s="207" t="n"/>
      <c r="B2023" s="209" t="n"/>
      <c r="C2023" s="207" t="n"/>
      <c r="D2023" s="963" t="n"/>
      <c r="E2023" s="215" t="n"/>
      <c r="F2023" s="267" t="n">
        <v>409608</v>
      </c>
      <c r="G2023" s="263" t="inlineStr">
        <is>
          <t>Porta banner telescopico per pannello forato</t>
        </is>
      </c>
      <c r="H2023" s="264" t="n">
        <v>3</v>
      </c>
      <c r="I2023" s="265" t="n">
        <v>10.868</v>
      </c>
      <c r="J2023" s="215" t="n"/>
      <c r="K2023" s="209" t="n"/>
      <c r="L2023" s="425" t="n"/>
      <c r="M2023" s="962" t="n"/>
      <c r="N2023" s="215" t="n"/>
    </row>
    <row r="2024">
      <c r="A2024" s="207" t="n"/>
      <c r="B2024" s="209" t="n"/>
      <c r="C2024" s="207" t="n"/>
      <c r="D2024" s="963" t="n"/>
      <c r="E2024" s="215" t="n"/>
      <c r="F2024" s="267" t="n">
        <v>409609</v>
      </c>
      <c r="G2024" s="263" t="inlineStr">
        <is>
          <t>Porta banner telescopico per cremagliera - montante di scaffale</t>
        </is>
      </c>
      <c r="H2024" s="264" t="n">
        <v>3</v>
      </c>
      <c r="I2024" s="265" t="n">
        <v>10.868</v>
      </c>
      <c r="J2024" s="215" t="n"/>
      <c r="K2024" s="209" t="n"/>
      <c r="L2024" s="425" t="n"/>
      <c r="M2024" s="962" t="n"/>
      <c r="N2024" s="215" t="n"/>
    </row>
    <row r="2025">
      <c r="A2025" s="207" t="n"/>
      <c r="B2025" s="209" t="n"/>
      <c r="C2025" s="207" t="n"/>
      <c r="D2025" s="963" t="n"/>
      <c r="E2025" s="215" t="n"/>
      <c r="F2025" s="267" t="n">
        <v>409610</v>
      </c>
      <c r="G2025" s="263" t="inlineStr">
        <is>
          <t>Porta banner telescopico per pannello dogato</t>
        </is>
      </c>
      <c r="H2025" s="264" t="n">
        <v>3</v>
      </c>
      <c r="I2025" s="265" t="n">
        <v>10.868</v>
      </c>
      <c r="J2025" s="215" t="n"/>
      <c r="K2025" s="209" t="n"/>
      <c r="L2025" s="425" t="n"/>
      <c r="M2025" s="962" t="n"/>
      <c r="N2025" s="215" t="n"/>
    </row>
    <row r="2026">
      <c r="A2026" s="207" t="n"/>
      <c r="B2026" s="209" t="n"/>
      <c r="C2026" s="207" t="n"/>
      <c r="D2026" s="963" t="n"/>
      <c r="E2026" s="215" t="n"/>
      <c r="F2026" s="267" t="n">
        <v>409611</v>
      </c>
      <c r="G2026" s="263" t="inlineStr">
        <is>
          <t>Porta banner telescopico per pannello metallico</t>
        </is>
      </c>
      <c r="H2026" s="264" t="n">
        <v>3</v>
      </c>
      <c r="I2026" s="265" t="n">
        <v>15.444</v>
      </c>
      <c r="J2026" s="215" t="n"/>
      <c r="K2026" s="209" t="n"/>
      <c r="L2026" s="425" t="n"/>
      <c r="M2026" s="962" t="n"/>
      <c r="N2026" s="215" t="n"/>
    </row>
    <row r="2027">
      <c r="A2027" s="207" t="n"/>
      <c r="B2027" s="209" t="n"/>
      <c r="C2027" s="207" t="n"/>
      <c r="D2027" s="963" t="n"/>
      <c r="E2027" s="215" t="n"/>
      <c r="F2027" s="267" t="n">
        <v>409612</v>
      </c>
      <c r="G2027" s="263" t="inlineStr">
        <is>
          <t>Porta banner adesivo con ganci</t>
        </is>
      </c>
      <c r="H2027" s="264" t="n">
        <v>3</v>
      </c>
      <c r="I2027" s="265" t="n">
        <v>2.517</v>
      </c>
      <c r="J2027" s="215" t="n"/>
      <c r="K2027" s="209" t="n"/>
      <c r="L2027" s="425" t="n"/>
      <c r="M2027" s="962" t="n"/>
      <c r="N2027" s="215" t="n"/>
    </row>
    <row r="2028">
      <c r="A2028" s="207" t="n"/>
      <c r="B2028" s="209" t="n"/>
      <c r="C2028" s="207" t="n"/>
      <c r="D2028" s="963" t="n"/>
      <c r="E2028" s="215" t="n"/>
      <c r="F2028" s="267" t="n">
        <v>409613</v>
      </c>
      <c r="G2028" s="263" t="inlineStr">
        <is>
          <t>Potence porta comunicazione magnetica con 2 gancini</t>
        </is>
      </c>
      <c r="H2028" s="264" t="n">
        <v>3</v>
      </c>
      <c r="I2028" s="265" t="n">
        <v>10.385</v>
      </c>
      <c r="J2028" s="215" t="n"/>
      <c r="K2028" s="209" t="n"/>
      <c r="L2028" s="425" t="n"/>
      <c r="M2028" s="962" t="n"/>
      <c r="N2028" s="215" t="n"/>
    </row>
    <row r="2029">
      <c r="A2029" s="207" t="n"/>
      <c r="B2029" s="209" t="n"/>
      <c r="C2029" s="207" t="n"/>
      <c r="D2029" s="963" t="n"/>
      <c r="E2029" s="214" t="n"/>
      <c r="F2029" s="267" t="n">
        <v>410280</v>
      </c>
      <c r="G2029" s="263" t="inlineStr">
        <is>
          <t>Bottone gancio adesivo quadrato</t>
        </is>
      </c>
      <c r="H2029" s="264" t="n">
        <v>100</v>
      </c>
      <c r="I2029" s="265" t="n">
        <v>0.152</v>
      </c>
      <c r="J2029" s="214" t="n"/>
      <c r="K2029" s="209" t="n"/>
      <c r="L2029" s="425" t="n"/>
      <c r="M2029" s="961" t="n"/>
      <c r="N2029" s="214" t="n"/>
    </row>
    <row r="2030">
      <c r="A2030" s="207" t="n"/>
      <c r="B2030" s="209" t="n"/>
      <c r="C2030" s="207" t="n"/>
      <c r="D2030" s="963" t="n"/>
      <c r="E2030" s="214" t="n"/>
      <c r="F2030" s="267" t="n">
        <v>410297</v>
      </c>
      <c r="G2030" s="263" t="inlineStr">
        <is>
          <t>Bottone adesivo tondo bianco</t>
        </is>
      </c>
      <c r="H2030" s="264" t="n">
        <v>100</v>
      </c>
      <c r="I2030" s="265" t="n">
        <v>0.164</v>
      </c>
      <c r="J2030" s="214" t="n"/>
      <c r="K2030" s="209" t="n"/>
      <c r="L2030" s="425" t="n"/>
      <c r="M2030" s="961" t="n"/>
      <c r="N2030" s="214" t="n"/>
    </row>
    <row r="2031">
      <c r="A2031" s="207" t="n"/>
      <c r="B2031" s="209" t="n"/>
      <c r="C2031" s="207" t="n"/>
      <c r="D2031" s="963" t="n"/>
      <c r="E2031" s="214" t="n"/>
      <c r="F2031" s="267" t="n">
        <v>410298</v>
      </c>
      <c r="G2031" s="263" t="inlineStr">
        <is>
          <t>Bottone adesivo tondo trasparente</t>
        </is>
      </c>
      <c r="H2031" s="264" t="n">
        <v>100</v>
      </c>
      <c r="I2031" s="265" t="n">
        <v>0.172</v>
      </c>
      <c r="J2031" s="214" t="n"/>
      <c r="K2031" s="208" t="n"/>
      <c r="L2031" s="424" t="n"/>
      <c r="M2031" s="961" t="n"/>
      <c r="N2031" s="214" t="n"/>
    </row>
    <row r="2032">
      <c r="A2032" s="207" t="n"/>
      <c r="B2032" s="209" t="n"/>
      <c r="C2032" s="207" t="n"/>
      <c r="D2032" s="963" t="n"/>
      <c r="E2032" s="214" t="n"/>
      <c r="F2032" s="267" t="n">
        <v>410515</v>
      </c>
      <c r="G2032" s="263" t="inlineStr">
        <is>
          <t>Gancio in metallo per controsoffitti</t>
        </is>
      </c>
      <c r="H2032" s="264" t="n">
        <v>100</v>
      </c>
      <c r="I2032" s="265" t="n">
        <v>0.972</v>
      </c>
      <c r="J2032" s="214" t="n"/>
      <c r="K2032" s="209" t="n"/>
      <c r="L2032" s="425" t="n"/>
      <c r="M2032" s="961" t="n"/>
      <c r="N2032" s="214" t="n"/>
    </row>
    <row r="2033">
      <c r="A2033" s="207" t="n"/>
      <c r="B2033" s="209" t="n"/>
      <c r="C2033" s="207" t="n"/>
      <c r="D2033" s="963" t="n"/>
      <c r="E2033" s="214" t="n"/>
      <c r="F2033" s="267" t="n">
        <v>410582</v>
      </c>
      <c r="G2033" s="263" t="inlineStr">
        <is>
          <t>Clip in plastica per controsoffitti</t>
        </is>
      </c>
      <c r="H2033" s="264" t="n">
        <v>100</v>
      </c>
      <c r="I2033" s="265" t="n">
        <v>0.08599999999999999</v>
      </c>
      <c r="J2033" s="214" t="n"/>
      <c r="K2033" s="209" t="n"/>
      <c r="L2033" s="425" t="n"/>
      <c r="M2033" s="961" t="n"/>
      <c r="N2033" s="214" t="n"/>
    </row>
    <row r="2034">
      <c r="A2034" s="207" t="n"/>
      <c r="B2034" s="209" t="n"/>
      <c r="C2034" s="207" t="n"/>
      <c r="D2034" s="963" t="n"/>
      <c r="E2034" s="214" t="n"/>
      <c r="F2034" s="267" t="n">
        <v>410900</v>
      </c>
      <c r="G2034" s="263" t="inlineStr">
        <is>
          <t>Doppio bottone adesivo bianco</t>
        </is>
      </c>
      <c r="H2034" s="264" t="n">
        <v>100</v>
      </c>
      <c r="I2034" s="265" t="n">
        <v>0.185</v>
      </c>
      <c r="J2034" s="214" t="n"/>
      <c r="K2034" s="209" t="n"/>
      <c r="L2034" s="425" t="n"/>
      <c r="M2034" s="961" t="n"/>
      <c r="N2034" s="214" t="n"/>
    </row>
    <row r="2035">
      <c r="A2035" s="207" t="n"/>
      <c r="B2035" s="209" t="n"/>
      <c r="C2035" s="207" t="n"/>
      <c r="D2035" s="963" t="n"/>
      <c r="E2035" s="214" t="n"/>
      <c r="F2035" s="267" t="n">
        <v>410901</v>
      </c>
      <c r="G2035" s="263" t="inlineStr">
        <is>
          <t>Doppio bottone adesivo trasparente</t>
        </is>
      </c>
      <c r="H2035" s="264" t="n">
        <v>100</v>
      </c>
      <c r="I2035" s="265" t="n">
        <v>0.19</v>
      </c>
      <c r="J2035" s="214" t="n"/>
      <c r="K2035" s="209" t="n"/>
      <c r="L2035" s="425" t="n"/>
      <c r="M2035" s="961" t="n"/>
      <c r="N2035" s="214" t="n"/>
    </row>
    <row r="2036">
      <c r="A2036" s="207" t="n"/>
      <c r="B2036" s="209" t="n"/>
      <c r="C2036" s="207" t="n"/>
      <c r="D2036" s="963" t="n"/>
      <c r="E2036" s="214" t="n"/>
      <c r="F2036" s="267" t="n">
        <v>410904</v>
      </c>
      <c r="G2036" s="263" t="inlineStr">
        <is>
          <t>Bottone adesivo quadrato girevole</t>
        </is>
      </c>
      <c r="H2036" s="264" t="n">
        <v>100</v>
      </c>
      <c r="I2036" s="265" t="n">
        <v>0.199</v>
      </c>
      <c r="J2036" s="214" t="n"/>
      <c r="K2036" s="208" t="n"/>
      <c r="L2036" s="424" t="n"/>
      <c r="M2036" s="961" t="n"/>
      <c r="N2036" s="214" t="n"/>
    </row>
    <row r="2037">
      <c r="A2037" s="207" t="n"/>
      <c r="B2037" s="209" t="n"/>
      <c r="C2037" s="207" t="n"/>
      <c r="D2037" s="963" t="n"/>
      <c r="E2037" s="214" t="n"/>
      <c r="F2037" s="267" t="n">
        <v>411003</v>
      </c>
      <c r="G2037" s="263" t="inlineStr">
        <is>
          <t>Calamita diametro mm. 47 portata 12 kg.</t>
        </is>
      </c>
      <c r="H2037" s="264" t="n">
        <v>100</v>
      </c>
      <c r="I2037" s="265" t="n">
        <v>2.328</v>
      </c>
      <c r="J2037" s="214" t="n"/>
      <c r="K2037" s="209" t="n"/>
      <c r="L2037" s="425" t="n"/>
      <c r="M2037" s="961" t="n"/>
      <c r="N2037" s="214" t="n"/>
    </row>
    <row r="2038">
      <c r="A2038" s="207" t="n"/>
      <c r="B2038" s="209" t="n"/>
      <c r="C2038" s="207" t="n"/>
      <c r="D2038" s="963" t="n"/>
      <c r="E2038" s="214" t="n"/>
      <c r="F2038" s="267" t="n">
        <v>411028</v>
      </c>
      <c r="G2038" s="263" t="inlineStr">
        <is>
          <t>Calamita con gancio - portata 3 kg.</t>
        </is>
      </c>
      <c r="H2038" s="264" t="n">
        <v>100</v>
      </c>
      <c r="I2038" s="265" t="n">
        <v>0.76</v>
      </c>
      <c r="J2038" s="214" t="n"/>
      <c r="K2038" s="209" t="n"/>
      <c r="L2038" s="425" t="n"/>
      <c r="M2038" s="961" t="n"/>
      <c r="N2038" s="214" t="n"/>
    </row>
    <row r="2039">
      <c r="A2039" s="207" t="n"/>
      <c r="B2039" s="209" t="n"/>
      <c r="C2039" s="207" t="n"/>
      <c r="D2039" s="963" t="n"/>
      <c r="E2039" s="214" t="n"/>
      <c r="F2039" s="267" t="n">
        <v>411029</v>
      </c>
      <c r="G2039" s="263" t="inlineStr">
        <is>
          <t>Calamita con gancio - portata 12 kg.</t>
        </is>
      </c>
      <c r="H2039" s="264" t="n">
        <v>100</v>
      </c>
      <c r="I2039" s="265" t="n">
        <v>1.824</v>
      </c>
      <c r="J2039" s="214" t="n"/>
      <c r="K2039" s="209" t="n"/>
      <c r="L2039" s="425" t="n"/>
      <c r="M2039" s="961" t="n"/>
      <c r="N2039" s="214" t="n"/>
    </row>
    <row r="2040">
      <c r="A2040" s="207" t="n"/>
      <c r="B2040" s="209" t="n"/>
      <c r="C2040" s="207" t="n"/>
      <c r="D2040" s="963" t="n"/>
      <c r="E2040" s="214" t="n"/>
      <c r="F2040" s="267" t="n">
        <v>411030</v>
      </c>
      <c r="G2040" s="263" t="inlineStr">
        <is>
          <t>Calamita con gancio - portata 30 kg.</t>
        </is>
      </c>
      <c r="H2040" s="264" t="n">
        <v>100</v>
      </c>
      <c r="I2040" s="265" t="n">
        <v>3.819</v>
      </c>
      <c r="J2040" s="214" t="n"/>
      <c r="K2040" s="209" t="n"/>
      <c r="L2040" s="425" t="n"/>
      <c r="M2040" s="961" t="n"/>
      <c r="N2040" s="214" t="n"/>
    </row>
    <row r="2041">
      <c r="A2041" s="207" t="n"/>
      <c r="B2041" s="209" t="n"/>
      <c r="C2041" s="207" t="n"/>
      <c r="D2041" s="963" t="n"/>
      <c r="E2041" s="214" t="n"/>
      <c r="F2041" s="267" t="n">
        <v>411031</v>
      </c>
      <c r="G2041" s="263" t="inlineStr">
        <is>
          <t>Calamita ovale con gancio incrociato portata 4 kg.</t>
        </is>
      </c>
      <c r="H2041" s="264" t="n">
        <v>100</v>
      </c>
      <c r="I2041" s="265" t="n">
        <v>1.265</v>
      </c>
      <c r="J2041" s="214" t="n"/>
      <c r="K2041" s="208" t="n"/>
      <c r="L2041" s="424" t="n"/>
      <c r="M2041" s="961" t="n"/>
      <c r="N2041" s="214" t="n"/>
    </row>
    <row r="2042">
      <c r="A2042" s="207" t="n"/>
      <c r="B2042" s="209" t="n"/>
      <c r="C2042" s="207" t="n"/>
      <c r="D2042" s="963" t="n"/>
      <c r="E2042" s="214" t="n"/>
      <c r="F2042" s="267" t="n">
        <v>411041</v>
      </c>
      <c r="G2042" s="263" t="inlineStr">
        <is>
          <t>Calamita ovale con gancio incrociato portata 8 kg.</t>
        </is>
      </c>
      <c r="H2042" s="264" t="n">
        <v>100</v>
      </c>
      <c r="I2042" s="265" t="n">
        <v>1.771</v>
      </c>
      <c r="J2042" s="214" t="n"/>
      <c r="K2042" s="209" t="n"/>
      <c r="L2042" s="425" t="n"/>
      <c r="M2042" s="961" t="n"/>
      <c r="N2042" s="214" t="n"/>
    </row>
    <row r="2043">
      <c r="A2043" s="207" t="n"/>
      <c r="B2043" s="209" t="n"/>
      <c r="C2043" s="207" t="n"/>
      <c r="D2043" s="963" t="n"/>
      <c r="E2043" s="214" t="n"/>
      <c r="F2043" s="267" t="n">
        <v>412010</v>
      </c>
      <c r="G2043" s="263" t="inlineStr">
        <is>
          <t>Gancio filo ed ago</t>
        </is>
      </c>
      <c r="H2043" s="264" t="n">
        <v>1000</v>
      </c>
      <c r="I2043" s="265" t="n">
        <v>0.225</v>
      </c>
      <c r="J2043" s="214" t="n"/>
      <c r="K2043" s="209" t="n"/>
      <c r="L2043" s="425" t="n"/>
      <c r="M2043" s="961" t="n"/>
      <c r="N2043" s="214" t="n"/>
    </row>
    <row r="2044">
      <c r="A2044" s="207" t="n"/>
      <c r="B2044" s="209" t="n"/>
      <c r="C2044" s="207" t="n"/>
      <c r="D2044" s="963" t="n"/>
      <c r="E2044" s="214" t="n"/>
      <c r="F2044" s="267" t="n">
        <v>412015</v>
      </c>
      <c r="G2044" s="263" t="inlineStr">
        <is>
          <t>Gancio filo e pallina di nylon</t>
        </is>
      </c>
      <c r="H2044" s="264" t="n">
        <v>1000</v>
      </c>
      <c r="I2044" s="265" t="n">
        <v>0.351</v>
      </c>
      <c r="J2044" s="214" t="n"/>
      <c r="K2044" s="208" t="n"/>
      <c r="L2044" s="424" t="n"/>
      <c r="M2044" s="961" t="n"/>
      <c r="N2044" s="214" t="n"/>
    </row>
    <row r="2045">
      <c r="A2045" s="207" t="n"/>
      <c r="B2045" s="209" t="n"/>
      <c r="C2045" s="207" t="n"/>
      <c r="D2045" s="963" t="n"/>
      <c r="E2045" s="214" t="n"/>
      <c r="F2045" s="267" t="n">
        <v>412020</v>
      </c>
      <c r="G2045" s="263" t="inlineStr">
        <is>
          <t>Rullo filo nylon m. 200 diam. 0,39 mm.</t>
        </is>
      </c>
      <c r="H2045" s="264" t="n">
        <v>10</v>
      </c>
      <c r="I2045" s="265" t="n">
        <v>0</v>
      </c>
      <c r="J2045" s="214" t="n"/>
      <c r="K2045" s="208" t="n"/>
      <c r="L2045" s="424" t="n"/>
      <c r="M2045" s="961" t="n"/>
      <c r="N2045" s="214" t="n"/>
    </row>
    <row r="2046">
      <c r="A2046" s="207" t="n"/>
      <c r="B2046" s="209" t="n"/>
      <c r="C2046" s="207" t="n"/>
      <c r="D2046" s="963" t="n"/>
      <c r="E2046" s="214" t="n"/>
      <c r="F2046" s="267" t="n">
        <v>412287</v>
      </c>
      <c r="G2046" s="263" t="inlineStr">
        <is>
          <t>Laccio per unione mobils mm. 40</t>
        </is>
      </c>
      <c r="H2046" s="264" t="n">
        <v>1000</v>
      </c>
      <c r="I2046" s="265" t="n">
        <v>0.051</v>
      </c>
      <c r="J2046" s="214" t="n"/>
      <c r="K2046" s="208" t="n"/>
      <c r="L2046" s="424" t="n"/>
      <c r="M2046" s="961" t="n"/>
      <c r="N2046" s="214" t="n"/>
    </row>
    <row r="2047">
      <c r="A2047" s="207" t="n"/>
      <c r="B2047" s="209" t="n"/>
      <c r="C2047" s="207" t="n"/>
      <c r="D2047" s="963" t="n"/>
      <c r="E2047" s="214" t="n"/>
      <c r="F2047" s="267" t="n">
        <v>412288</v>
      </c>
      <c r="G2047" s="263" t="inlineStr">
        <is>
          <t>Laccio per unione mobils mm. 60</t>
        </is>
      </c>
      <c r="H2047" s="264" t="n">
        <v>1000</v>
      </c>
      <c r="I2047" s="265" t="n">
        <v>0.051</v>
      </c>
      <c r="J2047" s="214" t="n"/>
      <c r="K2047" s="208" t="n"/>
      <c r="L2047" s="424" t="n"/>
      <c r="M2047" s="961" t="n"/>
      <c r="N2047" s="214" t="n"/>
    </row>
    <row r="2048">
      <c r="A2048" s="207" t="n"/>
      <c r="B2048" s="209" t="n"/>
      <c r="C2048" s="207" t="n"/>
      <c r="D2048" s="963" t="n"/>
      <c r="E2048" s="214" t="n"/>
      <c r="F2048" s="267" t="n">
        <v>412289</v>
      </c>
      <c r="G2048" s="263" t="inlineStr">
        <is>
          <t>Laccio per unione mobils mm. 100</t>
        </is>
      </c>
      <c r="H2048" s="264" t="n">
        <v>1000</v>
      </c>
      <c r="I2048" s="265" t="n">
        <v>0.051</v>
      </c>
      <c r="J2048" s="214" t="n"/>
      <c r="K2048" s="208" t="n"/>
      <c r="L2048" s="424" t="n"/>
      <c r="M2048" s="961" t="n"/>
      <c r="N2048" s="214" t="n"/>
    </row>
    <row r="2049">
      <c r="A2049" s="207" t="n"/>
      <c r="B2049" s="209" t="n"/>
      <c r="C2049" s="207" t="n"/>
      <c r="D2049" s="963" t="n"/>
      <c r="E2049" s="214" t="n"/>
      <c r="F2049" s="267" t="n">
        <v>412290</v>
      </c>
      <c r="G2049" s="263" t="inlineStr">
        <is>
          <t>Laccio per unione mobils mm. 140</t>
        </is>
      </c>
      <c r="H2049" s="264" t="n">
        <v>1000</v>
      </c>
      <c r="I2049" s="265" t="n">
        <v>0.053</v>
      </c>
      <c r="J2049" s="214" t="n"/>
      <c r="K2049" s="208" t="n"/>
      <c r="L2049" s="424" t="n"/>
      <c r="M2049" s="961" t="n"/>
      <c r="N2049" s="214" t="n"/>
    </row>
    <row r="2050">
      <c r="A2050" s="207" t="n"/>
      <c r="B2050" s="209" t="n"/>
      <c r="C2050" s="207" t="n"/>
      <c r="D2050" s="963" t="n"/>
      <c r="E2050" s="214" t="n"/>
      <c r="F2050" s="267" t="n">
        <v>412291</v>
      </c>
      <c r="G2050" s="263" t="inlineStr">
        <is>
          <t>Laccio per unione mobils mm. 160</t>
        </is>
      </c>
      <c r="H2050" s="264" t="n">
        <v>1000</v>
      </c>
      <c r="I2050" s="265" t="n">
        <v>0.053</v>
      </c>
      <c r="J2050" s="214" t="n"/>
      <c r="K2050" s="208" t="n"/>
      <c r="L2050" s="424" t="n"/>
      <c r="M2050" s="961" t="n"/>
      <c r="N2050" s="214" t="n"/>
    </row>
    <row r="2051">
      <c r="A2051" s="207" t="n"/>
      <c r="B2051" s="209" t="n"/>
      <c r="C2051" s="207" t="n"/>
      <c r="D2051" s="963" t="n"/>
      <c r="E2051" s="214" t="n"/>
      <c r="F2051" s="267" t="n">
        <v>413020</v>
      </c>
      <c r="G2051" s="263" t="inlineStr">
        <is>
          <t>Molla estensibile m. 1,4 per pesi fino a 1 kg.</t>
        </is>
      </c>
      <c r="H2051" s="264" t="n">
        <v>1000</v>
      </c>
      <c r="I2051" s="265" t="n">
        <v>0.089</v>
      </c>
      <c r="J2051" s="214" t="n"/>
      <c r="K2051" s="208" t="n"/>
      <c r="L2051" s="424" t="n"/>
      <c r="M2051" s="961" t="n"/>
      <c r="N2051" s="214" t="n"/>
    </row>
    <row r="2052">
      <c r="A2052" s="207" t="n"/>
      <c r="B2052" s="209" t="n"/>
      <c r="C2052" s="207" t="n"/>
      <c r="D2052" s="963" t="n"/>
      <c r="E2052" s="214" t="n"/>
      <c r="F2052" s="267" t="n">
        <v>413040</v>
      </c>
      <c r="G2052" s="263" t="inlineStr">
        <is>
          <t>Molla estensibile m. 1,6 per pesi fino a 3,5 kg.</t>
        </is>
      </c>
      <c r="H2052" s="264" t="n">
        <v>1000</v>
      </c>
      <c r="I2052" s="265" t="n">
        <v>0.151</v>
      </c>
      <c r="J2052" s="214" t="n"/>
      <c r="K2052" s="208" t="n"/>
      <c r="L2052" s="424" t="n"/>
      <c r="M2052" s="961" t="n"/>
      <c r="N2052" s="214" t="n"/>
    </row>
    <row r="2053">
      <c r="A2053" s="207" t="n"/>
      <c r="B2053" s="209" t="n"/>
      <c r="C2053" s="207" t="n"/>
      <c r="D2053" s="963" t="n"/>
      <c r="E2053" s="214" t="n"/>
      <c r="F2053" s="267" t="n">
        <v>413060</v>
      </c>
      <c r="G2053" s="263" t="inlineStr">
        <is>
          <t>Super molla estensibile m. 3 per pesi fino a 3,5 kg.</t>
        </is>
      </c>
      <c r="H2053" s="264" t="n">
        <v>1000</v>
      </c>
      <c r="I2053" s="265" t="n">
        <v>0.25</v>
      </c>
      <c r="J2053" s="214" t="n"/>
      <c r="K2053" s="208" t="n"/>
      <c r="L2053" s="424" t="n"/>
      <c r="M2053" s="961" t="n"/>
      <c r="N2053" s="214" t="n"/>
    </row>
    <row r="2054">
      <c r="A2054" s="207" t="n"/>
      <c r="B2054" s="209" t="n"/>
      <c r="C2054" s="207" t="n"/>
      <c r="D2054" s="963" t="n"/>
      <c r="E2054" s="214" t="n"/>
      <c r="F2054" s="267" t="n">
        <v>414151</v>
      </c>
      <c r="G2054" s="263" t="inlineStr">
        <is>
          <t>Catenella nichelata mm. 18,5x9</t>
        </is>
      </c>
      <c r="H2054" s="264" t="n">
        <v>1</v>
      </c>
      <c r="I2054" s="265" t="n">
        <v>34.727</v>
      </c>
      <c r="J2054" s="214" t="n"/>
      <c r="K2054" s="208" t="n"/>
      <c r="L2054" s="424" t="n"/>
      <c r="M2054" s="961" t="n"/>
      <c r="N2054" s="214" t="n"/>
    </row>
    <row r="2055">
      <c r="A2055" s="207" t="n"/>
      <c r="B2055" s="209" t="n"/>
      <c r="C2055" s="207" t="n"/>
      <c r="D2055" s="963" t="n"/>
      <c r="E2055" s="214" t="n"/>
      <c r="F2055" s="267" t="n">
        <v>414152</v>
      </c>
      <c r="G2055" s="263" t="inlineStr">
        <is>
          <t>Catenella nichelata mm. 30x13,5</t>
        </is>
      </c>
      <c r="H2055" s="264" t="n">
        <v>1</v>
      </c>
      <c r="I2055" s="265" t="n">
        <v>49.28</v>
      </c>
      <c r="J2055" s="214" t="n"/>
      <c r="K2055" s="208" t="n"/>
      <c r="L2055" s="424" t="n"/>
      <c r="M2055" s="961" t="n"/>
      <c r="N2055" s="214" t="n"/>
    </row>
    <row r="2056">
      <c r="A2056" s="207" t="n"/>
      <c r="B2056" s="209" t="n"/>
      <c r="C2056" s="207" t="n"/>
      <c r="D2056" s="963" t="n"/>
      <c r="E2056" s="214" t="n"/>
      <c r="F2056" s="267" t="n">
        <v>414153</v>
      </c>
      <c r="G2056" s="263" t="inlineStr">
        <is>
          <t>Catenella nichelata mm. 23,5x10,5</t>
        </is>
      </c>
      <c r="H2056" s="264" t="n">
        <v>1</v>
      </c>
      <c r="I2056" s="265" t="n">
        <v>37.049</v>
      </c>
      <c r="J2056" s="214" t="n"/>
      <c r="K2056" s="208" t="n"/>
      <c r="L2056" s="424" t="n"/>
      <c r="M2056" s="961" t="n"/>
      <c r="N2056" s="214" t="n"/>
    </row>
    <row r="2057">
      <c r="A2057" s="207" t="n"/>
      <c r="B2057" s="209" t="n"/>
      <c r="C2057" s="207" t="n"/>
      <c r="D2057" s="963" t="n"/>
      <c r="E2057" s="214" t="n"/>
      <c r="F2057" s="267" t="n">
        <v>414154</v>
      </c>
      <c r="G2057" s="263" t="inlineStr">
        <is>
          <t>Catenella nichelata mm. 14,5x7</t>
        </is>
      </c>
      <c r="H2057" s="264" t="n">
        <v>1</v>
      </c>
      <c r="I2057" s="265" t="n">
        <v>31.514</v>
      </c>
      <c r="J2057" s="214" t="n"/>
      <c r="K2057" s="208" t="n"/>
      <c r="L2057" s="424" t="n"/>
      <c r="M2057" s="961" t="n"/>
      <c r="N2057" s="214" t="n"/>
    </row>
    <row r="2058">
      <c r="A2058" s="207" t="n"/>
      <c r="B2058" s="209" t="n"/>
      <c r="C2058" s="207" t="n"/>
      <c r="D2058" s="963" t="n"/>
      <c r="E2058" s="214" t="n"/>
      <c r="F2058" s="267" t="n">
        <v>414155</v>
      </c>
      <c r="G2058" s="263" t="inlineStr">
        <is>
          <t>Catenella nichelata mm. 7x5</t>
        </is>
      </c>
      <c r="H2058" s="264" t="n">
        <v>1</v>
      </c>
      <c r="I2058" s="265" t="n">
        <v>47.693</v>
      </c>
      <c r="J2058" s="214" t="n"/>
      <c r="K2058" s="208" t="n"/>
      <c r="L2058" s="424" t="n"/>
      <c r="M2058" s="961" t="n"/>
      <c r="N2058" s="214" t="n"/>
    </row>
    <row r="2059">
      <c r="A2059" s="207" t="n"/>
      <c r="B2059" s="209" t="n"/>
      <c r="C2059" s="207" t="n"/>
      <c r="D2059" s="963" t="n"/>
      <c r="E2059" s="214" t="n"/>
      <c r="F2059" s="267" t="n">
        <v>414410</v>
      </c>
      <c r="G2059" s="263" t="inlineStr">
        <is>
          <t>Catenella in plastica bianca da 25 mt</t>
        </is>
      </c>
      <c r="H2059" s="264" t="n">
        <v>4</v>
      </c>
      <c r="I2059" s="265" t="n">
        <v>49.74</v>
      </c>
      <c r="J2059" s="214" t="n"/>
      <c r="K2059" s="208" t="n"/>
      <c r="L2059" s="424" t="n"/>
      <c r="M2059" s="961" t="n"/>
      <c r="N2059" s="214" t="n"/>
    </row>
    <row r="2060">
      <c r="A2060" s="207" t="n"/>
      <c r="B2060" s="209" t="n"/>
      <c r="C2060" s="207" t="n"/>
      <c r="D2060" s="963" t="n"/>
      <c r="E2060" s="214" t="n"/>
      <c r="F2060" s="267" t="n">
        <v>414714</v>
      </c>
      <c r="G2060" s="263" t="inlineStr">
        <is>
          <t>Catenella con pallini mm. 150</t>
        </is>
      </c>
      <c r="H2060" s="264" t="n">
        <v>1000</v>
      </c>
      <c r="I2060" s="265" t="n">
        <v>0.272</v>
      </c>
      <c r="J2060" s="214" t="n"/>
      <c r="K2060" s="208" t="n"/>
      <c r="L2060" s="424" t="n"/>
      <c r="M2060" s="961" t="n"/>
      <c r="N2060" s="214" t="n"/>
    </row>
    <row r="2061">
      <c r="A2061" s="207" t="n"/>
      <c r="B2061" s="209" t="n"/>
      <c r="C2061" s="207" t="n"/>
      <c r="D2061" s="963" t="n"/>
      <c r="E2061" s="214" t="n"/>
      <c r="F2061" s="267" t="n">
        <v>415070</v>
      </c>
      <c r="G2061" s="263" t="inlineStr">
        <is>
          <t>Asta di sospensione mm. 300</t>
        </is>
      </c>
      <c r="H2061" s="264" t="n">
        <v>100</v>
      </c>
      <c r="I2061" s="265" t="n">
        <v>0.108</v>
      </c>
      <c r="J2061" s="214" t="n"/>
      <c r="K2061" s="208" t="n"/>
      <c r="L2061" s="424" t="n"/>
      <c r="M2061" s="961" t="n"/>
      <c r="N2061" s="214" t="n"/>
    </row>
    <row r="2062">
      <c r="A2062" s="207" t="n"/>
      <c r="B2062" s="209" t="n"/>
      <c r="C2062" s="207" t="n"/>
      <c r="D2062" s="963" t="n"/>
      <c r="E2062" s="214" t="n"/>
      <c r="F2062" s="267" t="n">
        <v>415073</v>
      </c>
      <c r="G2062" s="263" t="inlineStr">
        <is>
          <t>Asta di sospensione mm. 150</t>
        </is>
      </c>
      <c r="H2062" s="264" t="n">
        <v>100</v>
      </c>
      <c r="I2062" s="265" t="n">
        <v>0.077</v>
      </c>
      <c r="J2062" s="214" t="n"/>
      <c r="K2062" s="208" t="n"/>
      <c r="L2062" s="424" t="n"/>
      <c r="M2062" s="961" t="n"/>
      <c r="N2062" s="214" t="n"/>
    </row>
    <row r="2063">
      <c r="A2063" s="207" t="n"/>
      <c r="B2063" s="209" t="n"/>
      <c r="C2063" s="207" t="n"/>
      <c r="D2063" s="963" t="n"/>
      <c r="E2063" s="214" t="n"/>
      <c r="F2063" s="267" t="n">
        <v>415076</v>
      </c>
      <c r="G2063" s="263" t="inlineStr">
        <is>
          <t>Asta di sospensione mm. 100</t>
        </is>
      </c>
      <c r="H2063" s="264" t="n">
        <v>100</v>
      </c>
      <c r="I2063" s="265" t="n">
        <v>0.067</v>
      </c>
      <c r="J2063" s="214" t="n"/>
      <c r="K2063" s="208" t="n"/>
      <c r="L2063" s="424" t="n"/>
      <c r="M2063" s="961" t="n"/>
      <c r="N2063" s="214" t="n"/>
    </row>
    <row r="2064">
      <c r="A2064" s="207" t="n"/>
      <c r="B2064" s="209" t="n"/>
      <c r="C2064" s="207" t="n"/>
      <c r="D2064" s="963" t="n"/>
      <c r="E2064" s="214" t="n"/>
      <c r="F2064" s="267" t="n">
        <v>415077</v>
      </c>
      <c r="G2064" s="263" t="inlineStr">
        <is>
          <t>Asta di sospensione mm. 200</t>
        </is>
      </c>
      <c r="H2064" s="264" t="n">
        <v>100</v>
      </c>
      <c r="I2064" s="265" t="n">
        <v>0.08500000000000001</v>
      </c>
      <c r="J2064" s="214" t="n"/>
      <c r="K2064" s="208" t="n"/>
      <c r="L2064" s="424" t="n"/>
      <c r="M2064" s="961" t="n"/>
      <c r="N2064" s="214" t="n"/>
    </row>
    <row r="2065">
      <c r="A2065" s="207" t="n"/>
      <c r="B2065" s="209" t="n"/>
      <c r="C2065" s="207" t="n"/>
      <c r="D2065" s="963" t="n"/>
      <c r="E2065" s="214" t="n"/>
      <c r="F2065" s="267" t="n">
        <v>415078</v>
      </c>
      <c r="G2065" s="263" t="inlineStr">
        <is>
          <t>Asta di sospensione mm. 250</t>
        </is>
      </c>
      <c r="H2065" s="264" t="n">
        <v>100</v>
      </c>
      <c r="I2065" s="265" t="n">
        <v>0.098</v>
      </c>
      <c r="J2065" s="214" t="n"/>
      <c r="K2065" s="209" t="n"/>
      <c r="L2065" s="425" t="n"/>
      <c r="M2065" s="961" t="n"/>
      <c r="N2065" s="214" t="n"/>
    </row>
    <row r="2066">
      <c r="A2066" s="207" t="n"/>
      <c r="B2066" s="209" t="n"/>
      <c r="C2066" s="207" t="n"/>
      <c r="D2066" s="963" t="n"/>
      <c r="E2066" s="214" t="n"/>
      <c r="F2066" s="267" t="n">
        <v>415079</v>
      </c>
      <c r="G2066" s="263" t="inlineStr">
        <is>
          <t>Asta di sospensione mm. 400</t>
        </is>
      </c>
      <c r="H2066" s="264" t="n">
        <v>100</v>
      </c>
      <c r="I2066" s="265" t="n">
        <v>0.137</v>
      </c>
      <c r="J2066" s="214" t="n"/>
      <c r="K2066" s="209" t="n"/>
      <c r="L2066" s="425" t="n"/>
      <c r="M2066" s="961" t="n"/>
      <c r="N2066" s="214" t="n"/>
    </row>
    <row r="2067">
      <c r="A2067" s="207" t="n"/>
      <c r="B2067" s="209" t="n"/>
      <c r="C2067" s="207" t="n"/>
      <c r="D2067" s="963" t="n"/>
      <c r="E2067" s="214" t="n"/>
      <c r="F2067" s="267" t="n">
        <v>415080</v>
      </c>
      <c r="G2067" s="263" t="inlineStr">
        <is>
          <t>Asta di sospensione mm. 500</t>
        </is>
      </c>
      <c r="H2067" s="264" t="n">
        <v>100</v>
      </c>
      <c r="I2067" s="265" t="n">
        <v>0.146</v>
      </c>
      <c r="J2067" s="214" t="n"/>
      <c r="K2067" s="208" t="n"/>
      <c r="L2067" s="424" t="n"/>
      <c r="M2067" s="961" t="n"/>
      <c r="N2067" s="214" t="n"/>
    </row>
    <row r="2068">
      <c r="A2068" s="207" t="n"/>
      <c r="B2068" s="209" t="n"/>
      <c r="C2068" s="207" t="n"/>
      <c r="D2068" s="963" t="n"/>
      <c r="E2068" s="214" t="n"/>
      <c r="F2068" s="267" t="n">
        <v>415081</v>
      </c>
      <c r="G2068" s="263" t="inlineStr">
        <is>
          <t>Asta di sospensione mm. 600</t>
        </is>
      </c>
      <c r="H2068" s="264" t="n">
        <v>100</v>
      </c>
      <c r="I2068" s="265" t="n">
        <v>0.161</v>
      </c>
      <c r="J2068" s="214" t="n"/>
      <c r="K2068" s="208" t="n"/>
      <c r="L2068" s="424" t="n"/>
      <c r="M2068" s="961" t="n"/>
      <c r="N2068" s="214" t="n"/>
    </row>
    <row r="2069">
      <c r="A2069" s="207" t="n"/>
      <c r="B2069" s="209" t="n"/>
      <c r="C2069" s="207" t="n"/>
      <c r="D2069" s="963" t="n"/>
      <c r="E2069" s="214" t="n"/>
      <c r="F2069" s="267" t="n">
        <v>415082</v>
      </c>
      <c r="G2069" s="263" t="inlineStr">
        <is>
          <t>Asta di sospensione mm. 760</t>
        </is>
      </c>
      <c r="H2069" s="264" t="n">
        <v>100</v>
      </c>
      <c r="I2069" s="265" t="n">
        <v>0.187</v>
      </c>
      <c r="J2069" s="214" t="n"/>
      <c r="K2069" s="208" t="n"/>
      <c r="L2069" s="424" t="n"/>
      <c r="M2069" s="961" t="n"/>
      <c r="N2069" s="214" t="n"/>
    </row>
    <row r="2070">
      <c r="A2070" s="207" t="n"/>
      <c r="B2070" s="209" t="n"/>
      <c r="C2070" s="207" t="n"/>
      <c r="D2070" s="963" t="n"/>
      <c r="E2070" s="214" t="n"/>
      <c r="F2070" s="267" t="n">
        <v>415083</v>
      </c>
      <c r="G2070" s="263" t="inlineStr">
        <is>
          <t>Asta di sospensione mm. 900</t>
        </is>
      </c>
      <c r="H2070" s="264" t="n">
        <v>100</v>
      </c>
      <c r="I2070" s="265" t="n">
        <v>0.204</v>
      </c>
      <c r="J2070" s="214" t="n"/>
      <c r="K2070" s="209" t="n"/>
      <c r="L2070" s="425" t="n"/>
      <c r="M2070" s="961" t="n"/>
      <c r="N2070" s="214" t="n"/>
    </row>
    <row r="2071">
      <c r="A2071" s="207" t="n"/>
      <c r="B2071" s="209" t="n"/>
      <c r="C2071" s="207" t="n"/>
      <c r="D2071" s="963" t="n"/>
      <c r="E2071" s="214" t="n"/>
      <c r="F2071" s="267" t="n">
        <v>415090</v>
      </c>
      <c r="G2071" s="263" t="inlineStr">
        <is>
          <t>Cavo di acciaio mm. 2, mt 100</t>
        </is>
      </c>
      <c r="H2071" s="264" t="n">
        <v>1</v>
      </c>
      <c r="I2071" s="265" t="n">
        <v>28.072</v>
      </c>
      <c r="J2071" s="214" t="n"/>
      <c r="K2071" s="209" t="n"/>
      <c r="L2071" s="425" t="n"/>
      <c r="M2071" s="961" t="n"/>
      <c r="N2071" s="214" t="n"/>
    </row>
    <row r="2072">
      <c r="A2072" s="207" t="n"/>
      <c r="B2072" s="209" t="n"/>
      <c r="C2072" s="207" t="n"/>
      <c r="D2072" s="963" t="n"/>
      <c r="E2072" s="214" t="n"/>
      <c r="F2072" s="267" t="n">
        <v>415091</v>
      </c>
      <c r="G2072" s="263" t="inlineStr">
        <is>
          <t>Stringi filo per parte superiore</t>
        </is>
      </c>
      <c r="H2072" s="264" t="n">
        <v>100</v>
      </c>
      <c r="I2072" s="265" t="n">
        <v>0.111</v>
      </c>
      <c r="J2072" s="214" t="n"/>
      <c r="K2072" s="208" t="n"/>
      <c r="L2072" s="424" t="n"/>
      <c r="M2072" s="961" t="n"/>
      <c r="N2072" s="214" t="n"/>
    </row>
    <row r="2073">
      <c r="A2073" s="207" t="n"/>
      <c r="B2073" s="209" t="n"/>
      <c r="C2073" s="207" t="n"/>
      <c r="D2073" s="963" t="n"/>
      <c r="E2073" s="214" t="n"/>
      <c r="F2073" s="267" t="n">
        <v>415092</v>
      </c>
      <c r="G2073" s="263" t="inlineStr">
        <is>
          <t>Stringi filo per parte inferiore</t>
        </is>
      </c>
      <c r="H2073" s="264" t="n">
        <v>100</v>
      </c>
      <c r="I2073" s="265" t="n">
        <v>1.068</v>
      </c>
      <c r="J2073" s="214" t="n"/>
      <c r="K2073" s="209" t="n"/>
      <c r="L2073" s="425" t="n"/>
      <c r="M2073" s="961" t="n"/>
      <c r="N2073" s="214" t="n"/>
    </row>
    <row r="2074">
      <c r="A2074" s="207" t="n"/>
      <c r="B2074" s="209" t="n"/>
      <c r="C2074" s="207" t="n"/>
      <c r="D2074" s="963" t="n"/>
      <c r="E2074" s="214" t="n"/>
      <c r="F2074" s="267" t="n">
        <v>416000</v>
      </c>
      <c r="G2074" s="263" t="inlineStr">
        <is>
          <t>Gancio ad s aperto</t>
        </is>
      </c>
      <c r="H2074" s="264" t="n">
        <v>1000</v>
      </c>
      <c r="I2074" s="265" t="n">
        <v>0.05</v>
      </c>
      <c r="J2074" s="214" t="n"/>
      <c r="K2074" s="209" t="n"/>
      <c r="L2074" s="425" t="n"/>
      <c r="M2074" s="961" t="n"/>
      <c r="N2074" s="214" t="n"/>
    </row>
    <row r="2075">
      <c r="A2075" s="207" t="n"/>
      <c r="B2075" s="209" t="n"/>
      <c r="C2075" s="207" t="n"/>
      <c r="D2075" s="963" t="n"/>
      <c r="E2075" s="214" t="n"/>
      <c r="F2075" s="267" t="n">
        <v>416010</v>
      </c>
      <c r="G2075" s="263" t="inlineStr">
        <is>
          <t>Gancio ad S chiuso mm. 59</t>
        </is>
      </c>
      <c r="H2075" s="264" t="n">
        <v>1000</v>
      </c>
      <c r="I2075" s="265" t="n">
        <v>0.142</v>
      </c>
      <c r="J2075" s="214" t="n"/>
      <c r="K2075" s="209" t="n"/>
      <c r="L2075" s="425" t="n"/>
      <c r="M2075" s="961" t="n"/>
      <c r="N2075" s="214" t="n"/>
    </row>
    <row r="2076">
      <c r="A2076" s="207" t="n"/>
      <c r="B2076" s="209" t="n"/>
      <c r="C2076" s="207" t="n"/>
      <c r="D2076" s="963" t="n"/>
      <c r="E2076" s="214" t="n"/>
      <c r="F2076" s="267" t="n">
        <v>416011</v>
      </c>
      <c r="G2076" s="263" t="inlineStr">
        <is>
          <t>Gancio ad S chiuso mm. 32</t>
        </is>
      </c>
      <c r="H2076" s="264" t="n">
        <v>1000</v>
      </c>
      <c r="I2076" s="265" t="n">
        <v>0.052</v>
      </c>
      <c r="J2076" s="214" t="n"/>
      <c r="K2076" s="209" t="n"/>
      <c r="L2076" s="425" t="n"/>
      <c r="M2076" s="961" t="n"/>
      <c r="N2076" s="214" t="n"/>
    </row>
    <row r="2077">
      <c r="A2077" s="207" t="n"/>
      <c r="B2077" s="209" t="n"/>
      <c r="C2077" s="207" t="n"/>
      <c r="D2077" s="963" t="n"/>
      <c r="E2077" s="214" t="n"/>
      <c r="F2077" s="267" t="n">
        <v>416012</v>
      </c>
      <c r="G2077" s="263" t="inlineStr">
        <is>
          <t>Gancio ad S chiuso mm. 26</t>
        </is>
      </c>
      <c r="H2077" s="264" t="n">
        <v>1000</v>
      </c>
      <c r="I2077" s="265" t="n">
        <v>0.045</v>
      </c>
      <c r="J2077" s="214" t="n"/>
      <c r="K2077" s="208" t="n"/>
      <c r="L2077" s="424" t="n"/>
      <c r="M2077" s="961" t="n"/>
      <c r="N2077" s="214" t="n"/>
    </row>
    <row r="2078">
      <c r="A2078" s="207" t="n"/>
      <c r="B2078" s="209" t="n"/>
      <c r="C2078" s="207" t="n"/>
      <c r="D2078" s="963" t="n"/>
      <c r="E2078" s="214" t="n"/>
      <c r="F2078" s="267" t="n">
        <v>416013</v>
      </c>
      <c r="G2078" s="263" t="inlineStr">
        <is>
          <t>Gancio ad S chiuso mm. 27</t>
        </is>
      </c>
      <c r="H2078" s="264" t="n">
        <v>1000</v>
      </c>
      <c r="I2078" s="265" t="n">
        <v>0.046</v>
      </c>
      <c r="J2078" s="214" t="n"/>
      <c r="K2078" s="208" t="n"/>
      <c r="L2078" s="424" t="n"/>
      <c r="M2078" s="961" t="n"/>
      <c r="N2078" s="214" t="n"/>
    </row>
    <row r="2079">
      <c r="A2079" s="207" t="n"/>
      <c r="B2079" s="209" t="n"/>
      <c r="C2079" s="207" t="n"/>
      <c r="D2079" s="963" t="n"/>
      <c r="E2079" s="214" t="n"/>
      <c r="F2079" s="267" t="n">
        <v>416014</v>
      </c>
      <c r="G2079" s="263" t="inlineStr">
        <is>
          <t>Gancio ad S chiuso mm. 24,5</t>
        </is>
      </c>
      <c r="H2079" s="264" t="n">
        <v>1000</v>
      </c>
      <c r="I2079" s="265" t="n">
        <v>0.054</v>
      </c>
      <c r="J2079" s="214" t="n"/>
      <c r="K2079" s="208" t="n"/>
      <c r="L2079" s="424" t="n"/>
      <c r="M2079" s="961" t="n"/>
      <c r="N2079" s="214" t="n"/>
    </row>
    <row r="2080">
      <c r="A2080" s="207" t="n"/>
      <c r="B2080" s="209" t="n"/>
      <c r="C2080" s="207" t="n"/>
      <c r="D2080" s="963" t="n"/>
      <c r="E2080" s="214" t="n"/>
      <c r="F2080" s="267" t="n">
        <v>416020</v>
      </c>
      <c r="G2080" s="263" t="inlineStr">
        <is>
          <t>Gancio ad s medio aperto</t>
        </is>
      </c>
      <c r="H2080" s="264" t="n">
        <v>1000</v>
      </c>
      <c r="I2080" s="265" t="n">
        <v>0.093</v>
      </c>
      <c r="J2080" s="214" t="n"/>
      <c r="K2080" s="208" t="n"/>
      <c r="L2080" s="424" t="n"/>
      <c r="M2080" s="961" t="n"/>
      <c r="N2080" s="214" t="n"/>
    </row>
    <row r="2081">
      <c r="A2081" s="207" t="n"/>
      <c r="B2081" s="209" t="n"/>
      <c r="C2081" s="207" t="n"/>
      <c r="D2081" s="963" t="n"/>
      <c r="E2081" s="214" t="n"/>
      <c r="F2081" s="267" t="n">
        <v>416450</v>
      </c>
      <c r="G2081" s="263" t="inlineStr">
        <is>
          <t>Gancio ad s in metallo h. mm. 60</t>
        </is>
      </c>
      <c r="H2081" s="264" t="n">
        <v>1000</v>
      </c>
      <c r="I2081" s="265" t="n">
        <v>0.08</v>
      </c>
      <c r="J2081" s="214" t="n"/>
      <c r="K2081" s="209" t="n"/>
      <c r="L2081" s="425" t="n"/>
      <c r="M2081" s="961" t="n"/>
      <c r="N2081" s="214" t="n"/>
    </row>
    <row r="2082">
      <c r="A2082" s="207" t="n"/>
      <c r="B2082" s="209" t="n"/>
      <c r="C2082" s="207" t="n"/>
      <c r="D2082" s="963" t="n"/>
      <c r="E2082" s="214" t="n"/>
      <c r="F2082" s="267" t="n">
        <v>417220</v>
      </c>
      <c r="G2082" s="263" t="inlineStr">
        <is>
          <t>Gancio a pressione in metallo h. mm. 71</t>
        </is>
      </c>
      <c r="H2082" s="264" t="n">
        <v>1000</v>
      </c>
      <c r="I2082" s="265" t="n">
        <v>0.108</v>
      </c>
      <c r="J2082" s="214" t="n"/>
      <c r="K2082" s="209" t="n"/>
      <c r="L2082" s="425" t="n"/>
      <c r="M2082" s="961" t="n"/>
      <c r="N2082" s="214" t="n"/>
    </row>
    <row r="2083">
      <c r="A2083" s="207" t="n"/>
      <c r="B2083" s="209" t="n"/>
      <c r="C2083" s="207" t="n"/>
      <c r="D2083" s="963" t="n"/>
      <c r="E2083" s="214" t="n"/>
      <c r="F2083" s="267" t="n">
        <v>417221</v>
      </c>
      <c r="G2083" s="263" t="inlineStr">
        <is>
          <t>Gancio a c in metallo mm. 38</t>
        </is>
      </c>
      <c r="H2083" s="264" t="n">
        <v>1000</v>
      </c>
      <c r="I2083" s="265" t="n">
        <v>0.062</v>
      </c>
      <c r="J2083" s="214" t="n"/>
      <c r="K2083" s="209" t="n"/>
      <c r="L2083" s="425" t="n"/>
      <c r="M2083" s="962" t="n"/>
      <c r="N2083" s="214" t="n"/>
    </row>
    <row r="2084">
      <c r="A2084" s="207" t="n"/>
      <c r="B2084" s="209" t="n"/>
      <c r="C2084" s="207" t="n"/>
      <c r="D2084" s="963" t="n"/>
      <c r="E2084" s="214" t="n"/>
      <c r="F2084" s="267" t="n">
        <v>417222</v>
      </c>
      <c r="G2084" s="263" t="inlineStr">
        <is>
          <t>Gancio a pressione in metallo h. mm. 46</t>
        </is>
      </c>
      <c r="H2084" s="264" t="n">
        <v>1000</v>
      </c>
      <c r="I2084" s="265" t="n">
        <v>0.081</v>
      </c>
      <c r="J2084" s="214" t="n"/>
      <c r="K2084" s="209" t="n"/>
      <c r="L2084" s="425" t="n"/>
      <c r="M2084" s="962" t="n"/>
      <c r="N2084" s="214" t="n"/>
    </row>
    <row r="2085">
      <c r="A2085" s="207" t="n"/>
      <c r="B2085" s="209" t="n"/>
      <c r="C2085" s="207" t="n"/>
      <c r="D2085" s="963" t="n"/>
      <c r="E2085" s="214" t="n"/>
      <c r="F2085" s="267" t="n">
        <v>417223</v>
      </c>
      <c r="G2085" s="263" t="inlineStr">
        <is>
          <t>Gancio a pressione in metallo h. mm. 69</t>
        </is>
      </c>
      <c r="H2085" s="264" t="n">
        <v>1000</v>
      </c>
      <c r="I2085" s="265" t="n">
        <v>0.196</v>
      </c>
      <c r="J2085" s="214" t="n"/>
      <c r="K2085" s="209" t="n"/>
      <c r="L2085" s="425" t="n"/>
      <c r="M2085" s="962" t="n"/>
      <c r="N2085" s="214" t="n"/>
    </row>
    <row r="2086">
      <c r="A2086" s="207" t="n"/>
      <c r="B2086" s="209" t="n"/>
      <c r="C2086" s="207" t="n"/>
      <c r="D2086" s="963" t="n"/>
      <c r="E2086" s="214" t="n"/>
      <c r="F2086" s="267" t="n">
        <v>417224</v>
      </c>
      <c r="G2086" s="263" t="inlineStr">
        <is>
          <t>Gancio a pressione in metallo h. mm. 64,5</t>
        </is>
      </c>
      <c r="H2086" s="264" t="n">
        <v>1000</v>
      </c>
      <c r="I2086" s="265" t="n">
        <v>0.186</v>
      </c>
      <c r="J2086" s="214" t="n"/>
      <c r="K2086" s="209" t="n"/>
      <c r="L2086" s="425" t="n"/>
      <c r="M2086" s="962" t="n"/>
      <c r="N2086" s="214" t="n"/>
    </row>
    <row r="2087">
      <c r="A2087" s="207" t="n"/>
      <c r="B2087" s="209" t="n"/>
      <c r="C2087" s="207" t="n"/>
      <c r="D2087" s="963" t="n"/>
      <c r="E2087" s="214" t="n"/>
      <c r="F2087" s="267" t="n">
        <v>418309</v>
      </c>
      <c r="G2087" s="263" t="inlineStr">
        <is>
          <t>Anello in plastica mm. 14</t>
        </is>
      </c>
      <c r="H2087" s="264" t="n">
        <v>1000</v>
      </c>
      <c r="I2087" s="265" t="n">
        <v>0.043</v>
      </c>
      <c r="J2087" s="214" t="n"/>
      <c r="K2087" s="209" t="n"/>
      <c r="L2087" s="425" t="n"/>
      <c r="M2087" s="962" t="n"/>
      <c r="N2087" s="214" t="n"/>
    </row>
    <row r="2088">
      <c r="A2088" s="207" t="n"/>
      <c r="B2088" s="209" t="n"/>
      <c r="C2088" s="207" t="n"/>
      <c r="D2088" s="963" t="n"/>
      <c r="E2088" s="214" t="n"/>
      <c r="F2088" s="267" t="n">
        <v>418310</v>
      </c>
      <c r="G2088" s="263" t="inlineStr">
        <is>
          <t>Anello in plastica mm. 20</t>
        </is>
      </c>
      <c r="H2088" s="264" t="n">
        <v>1000</v>
      </c>
      <c r="I2088" s="265" t="n">
        <v>0.047</v>
      </c>
      <c r="J2088" s="214" t="n"/>
      <c r="K2088" s="208" t="n"/>
      <c r="L2088" s="424" t="n"/>
      <c r="M2088" s="961" t="n"/>
      <c r="N2088" s="214" t="n"/>
    </row>
    <row r="2089">
      <c r="A2089" s="207" t="n"/>
      <c r="B2089" s="209" t="n"/>
      <c r="C2089" s="207" t="n"/>
      <c r="D2089" s="963" t="n"/>
      <c r="E2089" s="214" t="n"/>
      <c r="F2089" s="267" t="n">
        <v>418311</v>
      </c>
      <c r="G2089" s="263" t="inlineStr">
        <is>
          <t>Anello in plastica ovale mm. 51X26</t>
        </is>
      </c>
      <c r="H2089" s="264" t="n">
        <v>1000</v>
      </c>
      <c r="I2089" s="265" t="n">
        <v>0.109</v>
      </c>
      <c r="J2089" s="214" t="n"/>
      <c r="K2089" s="209" t="n"/>
      <c r="L2089" s="425" t="n"/>
      <c r="M2089" s="962" t="n"/>
      <c r="N2089" s="214" t="n"/>
    </row>
    <row r="2090">
      <c r="A2090" s="207" t="n"/>
      <c r="B2090" s="209" t="n"/>
      <c r="C2090" s="207" t="n"/>
      <c r="D2090" s="963" t="n"/>
      <c r="E2090" s="214" t="n"/>
      <c r="F2090" s="267" t="n">
        <v>418312</v>
      </c>
      <c r="G2090" s="263" t="inlineStr">
        <is>
          <t>Anello in plastica a spirale mm. 16</t>
        </is>
      </c>
      <c r="H2090" s="264" t="n">
        <v>100</v>
      </c>
      <c r="I2090" s="265" t="n">
        <v>0.126</v>
      </c>
      <c r="J2090" s="214" t="n"/>
      <c r="K2090" s="209" t="n"/>
      <c r="L2090" s="425" t="n"/>
      <c r="M2090" s="962" t="n"/>
      <c r="N2090" s="214" t="n"/>
    </row>
    <row r="2091">
      <c r="A2091" s="207" t="n"/>
      <c r="B2091" s="209" t="n"/>
      <c r="C2091" s="207" t="n"/>
      <c r="D2091" s="963" t="n"/>
      <c r="E2091" s="214" t="n"/>
      <c r="F2091" s="267" t="n">
        <v>419580</v>
      </c>
      <c r="G2091" s="263" t="inlineStr">
        <is>
          <t>Anello metallico mm. 15</t>
        </is>
      </c>
      <c r="H2091" s="264" t="n">
        <v>100</v>
      </c>
      <c r="I2091" s="265" t="n">
        <v>0.177</v>
      </c>
      <c r="J2091" s="214" t="n"/>
      <c r="K2091" s="209" t="n"/>
      <c r="L2091" s="425" t="n"/>
      <c r="M2091" s="962" t="n"/>
      <c r="N2091" s="214" t="n"/>
    </row>
    <row r="2092">
      <c r="A2092" s="207" t="n"/>
      <c r="B2092" s="209" t="n"/>
      <c r="C2092" s="207" t="n"/>
      <c r="D2092" s="963" t="n"/>
      <c r="E2092" s="214" t="n"/>
      <c r="F2092" s="267" t="n">
        <v>419581</v>
      </c>
      <c r="G2092" s="263" t="inlineStr">
        <is>
          <t>Anello metallico mm. 20</t>
        </is>
      </c>
      <c r="H2092" s="264" t="n">
        <v>100</v>
      </c>
      <c r="I2092" s="265" t="n">
        <v>0.101</v>
      </c>
      <c r="J2092" s="214" t="n"/>
      <c r="K2092" s="209" t="n"/>
      <c r="L2092" s="425" t="n"/>
      <c r="M2092" s="962" t="n"/>
      <c r="N2092" s="214" t="n"/>
    </row>
    <row r="2093">
      <c r="A2093" s="207" t="n"/>
      <c r="B2093" s="209" t="n"/>
      <c r="C2093" s="207" t="n"/>
      <c r="D2093" s="963" t="n"/>
      <c r="E2093" s="214" t="n"/>
      <c r="F2093" s="267" t="n">
        <v>419582</v>
      </c>
      <c r="G2093" s="263" t="inlineStr">
        <is>
          <t>Anello metallico mm. 25</t>
        </is>
      </c>
      <c r="H2093" s="264" t="n">
        <v>100</v>
      </c>
      <c r="I2093" s="265" t="n">
        <v>0.132</v>
      </c>
      <c r="J2093" s="214" t="n"/>
      <c r="K2093" s="209" t="n"/>
      <c r="L2093" s="425" t="n"/>
      <c r="M2093" s="962" t="n"/>
      <c r="N2093" s="214" t="n"/>
    </row>
    <row r="2094">
      <c r="A2094" s="207" t="n"/>
      <c r="B2094" s="209" t="n"/>
      <c r="C2094" s="207" t="n"/>
      <c r="D2094" s="963" t="n"/>
      <c r="E2094" s="214" t="n"/>
      <c r="F2094" s="267" t="n">
        <v>419583</v>
      </c>
      <c r="G2094" s="263" t="inlineStr">
        <is>
          <t>Anello metallico mm. 32</t>
        </is>
      </c>
      <c r="H2094" s="264" t="n">
        <v>100</v>
      </c>
      <c r="I2094" s="265" t="n">
        <v>0.142</v>
      </c>
      <c r="J2094" s="214" t="n"/>
      <c r="K2094" s="209" t="n"/>
      <c r="L2094" s="425" t="n"/>
      <c r="M2094" s="962" t="n"/>
      <c r="N2094" s="214" t="n"/>
    </row>
    <row r="2095">
      <c r="A2095" s="207" t="n"/>
      <c r="B2095" s="209" t="n"/>
      <c r="C2095" s="207" t="n"/>
      <c r="D2095" s="963" t="n"/>
      <c r="E2095" s="214" t="n"/>
      <c r="F2095" s="267" t="n">
        <v>419585</v>
      </c>
      <c r="G2095" s="263" t="inlineStr">
        <is>
          <t>Anello metallico mm. 50</t>
        </is>
      </c>
      <c r="H2095" s="264" t="n">
        <v>100</v>
      </c>
      <c r="I2095" s="265" t="n">
        <v>0.229</v>
      </c>
      <c r="J2095" s="214" t="n"/>
      <c r="K2095" s="209" t="n"/>
      <c r="L2095" s="425" t="n"/>
      <c r="M2095" s="962" t="n"/>
      <c r="N2095" s="214" t="n"/>
    </row>
    <row r="2096">
      <c r="A2096" s="207" t="n"/>
      <c r="B2096" s="209" t="n"/>
      <c r="C2096" s="207" t="n"/>
      <c r="D2096" s="963" t="n"/>
      <c r="E2096" s="214" t="n"/>
      <c r="F2096" s="267" t="n">
        <v>419586</v>
      </c>
      <c r="G2096" s="263" t="inlineStr">
        <is>
          <t>Anello metallico mm. 38</t>
        </is>
      </c>
      <c r="H2096" s="264" t="n">
        <v>100</v>
      </c>
      <c r="I2096" s="265" t="n">
        <v>0.203</v>
      </c>
      <c r="J2096" s="214" t="n"/>
      <c r="K2096" s="208" t="n"/>
      <c r="L2096" s="424" t="n"/>
      <c r="M2096" s="961" t="n"/>
      <c r="N2096" s="214" t="n"/>
    </row>
    <row r="2097">
      <c r="A2097" s="207" t="n"/>
      <c r="B2097" s="209" t="n"/>
      <c r="C2097" s="207" t="n"/>
      <c r="D2097" s="963" t="n"/>
      <c r="E2097" s="214" t="n"/>
      <c r="F2097" s="267" t="n">
        <v>419590</v>
      </c>
      <c r="G2097" s="263" t="inlineStr">
        <is>
          <t>Anello in metallo a spirale mm. 14</t>
        </is>
      </c>
      <c r="H2097" s="264" t="n">
        <v>1000</v>
      </c>
      <c r="I2097" s="265" t="n">
        <v>0.103</v>
      </c>
      <c r="J2097" s="214" t="n"/>
      <c r="K2097" s="209" t="n"/>
      <c r="L2097" s="425" t="n"/>
      <c r="M2097" s="962" t="n"/>
      <c r="N2097" s="214" t="n"/>
    </row>
    <row r="2098">
      <c r="A2098" s="207" t="n"/>
      <c r="B2098" s="209" t="n"/>
      <c r="C2098" s="207" t="n"/>
      <c r="D2098" s="963" t="n"/>
      <c r="E2098" s="214" t="n"/>
      <c r="F2098" s="267" t="n">
        <v>419600</v>
      </c>
      <c r="G2098" s="263" t="inlineStr">
        <is>
          <t>Anello portachiave diam. mm. 20</t>
        </is>
      </c>
      <c r="H2098" s="264" t="n">
        <v>1000</v>
      </c>
      <c r="I2098" s="265" t="n">
        <v>0.029</v>
      </c>
      <c r="J2098" s="214" t="n"/>
      <c r="K2098" s="209" t="n"/>
      <c r="L2098" s="425" t="n"/>
      <c r="M2098" s="962" t="n"/>
      <c r="N2098" s="214" t="n"/>
    </row>
    <row r="2099">
      <c r="A2099" s="207" t="n"/>
      <c r="B2099" s="209" t="n"/>
      <c r="C2099" s="207" t="n"/>
      <c r="D2099" s="963" t="n"/>
      <c r="E2099" s="214" t="n"/>
      <c r="F2099" s="267" t="n">
        <v>419601</v>
      </c>
      <c r="G2099" s="263" t="inlineStr">
        <is>
          <t>Anello portachiave diam. mm. 24</t>
        </is>
      </c>
      <c r="H2099" s="264" t="n">
        <v>1000</v>
      </c>
      <c r="I2099" s="265" t="n">
        <v>0.043</v>
      </c>
      <c r="J2099" s="214" t="n"/>
      <c r="K2099" s="209" t="n"/>
      <c r="L2099" s="425" t="n"/>
      <c r="M2099" s="962" t="n"/>
      <c r="N2099" s="214" t="n"/>
    </row>
    <row r="2100">
      <c r="A2100" s="207" t="n"/>
      <c r="B2100" s="209" t="n"/>
      <c r="C2100" s="207" t="n"/>
      <c r="D2100" s="963" t="n"/>
      <c r="E2100" s="214" t="n"/>
      <c r="F2100" s="267" t="n">
        <v>419602</v>
      </c>
      <c r="G2100" s="263" t="inlineStr">
        <is>
          <t>Anello portachiave diam. mm. 30</t>
        </is>
      </c>
      <c r="H2100" s="264" t="n">
        <v>1000</v>
      </c>
      <c r="I2100" s="265" t="n">
        <v>0.044</v>
      </c>
      <c r="J2100" s="214" t="n"/>
      <c r="K2100" s="209" t="n"/>
      <c r="L2100" s="425" t="n"/>
      <c r="M2100" s="962" t="n"/>
      <c r="N2100" s="214" t="n"/>
    </row>
    <row r="2101">
      <c r="A2101" s="207" t="n"/>
      <c r="B2101" s="209" t="n"/>
      <c r="C2101" s="207" t="n"/>
      <c r="D2101" s="963" t="n"/>
      <c r="E2101" s="214" t="n"/>
      <c r="F2101" s="267" t="n">
        <v>420000</v>
      </c>
      <c r="G2101" s="263" t="inlineStr">
        <is>
          <t>Ventosa con foro trasversale</t>
        </is>
      </c>
      <c r="H2101" s="264" t="n">
        <v>1000</v>
      </c>
      <c r="I2101" s="265" t="n">
        <v>0.266</v>
      </c>
      <c r="J2101" s="214" t="n"/>
      <c r="K2101" s="209" t="n"/>
      <c r="L2101" s="425" t="n"/>
      <c r="M2101" s="962" t="n"/>
      <c r="N2101" s="214" t="n"/>
    </row>
    <row r="2102">
      <c r="A2102" s="207" t="n"/>
      <c r="B2102" s="209" t="n"/>
      <c r="C2102" s="207" t="n"/>
      <c r="D2102" s="963" t="n"/>
      <c r="E2102" s="214" t="n"/>
      <c r="F2102" s="267" t="n">
        <v>420003</v>
      </c>
      <c r="G2102" s="263" t="inlineStr">
        <is>
          <t>Ventosa con sporgenza mm. 40</t>
        </is>
      </c>
      <c r="H2102" s="264" t="n">
        <v>1000</v>
      </c>
      <c r="I2102" s="265" t="n">
        <v>0.151</v>
      </c>
      <c r="J2102" s="214" t="n"/>
      <c r="K2102" s="209" t="n"/>
      <c r="L2102" s="425" t="n"/>
      <c r="M2102" s="962" t="n"/>
      <c r="N2102" s="214" t="n"/>
    </row>
    <row r="2103">
      <c r="A2103" s="207" t="n"/>
      <c r="B2103" s="209" t="n"/>
      <c r="C2103" s="207" t="n"/>
      <c r="D2103" s="963" t="n"/>
      <c r="E2103" s="214" t="n"/>
      <c r="F2103" s="267" t="n">
        <v>420011</v>
      </c>
      <c r="G2103" s="263" t="inlineStr">
        <is>
          <t>Ventosa porta tubo diametro mm. 47</t>
        </is>
      </c>
      <c r="H2103" s="264" t="n">
        <v>1000</v>
      </c>
      <c r="I2103" s="265" t="n">
        <v>0.134</v>
      </c>
      <c r="J2103" s="214" t="n"/>
      <c r="K2103" s="209" t="n"/>
      <c r="L2103" s="425" t="n"/>
      <c r="M2103" s="962" t="n"/>
      <c r="N2103" s="214" t="n"/>
    </row>
    <row r="2104">
      <c r="A2104" s="207" t="n"/>
      <c r="B2104" s="209" t="n"/>
      <c r="C2104" s="207" t="n"/>
      <c r="D2104" s="963" t="n"/>
      <c r="E2104" s="214" t="n"/>
      <c r="F2104" s="267" t="n">
        <v>420030</v>
      </c>
      <c r="G2104" s="263" t="inlineStr">
        <is>
          <t>Ventosa con sporgenza mm. 22</t>
        </is>
      </c>
      <c r="H2104" s="264" t="n">
        <v>1000</v>
      </c>
      <c r="I2104" s="265" t="n">
        <v>0.051</v>
      </c>
      <c r="J2104" s="214" t="n"/>
      <c r="K2104" s="208" t="n"/>
      <c r="L2104" s="424" t="n"/>
      <c r="M2104" s="961" t="n"/>
      <c r="N2104" s="214" t="n"/>
    </row>
    <row r="2105">
      <c r="A2105" s="207" t="n"/>
      <c r="B2105" s="209" t="n"/>
      <c r="C2105" s="207" t="n"/>
      <c r="D2105" s="963" t="n"/>
      <c r="E2105" s="214" t="n"/>
      <c r="F2105" s="267" t="n">
        <v>420033</v>
      </c>
      <c r="G2105" s="263" t="inlineStr">
        <is>
          <t>Ventosa con gancio</t>
        </is>
      </c>
      <c r="H2105" s="264" t="n">
        <v>1000</v>
      </c>
      <c r="I2105" s="265" t="n">
        <v>0.174</v>
      </c>
      <c r="J2105" s="214" t="n"/>
      <c r="K2105" s="209" t="n"/>
      <c r="L2105" s="425" t="n"/>
      <c r="M2105" s="962" t="n"/>
      <c r="N2105" s="214" t="n"/>
    </row>
    <row r="2106">
      <c r="A2106" s="207" t="n"/>
      <c r="B2106" s="209" t="n"/>
      <c r="C2106" s="207" t="n"/>
      <c r="D2106" s="963" t="n"/>
      <c r="E2106" s="214" t="n"/>
      <c r="F2106" s="267" t="n">
        <v>420034</v>
      </c>
      <c r="G2106" s="263" t="inlineStr">
        <is>
          <t>Ventosa con automatico</t>
        </is>
      </c>
      <c r="H2106" s="264" t="n">
        <v>1000</v>
      </c>
      <c r="I2106" s="265" t="n">
        <v>0.163</v>
      </c>
      <c r="J2106" s="214" t="n"/>
      <c r="K2106" s="209" t="n"/>
      <c r="L2106" s="425" t="n"/>
      <c r="M2106" s="962" t="n"/>
      <c r="N2106" s="214" t="n"/>
    </row>
    <row r="2107">
      <c r="A2107" s="207" t="n"/>
      <c r="B2107" s="209" t="n"/>
      <c r="C2107" s="207" t="n"/>
      <c r="D2107" s="963" t="n"/>
      <c r="E2107" s="214" t="n"/>
      <c r="F2107" s="267" t="n">
        <v>421120</v>
      </c>
      <c r="G2107" s="263" t="inlineStr">
        <is>
          <t>Clip in metallo per ripiani</t>
        </is>
      </c>
      <c r="H2107" s="264" t="n">
        <v>100</v>
      </c>
      <c r="I2107" s="265" t="n">
        <v>0.417</v>
      </c>
      <c r="J2107" s="214" t="n"/>
      <c r="K2107" s="208" t="n"/>
      <c r="L2107" s="424" t="n"/>
      <c r="M2107" s="961" t="n"/>
      <c r="N2107" s="214" t="n"/>
    </row>
    <row r="2108">
      <c r="A2108" s="207" t="n"/>
      <c r="B2108" s="209" t="n"/>
      <c r="C2108" s="207" t="n"/>
      <c r="D2108" s="963" t="n"/>
      <c r="E2108" s="214" t="n"/>
      <c r="F2108" s="267" t="n">
        <v>422020</v>
      </c>
      <c r="G2108" s="263" t="inlineStr">
        <is>
          <t>Doppio legame per mobils mm. 65</t>
        </is>
      </c>
      <c r="H2108" s="264" t="n">
        <v>5000</v>
      </c>
      <c r="I2108" s="265" t="n">
        <v>0.014</v>
      </c>
      <c r="J2108" s="214" t="n"/>
      <c r="K2108" s="208" t="n"/>
      <c r="L2108" s="424" t="n"/>
      <c r="M2108" s="961" t="n"/>
      <c r="N2108" s="214" t="n"/>
    </row>
    <row r="2109">
      <c r="A2109" s="207" t="n"/>
      <c r="B2109" s="209" t="n"/>
      <c r="C2109" s="207" t="n"/>
      <c r="D2109" s="963" t="n"/>
      <c r="E2109" s="214" t="n"/>
      <c r="F2109" s="267" t="n">
        <v>422425</v>
      </c>
      <c r="G2109" s="263" t="inlineStr">
        <is>
          <t>Distanziatore per mobils mm. 15</t>
        </is>
      </c>
      <c r="H2109" s="264" t="n">
        <v>5000</v>
      </c>
      <c r="I2109" s="265" t="n">
        <v>0.007</v>
      </c>
      <c r="J2109" s="214" t="n"/>
      <c r="K2109" s="208" t="n"/>
      <c r="L2109" s="424" t="n"/>
      <c r="M2109" s="961" t="n"/>
      <c r="N2109" s="214" t="n"/>
    </row>
    <row r="2110">
      <c r="A2110" s="207" t="n"/>
      <c r="B2110" s="209" t="n"/>
      <c r="C2110" s="207" t="n"/>
      <c r="D2110" s="963" t="n"/>
      <c r="E2110" s="214" t="n"/>
      <c r="F2110" s="267" t="n">
        <v>422487</v>
      </c>
      <c r="G2110" s="263" t="inlineStr">
        <is>
          <t>Gancio ad inserimento automatico mm 19</t>
        </is>
      </c>
      <c r="H2110" s="264" t="n">
        <v>5000</v>
      </c>
      <c r="I2110" s="265" t="n">
        <v>0.014</v>
      </c>
      <c r="J2110" s="214" t="n"/>
      <c r="K2110" s="208" t="n"/>
      <c r="L2110" s="424" t="n"/>
      <c r="M2110" s="961" t="n"/>
      <c r="N2110" s="214" t="n"/>
    </row>
    <row r="2111">
      <c r="A2111" s="207" t="n"/>
      <c r="B2111" s="209" t="n"/>
      <c r="C2111" s="207" t="n"/>
      <c r="D2111" s="963" t="n"/>
      <c r="E2111" s="214" t="n"/>
      <c r="F2111" s="267" t="n">
        <v>422702</v>
      </c>
      <c r="G2111" s="263" t="inlineStr">
        <is>
          <t>Filo nylon fisso mm. 130</t>
        </is>
      </c>
      <c r="H2111" s="264" t="n">
        <v>1000</v>
      </c>
      <c r="I2111" s="265" t="n">
        <v>0.013</v>
      </c>
      <c r="J2111" s="214" t="n"/>
      <c r="K2111" s="208" t="n"/>
      <c r="L2111" s="424" t="n"/>
      <c r="M2111" s="961" t="n"/>
      <c r="N2111" s="214" t="n"/>
    </row>
    <row r="2112">
      <c r="A2112" s="207" t="n"/>
      <c r="B2112" s="209" t="n"/>
      <c r="C2112" s="207" t="n"/>
      <c r="D2112" s="963" t="n"/>
      <c r="E2112" s="214" t="n"/>
      <c r="F2112" s="267" t="n">
        <v>422783</v>
      </c>
      <c r="G2112" s="263" t="inlineStr">
        <is>
          <t>Legame nylon regolabile mm. 140 x 2,5</t>
        </is>
      </c>
      <c r="H2112" s="264" t="n">
        <v>5000</v>
      </c>
      <c r="I2112" s="265" t="n">
        <v>0.02</v>
      </c>
      <c r="J2112" s="214" t="n"/>
      <c r="K2112" s="208" t="n"/>
      <c r="L2112" s="424" t="n"/>
      <c r="M2112" s="961" t="n"/>
      <c r="N2112" s="214" t="n"/>
    </row>
    <row r="2113">
      <c r="A2113" s="207" t="n"/>
      <c r="B2113" s="209" t="n"/>
      <c r="C2113" s="207" t="n"/>
      <c r="D2113" s="963" t="n"/>
      <c r="E2113" s="214" t="n"/>
      <c r="F2113" s="267" t="n">
        <v>422784</v>
      </c>
      <c r="G2113" s="263" t="inlineStr">
        <is>
          <t>Legame nylon regolabile mm. 200 x 2,5</t>
        </is>
      </c>
      <c r="H2113" s="264" t="n">
        <v>5000</v>
      </c>
      <c r="I2113" s="265" t="n">
        <v>0.026</v>
      </c>
      <c r="J2113" s="214" t="n"/>
      <c r="K2113" s="208" t="n"/>
      <c r="L2113" s="424" t="n"/>
      <c r="M2113" s="961" t="n"/>
      <c r="N2113" s="214" t="n"/>
    </row>
    <row r="2114">
      <c r="A2114" s="207" t="n"/>
      <c r="B2114" s="209" t="n"/>
      <c r="C2114" s="207" t="n"/>
      <c r="D2114" s="963" t="n"/>
      <c r="E2114" s="214" t="n"/>
      <c r="F2114" s="267" t="n">
        <v>422793</v>
      </c>
      <c r="G2114" s="263" t="inlineStr">
        <is>
          <t>Legame nylon regolabile mm. 140 x 3,6</t>
        </is>
      </c>
      <c r="H2114" s="264" t="n">
        <v>5000</v>
      </c>
      <c r="I2114" s="265" t="n">
        <v>0.026</v>
      </c>
      <c r="J2114" s="214" t="n"/>
      <c r="K2114" s="208" t="n"/>
      <c r="L2114" s="424" t="n"/>
      <c r="M2114" s="961" t="n"/>
      <c r="N2114" s="214" t="n"/>
    </row>
    <row r="2115">
      <c r="A2115" s="207" t="n"/>
      <c r="B2115" s="209" t="n"/>
      <c r="C2115" s="207" t="n"/>
      <c r="D2115" s="963" t="n"/>
      <c r="E2115" s="214" t="n"/>
      <c r="F2115" s="267" t="n">
        <v>422794</v>
      </c>
      <c r="G2115" s="263" t="inlineStr">
        <is>
          <t>Legame nylon regolabile mm. 290 x 3,6</t>
        </is>
      </c>
      <c r="H2115" s="264" t="n">
        <v>5000</v>
      </c>
      <c r="I2115" s="265" t="n">
        <v>0.062</v>
      </c>
      <c r="J2115" s="214" t="n"/>
      <c r="K2115" s="208" t="n"/>
      <c r="L2115" s="424" t="n"/>
      <c r="M2115" s="961" t="n"/>
      <c r="N2115" s="214" t="n"/>
    </row>
    <row r="2116">
      <c r="A2116" s="207" t="n"/>
      <c r="B2116" s="209" t="n"/>
      <c r="C2116" s="207" t="n"/>
      <c r="D2116" s="963" t="n"/>
      <c r="E2116" s="214" t="n"/>
      <c r="F2116" s="267" t="n">
        <v>423405</v>
      </c>
      <c r="G2116" s="263" t="inlineStr">
        <is>
          <t>Pistola per legami e ganci ad inserimento automatico</t>
        </is>
      </c>
      <c r="H2116" s="264" t="n">
        <v>1</v>
      </c>
      <c r="I2116" s="265" t="n">
        <v>24.7</v>
      </c>
      <c r="J2116" s="214" t="n"/>
      <c r="K2116" s="208" t="n"/>
      <c r="L2116" s="424" t="n"/>
      <c r="M2116" s="961" t="n"/>
      <c r="N2116" s="214" t="n"/>
    </row>
    <row r="2117">
      <c r="A2117" s="207" t="n"/>
      <c r="B2117" s="209" t="n"/>
      <c r="C2117" s="207" t="n"/>
      <c r="D2117" s="963" t="n"/>
      <c r="E2117" s="214" t="n"/>
      <c r="F2117" s="267" t="n">
        <v>423406</v>
      </c>
      <c r="G2117" s="263" t="inlineStr">
        <is>
          <t>Aghi di ricambio per pistola (prezzo per 1 confezione da 5 aghi)</t>
        </is>
      </c>
      <c r="H2117" s="264" t="n">
        <v>2</v>
      </c>
      <c r="I2117" s="265" t="n">
        <v>17.1</v>
      </c>
      <c r="J2117" s="214" t="n"/>
      <c r="K2117" s="208" t="n"/>
      <c r="L2117" s="424" t="n"/>
      <c r="M2117" s="961" t="n"/>
      <c r="N2117" s="214" t="n"/>
    </row>
    <row r="2118">
      <c r="A2118" s="207" t="n"/>
      <c r="B2118" s="209" t="n"/>
      <c r="C2118" s="207" t="n"/>
      <c r="D2118" s="963" t="n"/>
      <c r="E2118" s="214" t="n"/>
      <c r="F2118" s="267" t="n">
        <v>424075</v>
      </c>
      <c r="G2118" s="263" t="inlineStr">
        <is>
          <t>Neptune clip</t>
        </is>
      </c>
      <c r="H2118" s="264" t="n">
        <v>1000</v>
      </c>
      <c r="I2118" s="265" t="n">
        <v>0.124</v>
      </c>
      <c r="J2118" s="214" t="n"/>
      <c r="K2118" s="208" t="n"/>
      <c r="L2118" s="424" t="n"/>
      <c r="M2118" s="961" t="n"/>
      <c r="N2118" s="214" t="n"/>
    </row>
    <row r="2119">
      <c r="A2119" s="207" t="n"/>
      <c r="B2119" s="209" t="n"/>
      <c r="C2119" s="207" t="n"/>
      <c r="D2119" s="963" t="n"/>
      <c r="E2119" s="214" t="n"/>
      <c r="F2119" s="267" t="n">
        <v>424615</v>
      </c>
      <c r="G2119" s="263" t="inlineStr">
        <is>
          <t>Tubo in plastica diametro mm. 7</t>
        </is>
      </c>
      <c r="H2119" s="264" t="n">
        <v>100</v>
      </c>
      <c r="I2119" s="265" t="n">
        <v>1.592</v>
      </c>
      <c r="J2119" s="214" t="n"/>
      <c r="K2119" s="208" t="n"/>
      <c r="L2119" s="424" t="n"/>
      <c r="M2119" s="961" t="n"/>
      <c r="N2119" s="214" t="n"/>
    </row>
    <row r="2120">
      <c r="A2120" s="207" t="n"/>
      <c r="B2120" s="209" t="n"/>
      <c r="C2120" s="207" t="n"/>
      <c r="D2120" s="963" t="n"/>
      <c r="E2120" s="214" t="n"/>
      <c r="F2120" s="267" t="n">
        <v>424617</v>
      </c>
      <c r="G2120" s="263" t="inlineStr">
        <is>
          <t>Tubo con fenditura diametro mm. 7</t>
        </is>
      </c>
      <c r="H2120" s="264" t="n">
        <v>100</v>
      </c>
      <c r="I2120" s="265" t="n">
        <v>1.779</v>
      </c>
      <c r="J2120" s="214" t="n"/>
      <c r="K2120" s="208" t="n"/>
      <c r="L2120" s="424" t="n"/>
      <c r="M2120" s="961" t="n"/>
      <c r="N2120" s="214" t="n"/>
    </row>
    <row r="2121">
      <c r="A2121" s="207" t="n"/>
      <c r="B2121" s="209" t="n"/>
      <c r="C2121" s="207" t="n"/>
      <c r="D2121" s="963" t="n"/>
      <c r="E2121" s="214" t="n"/>
      <c r="F2121" s="267" t="n">
        <v>424619</v>
      </c>
      <c r="G2121" s="263" t="inlineStr">
        <is>
          <t>Tappo esterno per tubo diametro mm. 7</t>
        </is>
      </c>
      <c r="H2121" s="264" t="n">
        <v>100</v>
      </c>
      <c r="I2121" s="265" t="n">
        <v>0.178</v>
      </c>
      <c r="J2121" s="214" t="n"/>
      <c r="K2121" s="208" t="n"/>
      <c r="L2121" s="424" t="n"/>
      <c r="M2121" s="961" t="n"/>
      <c r="N2121" s="214" t="n"/>
    </row>
    <row r="2122">
      <c r="A2122" s="207" t="n"/>
      <c r="B2122" s="209" t="n"/>
      <c r="C2122" s="207" t="n"/>
      <c r="D2122" s="963" t="n"/>
      <c r="E2122" s="214" t="n"/>
      <c r="F2122" s="267" t="n">
        <v>424624</v>
      </c>
      <c r="G2122" s="263" t="inlineStr">
        <is>
          <t>Tappo interno per tubo diametro mm. 7</t>
        </is>
      </c>
      <c r="H2122" s="264" t="n">
        <v>100</v>
      </c>
      <c r="I2122" s="265" t="n">
        <v>0.058</v>
      </c>
      <c r="J2122" s="214" t="n"/>
      <c r="K2122" s="208" t="n"/>
      <c r="L2122" s="424" t="n"/>
      <c r="M2122" s="961" t="n"/>
      <c r="N2122" s="214" t="n"/>
    </row>
    <row r="2123">
      <c r="A2123" s="207" t="n"/>
      <c r="B2123" s="209" t="n"/>
      <c r="C2123" s="207" t="n"/>
      <c r="D2123" s="963" t="n"/>
      <c r="E2123" s="214" t="n"/>
      <c r="F2123" s="267" t="n">
        <v>425620</v>
      </c>
      <c r="G2123" s="263" t="inlineStr">
        <is>
          <t>Piccolo porta tubo obliquo adesivo</t>
        </is>
      </c>
      <c r="H2123" s="264" t="n">
        <v>100</v>
      </c>
      <c r="I2123" s="265" t="n">
        <v>0.129</v>
      </c>
      <c r="J2123" s="214" t="n"/>
      <c r="K2123" s="208" t="n"/>
      <c r="L2123" s="424" t="n"/>
      <c r="M2123" s="961" t="n"/>
      <c r="N2123" s="214" t="n"/>
    </row>
    <row r="2124">
      <c r="A2124" s="207" t="n"/>
      <c r="B2124" s="209" t="n"/>
      <c r="C2124" s="207" t="n"/>
      <c r="D2124" s="963" t="n"/>
      <c r="E2124" s="214" t="n"/>
      <c r="F2124" s="267" t="n">
        <v>425919</v>
      </c>
      <c r="G2124" s="263" t="inlineStr">
        <is>
          <t>Supporto trasversale adesivo per tubo</t>
        </is>
      </c>
      <c r="H2124" s="264" t="n">
        <v>100</v>
      </c>
      <c r="I2124" s="265" t="n">
        <v>0.987</v>
      </c>
      <c r="J2124" s="214" t="n"/>
      <c r="K2124" s="208" t="n"/>
      <c r="L2124" s="424" t="n"/>
      <c r="M2124" s="961" t="n"/>
      <c r="N2124" s="214" t="n"/>
    </row>
    <row r="2125">
      <c r="A2125" s="207" t="n"/>
      <c r="B2125" s="209" t="n"/>
      <c r="C2125" s="207" t="n"/>
      <c r="D2125" s="963" t="n"/>
      <c r="E2125" s="214" t="n"/>
      <c r="F2125" s="267" t="n">
        <v>426621</v>
      </c>
      <c r="G2125" s="263" t="inlineStr">
        <is>
          <t>Porta tubo diritto adesivo</t>
        </is>
      </c>
      <c r="H2125" s="264" t="n">
        <v>100</v>
      </c>
      <c r="I2125" s="265" t="n">
        <v>0.263</v>
      </c>
      <c r="J2125" s="214" t="n"/>
      <c r="K2125" s="208" t="n"/>
      <c r="L2125" s="424" t="n"/>
      <c r="M2125" s="961" t="n"/>
      <c r="N2125" s="214" t="n"/>
    </row>
    <row r="2126">
      <c r="A2126" s="207" t="n"/>
      <c r="B2126" s="209" t="n"/>
      <c r="C2126" s="207" t="n"/>
      <c r="D2126" s="963" t="n"/>
      <c r="E2126" s="214" t="n"/>
      <c r="F2126" s="267" t="n">
        <v>426622</v>
      </c>
      <c r="G2126" s="263" t="inlineStr">
        <is>
          <t>Porta tubo obliquo adesivo</t>
        </is>
      </c>
      <c r="H2126" s="264" t="n">
        <v>100</v>
      </c>
      <c r="I2126" s="265" t="n">
        <v>0.187</v>
      </c>
      <c r="J2126" s="214" t="n"/>
      <c r="K2126" s="208" t="n"/>
      <c r="L2126" s="424" t="n"/>
      <c r="M2126" s="961" t="n"/>
      <c r="N2126" s="214" t="n"/>
    </row>
    <row r="2127">
      <c r="A2127" s="207" t="n"/>
      <c r="B2127" s="209" t="n"/>
      <c r="C2127" s="207" t="n"/>
      <c r="D2127" s="963" t="n"/>
      <c r="E2127" s="214" t="n"/>
      <c r="F2127" s="267" t="n">
        <v>427001</v>
      </c>
      <c r="G2127" s="263" t="inlineStr">
        <is>
          <t>Porta asta adesivo per bandiera grande</t>
        </is>
      </c>
      <c r="H2127" s="264" t="n">
        <v>50</v>
      </c>
      <c r="I2127" s="265" t="n">
        <v>1.448</v>
      </c>
      <c r="J2127" s="214" t="n"/>
      <c r="K2127" s="208" t="n"/>
      <c r="L2127" s="424" t="n"/>
      <c r="M2127" s="961" t="n"/>
      <c r="N2127" s="214" t="n"/>
    </row>
    <row r="2128">
      <c r="A2128" s="207" t="n"/>
      <c r="B2128" s="209" t="n"/>
      <c r="C2128" s="207" t="n"/>
      <c r="D2128" s="963" t="n"/>
      <c r="E2128" s="214" t="n"/>
      <c r="F2128" s="267" t="n">
        <v>427003</v>
      </c>
      <c r="G2128" s="263" t="inlineStr">
        <is>
          <t>Porta asta adesivo multi angolo per bandiera grande</t>
        </is>
      </c>
      <c r="H2128" s="264" t="n">
        <v>50</v>
      </c>
      <c r="I2128" s="265" t="n">
        <v>2.325</v>
      </c>
      <c r="J2128" s="214" t="n"/>
      <c r="K2128" s="208" t="n"/>
      <c r="L2128" s="424" t="n"/>
      <c r="M2128" s="961" t="n"/>
      <c r="N2128" s="214" t="n"/>
    </row>
    <row r="2129">
      <c r="A2129" s="207" t="n"/>
      <c r="B2129" s="209" t="n"/>
      <c r="C2129" s="207" t="n"/>
      <c r="D2129" s="963" t="n"/>
      <c r="E2129" s="214" t="n"/>
      <c r="F2129" s="267" t="n">
        <v>427036</v>
      </c>
      <c r="G2129" s="263" t="inlineStr">
        <is>
          <t>Base per tubi diametro mm. 7</t>
        </is>
      </c>
      <c r="H2129" s="264" t="n">
        <v>50</v>
      </c>
      <c r="I2129" s="265" t="n">
        <v>0.242</v>
      </c>
      <c r="J2129" s="214" t="n"/>
      <c r="K2129" s="208" t="n"/>
      <c r="L2129" s="424" t="n"/>
      <c r="M2129" s="961" t="n"/>
      <c r="N2129" s="214" t="n"/>
    </row>
    <row r="2130">
      <c r="A2130" s="207" t="n"/>
      <c r="B2130" s="209" t="n"/>
      <c r="C2130" s="207" t="n"/>
      <c r="D2130" s="963" t="n"/>
      <c r="E2130" s="214" t="n"/>
      <c r="F2130" s="267" t="n">
        <v>427255</v>
      </c>
      <c r="G2130" s="263" t="inlineStr">
        <is>
          <t>Asta bandiera mm. 600 con fenditura</t>
        </is>
      </c>
      <c r="H2130" s="264" t="n">
        <v>25</v>
      </c>
      <c r="I2130" s="265" t="n">
        <v>1.405</v>
      </c>
      <c r="J2130" s="214" t="n"/>
      <c r="K2130" s="208" t="n"/>
      <c r="L2130" s="424" t="n"/>
      <c r="M2130" s="961" t="n"/>
      <c r="N2130" s="214" t="n"/>
    </row>
    <row r="2131">
      <c r="A2131" s="207" t="n"/>
      <c r="B2131" s="209" t="n"/>
      <c r="C2131" s="207" t="n"/>
      <c r="D2131" s="963" t="n"/>
      <c r="E2131" s="214" t="n"/>
      <c r="F2131" s="267" t="n">
        <v>427256</v>
      </c>
      <c r="G2131" s="263" t="inlineStr">
        <is>
          <t>Asta bandiera mm. 600</t>
        </is>
      </c>
      <c r="H2131" s="264" t="n">
        <v>25</v>
      </c>
      <c r="I2131" s="265" t="n">
        <v>1.077</v>
      </c>
      <c r="J2131" s="214" t="n"/>
      <c r="K2131" s="208" t="n"/>
      <c r="L2131" s="424" t="n"/>
      <c r="M2131" s="961" t="n"/>
      <c r="N2131" s="214" t="n"/>
    </row>
    <row r="2132">
      <c r="A2132" s="207" t="n"/>
      <c r="B2132" s="209" t="n"/>
      <c r="C2132" s="207" t="n"/>
      <c r="D2132" s="963" t="n"/>
      <c r="E2132" s="214" t="n"/>
      <c r="F2132" s="267" t="n">
        <v>427271</v>
      </c>
      <c r="G2132" s="263" t="inlineStr">
        <is>
          <t>Tappo bianco per tubi diametro mm. 18,5</t>
        </is>
      </c>
      <c r="H2132" s="264" t="n">
        <v>100</v>
      </c>
      <c r="I2132" s="265" t="n">
        <v>0.218</v>
      </c>
      <c r="J2132" s="214" t="n"/>
      <c r="K2132" s="208" t="n"/>
      <c r="L2132" s="424" t="n"/>
      <c r="M2132" s="961" t="n"/>
      <c r="N2132" s="214" t="n"/>
    </row>
    <row r="2133">
      <c r="A2133" s="207" t="n"/>
      <c r="B2133" s="209" t="n"/>
      <c r="C2133" s="207" t="n"/>
      <c r="D2133" s="963" t="n"/>
      <c r="E2133" s="214" t="n"/>
      <c r="F2133" s="267" t="n">
        <v>428221</v>
      </c>
      <c r="G2133" s="263" t="inlineStr">
        <is>
          <t>Anello adesivo porta messaggio per tubo mm. 21/25</t>
        </is>
      </c>
      <c r="H2133" s="264" t="n">
        <v>25</v>
      </c>
      <c r="I2133" s="265" t="n">
        <v>0.569</v>
      </c>
      <c r="J2133" s="214" t="n"/>
      <c r="K2133" s="208" t="n"/>
      <c r="L2133" s="424" t="n"/>
      <c r="M2133" s="961" t="n"/>
      <c r="N2133" s="214" t="n"/>
    </row>
    <row r="2134">
      <c r="A2134" s="207" t="n"/>
      <c r="B2134" s="209" t="n"/>
      <c r="C2134" s="207" t="n"/>
      <c r="D2134" s="963" t="n"/>
      <c r="E2134" s="214" t="n"/>
      <c r="F2134" s="267" t="n">
        <v>428241</v>
      </c>
      <c r="G2134" s="263" t="inlineStr">
        <is>
          <t>Base adesiva per tubo diametro mm. 21/25</t>
        </is>
      </c>
      <c r="H2134" s="264" t="n">
        <v>25</v>
      </c>
      <c r="I2134" s="265" t="n">
        <v>0.95</v>
      </c>
      <c r="J2134" s="214" t="n"/>
      <c r="K2134" s="208" t="n"/>
      <c r="L2134" s="424" t="n"/>
      <c r="M2134" s="961" t="n"/>
      <c r="N2134" s="214" t="n"/>
    </row>
    <row r="2135">
      <c r="A2135" s="207" t="n"/>
      <c r="B2135" s="209" t="n"/>
      <c r="C2135" s="207" t="n"/>
      <c r="D2135" s="963" t="n"/>
      <c r="E2135" s="214" t="n"/>
      <c r="F2135" s="267" t="n">
        <v>428247</v>
      </c>
      <c r="G2135" s="263" t="inlineStr">
        <is>
          <t>Imbuto porta messaggi per tubi diametro mm. 21/25</t>
        </is>
      </c>
      <c r="H2135" s="264" t="n">
        <v>100</v>
      </c>
      <c r="I2135" s="265" t="n">
        <v>0.345</v>
      </c>
      <c r="J2135" s="214" t="n"/>
      <c r="K2135" s="208" t="n"/>
      <c r="L2135" s="424" t="n"/>
      <c r="M2135" s="961" t="n"/>
      <c r="N2135" s="214" t="n"/>
    </row>
    <row r="2136">
      <c r="A2136" s="207" t="n"/>
      <c r="B2136" s="209" t="n"/>
      <c r="C2136" s="207" t="n"/>
      <c r="D2136" s="963" t="n"/>
      <c r="E2136" s="214" t="n"/>
      <c r="F2136" s="267" t="n">
        <v>428270</v>
      </c>
      <c r="G2136" s="263" t="inlineStr">
        <is>
          <t>Tappo bianco per tubi diametro mm. 21/25</t>
        </is>
      </c>
      <c r="H2136" s="264" t="n">
        <v>100</v>
      </c>
      <c r="I2136" s="265" t="n">
        <v>0.191</v>
      </c>
      <c r="J2136" s="214" t="n"/>
      <c r="K2136" s="208" t="n"/>
      <c r="L2136" s="424" t="n"/>
      <c r="M2136" s="961" t="n"/>
      <c r="N2136" s="214" t="n"/>
    </row>
    <row r="2137">
      <c r="A2137" s="207" t="n"/>
      <c r="B2137" s="209" t="n"/>
      <c r="C2137" s="207" t="n"/>
      <c r="D2137" s="963" t="n"/>
      <c r="E2137" s="214" t="n"/>
      <c r="F2137" s="267" t="n">
        <v>428432</v>
      </c>
      <c r="G2137" s="263" t="inlineStr">
        <is>
          <t>Tubo trasparente in pvc lunghezza m. 2 diametro 38 mm.</t>
        </is>
      </c>
      <c r="H2137" s="264" t="n">
        <v>100</v>
      </c>
      <c r="I2137" s="265" t="n">
        <v>5.032</v>
      </c>
      <c r="J2137" s="214" t="n"/>
      <c r="K2137" s="208" t="n"/>
      <c r="L2137" s="424" t="n"/>
      <c r="M2137" s="961" t="n"/>
      <c r="N2137" s="214" t="n"/>
    </row>
    <row r="2138">
      <c r="A2138" s="207" t="n"/>
      <c r="B2138" s="209" t="n"/>
      <c r="C2138" s="207" t="n"/>
      <c r="D2138" s="963" t="n"/>
      <c r="E2138" s="214" t="n"/>
      <c r="F2138" s="267" t="n">
        <v>428452</v>
      </c>
      <c r="G2138" s="263" t="inlineStr">
        <is>
          <t>Tappi morbidi inferiori per display sis (per tubo)</t>
        </is>
      </c>
      <c r="H2138" s="264" t="n">
        <v>40</v>
      </c>
      <c r="I2138" s="265" t="n">
        <v>0.439</v>
      </c>
      <c r="J2138" s="214" t="n"/>
      <c r="K2138" s="208" t="n"/>
      <c r="L2138" s="424" t="n"/>
      <c r="M2138" s="961" t="n"/>
      <c r="N2138" s="214" t="n"/>
    </row>
    <row r="2139">
      <c r="A2139" s="207" t="n"/>
      <c r="B2139" s="209" t="n"/>
      <c r="C2139" s="207" t="n"/>
      <c r="D2139" s="963" t="n"/>
      <c r="E2139" s="214" t="n"/>
      <c r="F2139" s="267" t="n">
        <v>428580</v>
      </c>
      <c r="G2139" s="263" t="inlineStr">
        <is>
          <t>Tubo bianco in pvc lunghezza m. 1 diametro 25 mm.</t>
        </is>
      </c>
      <c r="H2139" s="264" t="n">
        <v>100</v>
      </c>
      <c r="I2139" s="265" t="n">
        <v>2.462</v>
      </c>
      <c r="J2139" s="214" t="n"/>
      <c r="K2139" s="208" t="n"/>
      <c r="L2139" s="424" t="n"/>
      <c r="M2139" s="961" t="n"/>
      <c r="N2139" s="214" t="n"/>
    </row>
    <row r="2140">
      <c r="A2140" s="207" t="n"/>
      <c r="B2140" s="209" t="n"/>
      <c r="C2140" s="207" t="n"/>
      <c r="D2140" s="963" t="n"/>
      <c r="E2140" s="214" t="n"/>
      <c r="F2140" s="267" t="n">
        <v>429784</v>
      </c>
      <c r="G2140" s="263" t="inlineStr">
        <is>
          <t>Maniglia a freccia per valigette bianca</t>
        </is>
      </c>
      <c r="H2140" s="264" t="n">
        <v>1500</v>
      </c>
      <c r="I2140" s="265" t="n">
        <v>0.153</v>
      </c>
      <c r="J2140" s="214" t="n"/>
      <c r="K2140" s="208" t="n"/>
      <c r="L2140" s="424" t="n"/>
      <c r="M2140" s="961" t="n"/>
      <c r="N2140" s="214" t="n"/>
    </row>
    <row r="2141">
      <c r="A2141" s="207" t="n"/>
      <c r="B2141" s="209" t="n"/>
      <c r="C2141" s="207" t="n"/>
      <c r="D2141" s="963" t="n"/>
      <c r="E2141" s="214" t="n"/>
      <c r="F2141" s="267" t="n">
        <v>429785</v>
      </c>
      <c r="G2141" s="263" t="inlineStr">
        <is>
          <t>Maniglia quadrata per valigette bianca</t>
        </is>
      </c>
      <c r="H2141" s="264" t="n">
        <v>1800</v>
      </c>
      <c r="I2141" s="265" t="n">
        <v>0.119</v>
      </c>
      <c r="J2141" s="214" t="n"/>
      <c r="K2141" s="208" t="n"/>
      <c r="L2141" s="424" t="n"/>
      <c r="M2141" s="961" t="n"/>
      <c r="N2141" s="214" t="n"/>
    </row>
    <row r="2142">
      <c r="A2142" s="207" t="n"/>
      <c r="B2142" s="209" t="n"/>
      <c r="C2142" s="207" t="n"/>
      <c r="D2142" s="963" t="n"/>
      <c r="E2142" s="214" t="n"/>
      <c r="F2142" s="267" t="n">
        <v>429794</v>
      </c>
      <c r="G2142" s="263" t="inlineStr">
        <is>
          <t>Maniglia a freccia per valigette nera</t>
        </is>
      </c>
      <c r="H2142" s="264" t="n">
        <v>1500</v>
      </c>
      <c r="I2142" s="265" t="n">
        <v>0.169</v>
      </c>
      <c r="J2142" s="214" t="n"/>
      <c r="K2142" s="208" t="n"/>
      <c r="L2142" s="424" t="n"/>
      <c r="M2142" s="961" t="n"/>
      <c r="N2142" s="214" t="n"/>
    </row>
    <row r="2143" ht="12.75" customHeight="1">
      <c r="A2143" s="207" t="n"/>
      <c r="B2143" s="209" t="n"/>
      <c r="C2143" s="207" t="n"/>
      <c r="D2143" s="963" t="n"/>
      <c r="E2143" s="215" t="n"/>
      <c r="F2143" s="267" t="n">
        <v>429795</v>
      </c>
      <c r="G2143" s="263" t="inlineStr">
        <is>
          <t>Maniglia quadrata per valigette nera</t>
        </is>
      </c>
      <c r="H2143" s="264" t="n">
        <v>1800</v>
      </c>
      <c r="I2143" s="265" t="n">
        <v>0.13</v>
      </c>
      <c r="J2143" s="215" t="n"/>
      <c r="K2143" s="209" t="n"/>
      <c r="L2143" s="425" t="n"/>
      <c r="M2143" s="962" t="n"/>
      <c r="N2143" s="215" t="n"/>
    </row>
    <row r="2144" ht="12.75" customHeight="1">
      <c r="A2144" s="207" t="n"/>
      <c r="B2144" s="209" t="n"/>
      <c r="C2144" s="207" t="n"/>
      <c r="D2144" s="963" t="n"/>
      <c r="E2144" s="215" t="n"/>
      <c r="F2144" s="267" t="n">
        <v>429911</v>
      </c>
      <c r="G2144" s="263" t="inlineStr">
        <is>
          <t>Maniglia rettangolare mm. 164 bianca</t>
        </is>
      </c>
      <c r="H2144" s="264" t="n">
        <v>1000</v>
      </c>
      <c r="I2144" s="265" t="n">
        <v>0.133</v>
      </c>
      <c r="J2144" s="215" t="n"/>
      <c r="K2144" s="209" t="n"/>
      <c r="L2144" s="425" t="n"/>
      <c r="M2144" s="962" t="n"/>
      <c r="N2144" s="215" t="n"/>
    </row>
    <row r="2145" ht="12.75" customHeight="1">
      <c r="A2145" s="207" t="n"/>
      <c r="B2145" s="209" t="n"/>
      <c r="C2145" s="207" t="n"/>
      <c r="D2145" s="963" t="n"/>
      <c r="E2145" s="215" t="n"/>
      <c r="F2145" s="267" t="n">
        <v>429912</v>
      </c>
      <c r="G2145" s="263" t="inlineStr">
        <is>
          <t>Maniglia mezzaluna mm. 158 bianca</t>
        </is>
      </c>
      <c r="H2145" s="264" t="n">
        <v>1000</v>
      </c>
      <c r="I2145" s="265" t="n">
        <v>0.121</v>
      </c>
      <c r="J2145" s="215" t="n"/>
      <c r="K2145" s="209" t="n"/>
      <c r="L2145" s="425" t="n"/>
      <c r="M2145" s="962" t="n"/>
      <c r="N2145" s="215" t="n"/>
    </row>
    <row r="2146">
      <c r="A2146" s="207" t="n"/>
      <c r="B2146" s="209" t="n"/>
      <c r="C2146" s="207" t="n"/>
      <c r="D2146" s="963" t="n"/>
      <c r="E2146" s="214" t="n"/>
      <c r="F2146" s="267" t="n">
        <v>429921</v>
      </c>
      <c r="G2146" s="263" t="inlineStr">
        <is>
          <t>Maniglia rettangolare mm. 164 nera</t>
        </is>
      </c>
      <c r="H2146" s="264" t="n">
        <v>1000</v>
      </c>
      <c r="I2146" s="265" t="n">
        <v>0.133</v>
      </c>
      <c r="J2146" s="214" t="n"/>
      <c r="K2146" s="208" t="n"/>
      <c r="L2146" s="424" t="n"/>
      <c r="M2146" s="961" t="n"/>
      <c r="N2146" s="214" t="n"/>
    </row>
    <row r="2147">
      <c r="A2147" s="207" t="n"/>
      <c r="B2147" s="209" t="n"/>
      <c r="C2147" s="207" t="n"/>
      <c r="D2147" s="963" t="n"/>
      <c r="E2147" s="214" t="n"/>
      <c r="F2147" s="267" t="n">
        <v>429922</v>
      </c>
      <c r="G2147" s="263" t="inlineStr">
        <is>
          <t>Maniglia mezzaluna mm. 158 nera</t>
        </is>
      </c>
      <c r="H2147" s="264" t="n">
        <v>1000</v>
      </c>
      <c r="I2147" s="265" t="n">
        <v>0.121</v>
      </c>
      <c r="J2147" s="214" t="n"/>
      <c r="K2147" s="208" t="n"/>
      <c r="L2147" s="424" t="n"/>
      <c r="M2147" s="961" t="n"/>
      <c r="N2147" s="214" t="n"/>
    </row>
    <row r="2148">
      <c r="A2148" s="207" t="n"/>
      <c r="B2148" s="209" t="n"/>
      <c r="C2148" s="207" t="n"/>
      <c r="D2148" s="963" t="n"/>
      <c r="E2148" s="214" t="n"/>
      <c r="F2148" s="267" t="n">
        <v>430208</v>
      </c>
      <c r="G2148" s="263" t="inlineStr">
        <is>
          <t>Rullo di biadesivo shiuma mm. 25 x 100 m.</t>
        </is>
      </c>
      <c r="H2148" s="264" t="n">
        <v>1</v>
      </c>
      <c r="I2148" s="265" t="n">
        <v>38.837</v>
      </c>
      <c r="J2148" s="214" t="n"/>
      <c r="K2148" s="208" t="n"/>
      <c r="L2148" s="424" t="n"/>
      <c r="M2148" s="961" t="n"/>
      <c r="N2148" s="214" t="n"/>
    </row>
    <row r="2149">
      <c r="A2149" s="207" t="n"/>
      <c r="B2149" s="209" t="n"/>
      <c r="C2149" s="207" t="n"/>
      <c r="D2149" s="963" t="n"/>
      <c r="E2149" s="214" t="n"/>
      <c r="F2149" s="267" t="n">
        <v>430209</v>
      </c>
      <c r="G2149" s="263" t="inlineStr">
        <is>
          <t>Rullo di biadesivo shiuma mm. 18 x 100 m.</t>
        </is>
      </c>
      <c r="H2149" s="264" t="n">
        <v>1</v>
      </c>
      <c r="I2149" s="265" t="n">
        <v>29.315</v>
      </c>
      <c r="J2149" s="214" t="n"/>
      <c r="K2149" s="208" t="n"/>
      <c r="L2149" s="424" t="n"/>
      <c r="M2149" s="961" t="n"/>
      <c r="N2149" s="214" t="n"/>
    </row>
    <row r="2150">
      <c r="A2150" s="207" t="n"/>
      <c r="B2150" s="209" t="n"/>
      <c r="C2150" s="207" t="n"/>
      <c r="D2150" s="963" t="n"/>
      <c r="E2150" s="214" t="n"/>
      <c r="F2150" s="267" t="n">
        <v>430210</v>
      </c>
      <c r="G2150" s="263" t="inlineStr">
        <is>
          <t>Rullo di biadesivo shiuma mm. 9 x 1000 m.</t>
        </is>
      </c>
      <c r="H2150" s="264" t="n">
        <v>1</v>
      </c>
      <c r="I2150" s="265" t="n">
        <v>222.402</v>
      </c>
      <c r="J2150" s="214" t="n"/>
      <c r="K2150" s="208" t="n"/>
      <c r="L2150" s="424" t="n"/>
      <c r="M2150" s="961" t="n"/>
      <c r="N2150" s="214" t="n"/>
    </row>
    <row r="2151">
      <c r="A2151" s="207" t="n"/>
      <c r="B2151" s="209" t="n"/>
      <c r="C2151" s="207" t="n"/>
      <c r="D2151" s="963" t="n"/>
      <c r="E2151" s="214" t="n"/>
      <c r="F2151" s="267" t="n">
        <v>430211</v>
      </c>
      <c r="G2151" s="263" t="inlineStr">
        <is>
          <t>Rullo di biadesivo shiuma mm. 12 x 1000 m.</t>
        </is>
      </c>
      <c r="H2151" s="264" t="n">
        <v>1</v>
      </c>
      <c r="I2151" s="265" t="n">
        <v>255.029</v>
      </c>
      <c r="J2151" s="214" t="n"/>
      <c r="K2151" s="208" t="n"/>
      <c r="L2151" s="424" t="n"/>
      <c r="M2151" s="961" t="n"/>
      <c r="N2151" s="214" t="n"/>
    </row>
    <row r="2152">
      <c r="A2152" s="207" t="n"/>
      <c r="B2152" s="209" t="n"/>
      <c r="C2152" s="207" t="n"/>
      <c r="D2152" s="963" t="n"/>
      <c r="E2152" s="214" t="n"/>
      <c r="F2152" s="267" t="n">
        <v>430213</v>
      </c>
      <c r="G2152" s="263" t="inlineStr">
        <is>
          <t>Rullo di biadesivo shiuma mm. 19 x 50 m.</t>
        </is>
      </c>
      <c r="H2152" s="264" t="n">
        <v>1</v>
      </c>
      <c r="I2152" s="265" t="n">
        <v>21.438</v>
      </c>
      <c r="J2152" s="214" t="n"/>
      <c r="K2152" s="208" t="n"/>
      <c r="L2152" s="424" t="n"/>
      <c r="M2152" s="961" t="n"/>
      <c r="N2152" s="214" t="n"/>
    </row>
    <row r="2153">
      <c r="A2153" s="207" t="n"/>
      <c r="B2153" s="209" t="n"/>
      <c r="C2153" s="207" t="n"/>
      <c r="D2153" s="963" t="n"/>
      <c r="E2153" s="214" t="n"/>
      <c r="F2153" s="267" t="n">
        <v>430214</v>
      </c>
      <c r="G2153" s="263" t="inlineStr">
        <is>
          <t>Rullo di biadesivo shiuma mm. 108 x 100 m.</t>
        </is>
      </c>
      <c r="H2153" s="264" t="n">
        <v>1</v>
      </c>
      <c r="I2153" s="265" t="n">
        <v>145.231</v>
      </c>
      <c r="J2153" s="214" t="n"/>
      <c r="K2153" s="209" t="n"/>
      <c r="L2153" s="425" t="n"/>
      <c r="M2153" s="961" t="n"/>
      <c r="N2153" s="214" t="n"/>
    </row>
    <row r="2154">
      <c r="A2154" s="207" t="n"/>
      <c r="B2154" s="209" t="n"/>
      <c r="C2154" s="207" t="n"/>
      <c r="D2154" s="963" t="n"/>
      <c r="E2154" s="214" t="n"/>
      <c r="F2154" s="267" t="n">
        <v>430220</v>
      </c>
      <c r="G2154" s="263" t="inlineStr">
        <is>
          <t>Rullo di biadesivo trasparente mm. 9x3000 m.</t>
        </is>
      </c>
      <c r="H2154" s="264" t="n">
        <v>1</v>
      </c>
      <c r="I2154" s="265" t="n">
        <v>286.62</v>
      </c>
      <c r="J2154" s="214" t="n"/>
      <c r="K2154" s="209" t="n"/>
      <c r="L2154" s="425" t="n"/>
      <c r="M2154" s="961" t="n"/>
      <c r="N2154" s="214" t="n"/>
    </row>
    <row r="2155">
      <c r="A2155" s="207" t="n"/>
      <c r="B2155" s="209" t="n"/>
      <c r="C2155" s="207" t="n"/>
      <c r="D2155" s="963" t="n"/>
      <c r="E2155" s="214" t="n"/>
      <c r="F2155" s="267" t="n">
        <v>430221</v>
      </c>
      <c r="G2155" s="263" t="inlineStr">
        <is>
          <t>Rullo di biadesivo 3M trasparente mm. 12x50 m.</t>
        </is>
      </c>
      <c r="H2155" s="264" t="n">
        <v>1</v>
      </c>
      <c r="I2155" s="265" t="n">
        <v>11.038</v>
      </c>
      <c r="J2155" s="214" t="n"/>
      <c r="K2155" s="209" t="n"/>
      <c r="L2155" s="425" t="n"/>
      <c r="M2155" s="961" t="n"/>
      <c r="N2155" s="214" t="n"/>
    </row>
    <row r="2156">
      <c r="A2156" s="207" t="n"/>
      <c r="B2156" s="209" t="n"/>
      <c r="C2156" s="207" t="n"/>
      <c r="D2156" s="963" t="n"/>
      <c r="E2156" s="214" t="n"/>
      <c r="F2156" s="267" t="n">
        <v>430222</v>
      </c>
      <c r="G2156" s="263" t="inlineStr">
        <is>
          <t>Rullo di biadesivo trasparente mm. 12x50 m.</t>
        </is>
      </c>
      <c r="H2156" s="264" t="n">
        <v>1</v>
      </c>
      <c r="I2156" s="265" t="n">
        <v>5.79</v>
      </c>
      <c r="J2156" s="214" t="n"/>
      <c r="K2156" s="209" t="n"/>
      <c r="L2156" s="425" t="n"/>
      <c r="M2156" s="961" t="n"/>
      <c r="N2156" s="214" t="n"/>
    </row>
    <row r="2157">
      <c r="A2157" s="207" t="n"/>
      <c r="B2157" s="209" t="n"/>
      <c r="C2157" s="207" t="n"/>
      <c r="D2157" s="963" t="n"/>
      <c r="E2157" s="214" t="n"/>
      <c r="F2157" s="267" t="n">
        <v>430223</v>
      </c>
      <c r="G2157" s="263" t="inlineStr">
        <is>
          <t>Rullo di biadesivo trasparente mm. 19x100 m.</t>
        </is>
      </c>
      <c r="H2157" s="264" t="n">
        <v>1</v>
      </c>
      <c r="I2157" s="265" t="n">
        <v>28.38</v>
      </c>
      <c r="J2157" s="214" t="n"/>
      <c r="K2157" s="208" t="n"/>
      <c r="L2157" s="424" t="n"/>
      <c r="M2157" s="961" t="n"/>
      <c r="N2157" s="214" t="n"/>
    </row>
    <row r="2158">
      <c r="A2158" s="207" t="n"/>
      <c r="B2158" s="209" t="n"/>
      <c r="C2158" s="207" t="n"/>
      <c r="D2158" s="963" t="n"/>
      <c r="E2158" s="214" t="n"/>
      <c r="F2158" s="267" t="n">
        <v>430230</v>
      </c>
      <c r="G2158" s="263" t="inlineStr">
        <is>
          <t>Profilo per cartone alveolare a nido d'ape 16 mm rotolo da 125 metri  minimo ord 2</t>
        </is>
      </c>
      <c r="H2158" s="262" t="n">
        <v>20</v>
      </c>
      <c r="I2158" s="265" t="n">
        <v>258.75</v>
      </c>
      <c r="J2158" s="214" t="n"/>
      <c r="K2158" s="208" t="n"/>
      <c r="L2158" s="424" t="n"/>
      <c r="M2158" s="961" t="n"/>
      <c r="N2158" s="214" t="n"/>
    </row>
    <row r="2159">
      <c r="A2159" s="207" t="n"/>
      <c r="B2159" s="209" t="n"/>
      <c r="C2159" s="207" t="n"/>
      <c r="D2159" s="963" t="n"/>
      <c r="E2159" s="214" t="n"/>
      <c r="F2159" s="267" t="n">
        <v>430231</v>
      </c>
      <c r="G2159" s="263" t="inlineStr">
        <is>
          <t>Profilo per cartone alveolare a nido d'ape 10 mmrotolo da 200 metri  minimo ord 2</t>
        </is>
      </c>
      <c r="H2159" s="262" t="n">
        <v>20</v>
      </c>
      <c r="I2159" s="265" t="n">
        <v>368</v>
      </c>
      <c r="J2159" s="214" t="n"/>
      <c r="K2159" s="208" t="n"/>
      <c r="L2159" s="424" t="n"/>
      <c r="M2159" s="961" t="n"/>
      <c r="N2159" s="214" t="n"/>
    </row>
    <row r="2160">
      <c r="A2160" s="207" t="n"/>
      <c r="B2160" s="209" t="n"/>
      <c r="C2160" s="207" t="n"/>
      <c r="D2160" s="963" t="n"/>
      <c r="E2160" s="214" t="n"/>
      <c r="F2160" s="267" t="n">
        <v>430300</v>
      </c>
      <c r="G2160" s="263" t="inlineStr">
        <is>
          <t>Calamita cilindrica adesiva diametro mm 9,5 - spessore mm 0,75</t>
        </is>
      </c>
      <c r="H2160" s="264" t="n">
        <v>100</v>
      </c>
      <c r="I2160" s="265" t="n">
        <v>0.108</v>
      </c>
      <c r="J2160" s="214" t="n"/>
      <c r="K2160" s="208" t="n"/>
      <c r="L2160" s="424" t="n"/>
      <c r="M2160" s="961" t="n"/>
      <c r="N2160" s="214" t="n"/>
    </row>
    <row r="2161">
      <c r="A2161" s="207" t="n"/>
      <c r="B2161" s="209" t="n"/>
      <c r="C2161" s="207" t="n"/>
      <c r="D2161" s="963" t="n"/>
      <c r="E2161" s="214" t="n"/>
      <c r="F2161" s="267" t="n">
        <v>430301</v>
      </c>
      <c r="G2161" s="263" t="inlineStr">
        <is>
          <t>Calamita cilindrica adesiva diametro mm 9,5 - spessore mm 1,5</t>
        </is>
      </c>
      <c r="H2161" s="264" t="n">
        <v>100</v>
      </c>
      <c r="I2161" s="265" t="n">
        <v>0.13</v>
      </c>
      <c r="J2161" s="214" t="n"/>
      <c r="K2161" s="208" t="n"/>
      <c r="L2161" s="424" t="n"/>
      <c r="M2161" s="961" t="n"/>
      <c r="N2161" s="214" t="n"/>
    </row>
    <row r="2162">
      <c r="A2162" s="207" t="n"/>
      <c r="B2162" s="209" t="n"/>
      <c r="C2162" s="207" t="n"/>
      <c r="D2162" s="963" t="n"/>
      <c r="E2162" s="215" t="n"/>
      <c r="F2162" s="267" t="n">
        <v>430302</v>
      </c>
      <c r="G2162" s="263" t="inlineStr">
        <is>
          <t>Calamita cilindrica adesiva diametro mm 10 - spessore mm 1</t>
        </is>
      </c>
      <c r="H2162" s="264" t="n">
        <v>100</v>
      </c>
      <c r="I2162" s="265" t="n">
        <v>0.118</v>
      </c>
      <c r="J2162" s="215" t="n"/>
      <c r="K2162" s="209" t="n"/>
      <c r="L2162" s="425" t="n"/>
      <c r="M2162" s="962" t="n"/>
      <c r="N2162" s="215" t="n"/>
    </row>
    <row r="2163">
      <c r="A2163" s="207" t="n"/>
      <c r="B2163" s="209" t="n"/>
      <c r="C2163" s="207" t="n"/>
      <c r="D2163" s="963" t="n"/>
      <c r="E2163" s="215" t="n"/>
      <c r="F2163" s="267" t="n">
        <v>430303</v>
      </c>
      <c r="G2163" s="263" t="inlineStr">
        <is>
          <t>Calamita cilindrica adesiva diametro mm 13 - spessore mm 1</t>
        </is>
      </c>
      <c r="H2163" s="264" t="n">
        <v>100</v>
      </c>
      <c r="I2163" s="265" t="n">
        <v>0.214</v>
      </c>
      <c r="J2163" s="215" t="n"/>
      <c r="K2163" s="209" t="n"/>
      <c r="L2163" s="425" t="n"/>
      <c r="M2163" s="962" t="n"/>
      <c r="N2163" s="215" t="n"/>
    </row>
    <row r="2164">
      <c r="A2164" s="207" t="n"/>
      <c r="B2164" s="209" t="n"/>
      <c r="C2164" s="207" t="n"/>
      <c r="D2164" s="963" t="n"/>
      <c r="E2164" s="214" t="n"/>
      <c r="F2164" s="267" t="n">
        <v>430304</v>
      </c>
      <c r="G2164" s="263" t="inlineStr">
        <is>
          <t>Calamita cilindrica adesiva diametro mm 18 - spessore mm 1</t>
        </is>
      </c>
      <c r="H2164" s="264" t="n">
        <v>100</v>
      </c>
      <c r="I2164" s="265" t="n">
        <v>0.35</v>
      </c>
      <c r="J2164" s="214" t="n"/>
      <c r="K2164" s="208" t="n"/>
      <c r="L2164" s="424" t="n"/>
      <c r="M2164" s="961" t="n"/>
      <c r="N2164" s="214" t="n"/>
    </row>
    <row r="2165">
      <c r="A2165" s="207" t="n"/>
      <c r="B2165" s="209" t="n"/>
      <c r="C2165" s="207" t="n"/>
      <c r="D2165" s="963" t="n"/>
      <c r="E2165" s="214" t="n"/>
      <c r="F2165" s="267" t="n">
        <v>430400</v>
      </c>
      <c r="G2165" s="263" t="inlineStr">
        <is>
          <t>Banda magnetica adesiva mm. 20 x 2 lunghezza 30 m</t>
        </is>
      </c>
      <c r="H2165" s="264" t="n">
        <v>1</v>
      </c>
      <c r="I2165" s="265" t="n">
        <v>42.9</v>
      </c>
      <c r="J2165" s="214" t="n"/>
      <c r="K2165" s="208" t="n"/>
      <c r="L2165" s="424" t="n"/>
      <c r="M2165" s="961" t="n"/>
      <c r="N2165" s="214" t="n"/>
    </row>
    <row r="2166">
      <c r="A2166" s="207" t="n"/>
      <c r="B2166" s="209" t="n"/>
      <c r="C2166" s="207" t="n"/>
      <c r="D2166" s="963" t="n"/>
      <c r="E2166" s="214" t="n"/>
      <c r="F2166" s="267" t="n">
        <v>430401</v>
      </c>
      <c r="G2166" s="263" t="inlineStr">
        <is>
          <t>Banda magnetica adesiva mm. 10 x 2 lunghezza 30 m</t>
        </is>
      </c>
      <c r="H2166" s="264" t="n">
        <v>1</v>
      </c>
      <c r="I2166" s="265" t="n">
        <v>19.47</v>
      </c>
      <c r="J2166" s="214" t="n"/>
      <c r="K2166" s="208" t="n"/>
      <c r="L2166" s="424" t="n"/>
      <c r="M2166" s="961" t="n"/>
      <c r="N2166" s="214" t="n"/>
    </row>
    <row r="2167">
      <c r="A2167" s="207" t="n"/>
      <c r="B2167" s="209" t="n"/>
      <c r="C2167" s="207" t="n"/>
      <c r="D2167" s="963" t="n"/>
      <c r="E2167" s="214" t="n"/>
      <c r="F2167" s="267" t="n">
        <v>430402</v>
      </c>
      <c r="G2167" s="263" t="inlineStr">
        <is>
          <t>Banda magnetica adesiva mm. 15 x 2 lunghezza 30 m</t>
        </is>
      </c>
      <c r="H2167" s="264" t="n">
        <v>1</v>
      </c>
      <c r="I2167" s="265" t="n">
        <v>30.69</v>
      </c>
      <c r="J2167" s="214" t="n"/>
      <c r="K2167" s="208" t="n"/>
      <c r="L2167" s="424" t="n"/>
      <c r="M2167" s="961" t="n"/>
      <c r="N2167" s="214" t="n"/>
    </row>
    <row r="2168">
      <c r="A2168" s="207" t="n"/>
      <c r="B2168" s="209" t="n"/>
      <c r="C2168" s="207" t="n"/>
      <c r="D2168" s="963" t="n"/>
      <c r="E2168" s="214" t="n"/>
      <c r="F2168" s="267" t="n">
        <v>430403</v>
      </c>
      <c r="G2168" s="263" t="inlineStr">
        <is>
          <t>Banda magnetica adesiva mm. 20 x 1,5 lunghezza 30 m</t>
        </is>
      </c>
      <c r="H2168" s="264" t="n">
        <v>1</v>
      </c>
      <c r="I2168" s="265" t="n">
        <v>30.69</v>
      </c>
      <c r="J2168" s="214" t="n"/>
      <c r="K2168" s="208" t="n"/>
      <c r="L2168" s="424" t="n"/>
      <c r="M2168" s="961" t="n"/>
      <c r="N2168" s="214" t="n"/>
    </row>
    <row r="2169">
      <c r="A2169" s="207" t="n"/>
      <c r="B2169" s="209" t="n"/>
      <c r="C2169" s="207" t="n"/>
      <c r="D2169" s="963" t="n"/>
      <c r="E2169" s="214" t="n"/>
      <c r="F2169" s="267" t="n">
        <v>430404</v>
      </c>
      <c r="G2169" s="263" t="inlineStr">
        <is>
          <t>Banda magnetica adesiva mm. 25 x 1,5 lunghezza 30 m</t>
        </is>
      </c>
      <c r="H2169" s="264" t="n">
        <v>1</v>
      </c>
      <c r="I2169" s="265" t="n">
        <v>47.19</v>
      </c>
      <c r="J2169" s="214" t="n"/>
      <c r="K2169" s="208" t="n"/>
      <c r="L2169" s="424" t="n"/>
      <c r="M2169" s="961" t="n"/>
      <c r="N2169" s="214" t="n"/>
    </row>
    <row r="2170">
      <c r="A2170" s="207" t="n"/>
      <c r="B2170" s="209" t="n"/>
      <c r="C2170" s="207" t="n"/>
      <c r="D2170" s="963" t="n"/>
      <c r="E2170" s="214" t="n"/>
      <c r="F2170" s="267" t="n">
        <v>430405</v>
      </c>
      <c r="G2170" s="263" t="inlineStr">
        <is>
          <t>Banda magnetica adesiva mm. 25 x 2 lunghezza 30 m</t>
        </is>
      </c>
      <c r="H2170" s="264" t="n">
        <v>1</v>
      </c>
      <c r="I2170" s="265" t="n">
        <v>54.12</v>
      </c>
      <c r="J2170" s="214" t="n"/>
      <c r="K2170" s="208" t="n"/>
      <c r="L2170" s="424" t="n"/>
      <c r="M2170" s="961" t="n"/>
      <c r="N2170" s="214" t="n"/>
    </row>
    <row r="2171">
      <c r="A2171" s="207" t="n"/>
      <c r="B2171" s="209" t="n"/>
      <c r="C2171" s="207" t="n"/>
      <c r="D2171" s="963" t="n"/>
      <c r="E2171" s="214" t="n"/>
      <c r="F2171" s="267" t="n">
        <v>431030</v>
      </c>
      <c r="G2171" s="263" t="inlineStr">
        <is>
          <t>Porta prezzi per broches senza intaglio centrale mm. 30X2500</t>
        </is>
      </c>
      <c r="H2171" s="264" t="n">
        <v>50</v>
      </c>
      <c r="I2171" s="265" t="n">
        <v>6.097</v>
      </c>
      <c r="J2171" s="214" t="n"/>
      <c r="K2171" s="208" t="n"/>
      <c r="L2171" s="424" t="n"/>
      <c r="M2171" s="961" t="n"/>
      <c r="N2171" s="214" t="n"/>
    </row>
    <row r="2172">
      <c r="A2172" s="207" t="n"/>
      <c r="B2172" s="209" t="n"/>
      <c r="C2172" s="207" t="n"/>
      <c r="D2172" s="963" t="n"/>
      <c r="E2172" s="214" t="n"/>
      <c r="F2172" s="267" t="n">
        <v>431038</v>
      </c>
      <c r="G2172" s="263" t="inlineStr">
        <is>
          <t>Porta prezzi per broches senza intaglio centrale mm. 38X2500</t>
        </is>
      </c>
      <c r="H2172" s="264" t="n">
        <v>50</v>
      </c>
      <c r="I2172" s="265" t="n">
        <v>6.374</v>
      </c>
      <c r="J2172" s="214" t="n"/>
      <c r="K2172" s="208" t="n"/>
      <c r="L2172" s="424" t="n"/>
      <c r="M2172" s="961" t="n"/>
      <c r="N2172" s="214" t="n"/>
    </row>
    <row r="2173">
      <c r="A2173" s="207" t="n"/>
      <c r="B2173" s="209" t="n"/>
      <c r="C2173" s="207" t="n"/>
      <c r="D2173" s="963" t="n"/>
      <c r="E2173" s="214" t="n"/>
      <c r="F2173" s="267" t="n">
        <v>431500</v>
      </c>
      <c r="G2173" s="263" t="inlineStr">
        <is>
          <t>Porta prezzi per broches senza intaglio centrale mm. 38X1000</t>
        </is>
      </c>
      <c r="H2173" s="264" t="n">
        <v>50</v>
      </c>
      <c r="I2173" s="265" t="n">
        <v>4.994</v>
      </c>
      <c r="J2173" s="214" t="n"/>
      <c r="K2173" s="208" t="n"/>
      <c r="L2173" s="424" t="n"/>
      <c r="M2173" s="961" t="n"/>
      <c r="N2173" s="214" t="n"/>
    </row>
    <row r="2174">
      <c r="A2174" s="207" t="n"/>
      <c r="B2174" s="209" t="n"/>
      <c r="C2174" s="209" t="n"/>
      <c r="D2174" s="960" t="n"/>
      <c r="E2174" s="215" t="n"/>
      <c r="F2174" s="267" t="n">
        <v>431628</v>
      </c>
      <c r="G2174" s="263" t="inlineStr">
        <is>
          <t>Profilo pinza poster adesivo</t>
        </is>
      </c>
      <c r="H2174" s="264" t="n">
        <v>50</v>
      </c>
      <c r="I2174" s="265" t="n">
        <v>2.345</v>
      </c>
      <c r="J2174" s="215" t="n"/>
      <c r="K2174" s="209" t="n"/>
      <c r="L2174" s="425" t="n"/>
      <c r="M2174" s="962" t="n"/>
      <c r="N2174" s="215" t="n"/>
    </row>
    <row r="2175">
      <c r="A2175" s="207" t="n"/>
      <c r="B2175" s="209" t="n"/>
      <c r="C2175" s="209" t="n"/>
      <c r="D2175" s="960" t="n"/>
      <c r="E2175" s="215" t="n"/>
      <c r="F2175" s="267" t="n">
        <v>431640</v>
      </c>
      <c r="G2175" s="263" t="inlineStr">
        <is>
          <t>Porta prezzi per broches con intaglio centrale mm. 50x32</t>
        </is>
      </c>
      <c r="H2175" s="264" t="n">
        <v>100</v>
      </c>
      <c r="I2175" s="265" t="n">
        <v>0.219</v>
      </c>
      <c r="J2175" s="215" t="n"/>
      <c r="K2175" s="209" t="n"/>
      <c r="L2175" s="425" t="n"/>
      <c r="M2175" s="962" t="n"/>
      <c r="N2175" s="215" t="n"/>
    </row>
    <row r="2176">
      <c r="A2176" s="207" t="n"/>
      <c r="B2176" s="209" t="n"/>
      <c r="C2176" s="207" t="n"/>
      <c r="D2176" s="963" t="n"/>
      <c r="E2176" s="214" t="n"/>
      <c r="F2176" s="267" t="n">
        <v>431650</v>
      </c>
      <c r="G2176" s="263" t="inlineStr">
        <is>
          <t>Porta prezzi per broches senza intaglio centrale mm. 65X38</t>
        </is>
      </c>
      <c r="H2176" s="264" t="n">
        <v>100</v>
      </c>
      <c r="I2176" s="265" t="n">
        <v>0.262</v>
      </c>
      <c r="J2176" s="214" t="n"/>
      <c r="K2176" s="208" t="n"/>
      <c r="L2176" s="424" t="n"/>
      <c r="M2176" s="961" t="n"/>
      <c r="N2176" s="214" t="n"/>
    </row>
    <row r="2177">
      <c r="A2177" s="207" t="n"/>
      <c r="B2177" s="209" t="n"/>
      <c r="C2177" s="207" t="n"/>
      <c r="D2177" s="963" t="n"/>
      <c r="E2177" s="214" t="n"/>
      <c r="F2177" s="267" t="n">
        <v>431657</v>
      </c>
      <c r="G2177" s="263" t="inlineStr">
        <is>
          <t>Porta prezzi per broches con intaglio centrale mm. 50x38</t>
        </is>
      </c>
      <c r="H2177" s="264" t="n">
        <v>100</v>
      </c>
      <c r="I2177" s="265" t="n">
        <v>0.382</v>
      </c>
      <c r="J2177" s="214" t="n"/>
      <c r="K2177" s="208" t="n"/>
      <c r="L2177" s="424" t="n"/>
      <c r="M2177" s="961" t="n"/>
      <c r="N2177" s="214" t="n"/>
    </row>
    <row r="2178">
      <c r="A2178" s="207" t="n"/>
      <c r="B2178" s="209" t="n"/>
      <c r="C2178" s="207" t="n"/>
      <c r="D2178" s="963" t="n"/>
      <c r="E2178" s="214" t="n"/>
      <c r="F2178" s="267" t="n">
        <v>431658</v>
      </c>
      <c r="G2178" s="263" t="inlineStr">
        <is>
          <t>Porta prezzi per broches con intaglio centrale mm.65x38</t>
        </is>
      </c>
      <c r="H2178" s="264" t="n">
        <v>100</v>
      </c>
      <c r="I2178" s="265" t="n">
        <v>0.219</v>
      </c>
      <c r="J2178" s="214" t="n"/>
      <c r="K2178" s="208" t="n"/>
      <c r="L2178" s="424" t="n"/>
      <c r="M2178" s="961" t="n"/>
      <c r="N2178" s="214" t="n"/>
    </row>
    <row r="2179">
      <c r="A2179" s="207" t="n"/>
      <c r="B2179" s="209" t="n"/>
      <c r="C2179" s="209" t="n"/>
      <c r="D2179" s="960" t="n"/>
      <c r="E2179" s="215" t="n"/>
      <c r="F2179" s="267" t="n">
        <v>431658</v>
      </c>
      <c r="G2179" s="263" t="inlineStr">
        <is>
          <t>Porta prezzi per broches con intaglio centrale mm.65x38</t>
        </is>
      </c>
      <c r="H2179" s="264" t="n">
        <v>100</v>
      </c>
      <c r="I2179" s="265" t="n">
        <v>0.219</v>
      </c>
      <c r="J2179" s="215" t="n"/>
      <c r="K2179" s="209" t="n"/>
      <c r="L2179" s="425" t="n"/>
      <c r="M2179" s="962" t="n"/>
      <c r="N2179" s="215" t="n"/>
    </row>
    <row r="2180">
      <c r="A2180" s="207" t="n"/>
      <c r="B2180" s="209" t="n"/>
      <c r="C2180" s="207" t="n"/>
      <c r="D2180" s="963" t="n"/>
      <c r="E2180" s="214" t="n"/>
      <c r="F2180" s="267" t="n">
        <v>431658</v>
      </c>
      <c r="G2180" s="263" t="inlineStr">
        <is>
          <t>Porta prezzi per broches con intaglio centrale mm.65x38</t>
        </is>
      </c>
      <c r="H2180" s="264" t="n">
        <v>100</v>
      </c>
      <c r="I2180" s="265" t="n">
        <v>0.21</v>
      </c>
      <c r="J2180" s="214" t="n"/>
      <c r="K2180" s="208" t="n"/>
      <c r="L2180" s="424" t="n"/>
      <c r="M2180" s="961" t="n"/>
      <c r="N2180" s="214" t="n"/>
    </row>
    <row r="2181">
      <c r="A2181" s="207" t="n"/>
      <c r="B2181" s="209" t="n"/>
      <c r="C2181" s="207" t="n"/>
      <c r="D2181" s="963" t="n"/>
      <c r="E2181" s="214" t="n"/>
      <c r="F2181" s="267" t="n">
        <v>431659</v>
      </c>
      <c r="G2181" s="263" t="inlineStr">
        <is>
          <t>Porta prezzi per broches con intaglio centrale mm. 75x38</t>
        </is>
      </c>
      <c r="H2181" s="264" t="n">
        <v>100</v>
      </c>
      <c r="I2181" s="265" t="n">
        <v>0.398</v>
      </c>
      <c r="J2181" s="214" t="n"/>
      <c r="K2181" s="208" t="n"/>
      <c r="L2181" s="424" t="n"/>
      <c r="M2181" s="961" t="n"/>
      <c r="N2181" s="214" t="n"/>
    </row>
    <row r="2182">
      <c r="A2182" s="207" t="n"/>
      <c r="B2182" s="209" t="n"/>
      <c r="C2182" s="207" t="n"/>
      <c r="D2182" s="963" t="n"/>
      <c r="E2182" s="214" t="n"/>
      <c r="F2182" s="267" t="n">
        <v>431660</v>
      </c>
      <c r="G2182" s="263" t="inlineStr">
        <is>
          <t>Porta prezzi per broches con intaglio centrale mm. 85x39</t>
        </is>
      </c>
      <c r="H2182" s="264" t="n">
        <v>100</v>
      </c>
      <c r="I2182" s="265" t="n">
        <v>0.393</v>
      </c>
      <c r="J2182" s="214" t="n"/>
      <c r="K2182" s="208" t="n"/>
      <c r="L2182" s="424" t="n"/>
      <c r="M2182" s="961" t="n"/>
      <c r="N2182" s="214" t="n"/>
    </row>
    <row r="2183">
      <c r="A2183" s="207" t="n"/>
      <c r="B2183" s="209" t="n"/>
      <c r="C2183" s="207" t="n"/>
      <c r="D2183" s="963" t="n"/>
      <c r="E2183" s="214" t="n"/>
      <c r="F2183" s="267" t="n">
        <v>431661</v>
      </c>
      <c r="G2183" s="263" t="inlineStr">
        <is>
          <t>Porta prezzi per broches con intaglio centrale mm. 75x39</t>
        </is>
      </c>
      <c r="H2183" s="264" t="n">
        <v>100</v>
      </c>
      <c r="I2183" s="265" t="n">
        <v>0.5629999999999999</v>
      </c>
      <c r="J2183" s="214" t="n"/>
      <c r="K2183" s="208" t="n"/>
      <c r="L2183" s="424" t="n"/>
      <c r="M2183" s="961" t="n"/>
      <c r="N2183" s="214" t="n"/>
    </row>
    <row r="2184">
      <c r="A2184" s="207" t="n"/>
      <c r="B2184" s="209" t="n"/>
      <c r="C2184" s="207" t="n"/>
      <c r="D2184" s="963" t="n"/>
      <c r="E2184" s="214" t="n"/>
      <c r="F2184" s="267" t="n">
        <v>450101</v>
      </c>
      <c r="G2184" s="263" t="inlineStr">
        <is>
          <t>Super gripper adesivo a forma di T mm 76x42</t>
        </is>
      </c>
      <c r="H2184" s="264" t="n">
        <v>100</v>
      </c>
      <c r="I2184" s="265" t="n">
        <v>0.607</v>
      </c>
      <c r="J2184" s="214" t="n"/>
      <c r="K2184" s="208" t="n"/>
      <c r="L2184" s="424" t="n"/>
      <c r="M2184" s="961" t="n"/>
      <c r="N2184" s="214" t="n"/>
    </row>
    <row r="2185">
      <c r="A2185" s="207" t="n"/>
      <c r="B2185" s="209" t="n"/>
      <c r="C2185" s="207" t="n"/>
      <c r="D2185" s="963" t="n"/>
      <c r="E2185" s="214" t="n"/>
      <c r="F2185" s="267" t="n">
        <v>450102</v>
      </c>
      <c r="G2185" s="263" t="inlineStr">
        <is>
          <t>Super gripper adesivo a forma di T mm 152x42</t>
        </is>
      </c>
      <c r="H2185" s="264" t="n">
        <v>100</v>
      </c>
      <c r="I2185" s="265" t="n">
        <v>1.849</v>
      </c>
      <c r="J2185" s="214" t="n"/>
      <c r="K2185" s="208" t="n"/>
      <c r="L2185" s="424" t="n"/>
      <c r="M2185" s="961" t="n"/>
      <c r="N2185" s="214" t="n"/>
    </row>
    <row r="2186">
      <c r="A2186" s="207" t="n"/>
      <c r="B2186" s="209" t="n"/>
      <c r="C2186" s="207" t="n"/>
      <c r="D2186" s="963" t="n"/>
      <c r="E2186" s="214" t="n"/>
      <c r="F2186" s="267" t="n">
        <v>450108</v>
      </c>
      <c r="G2186" s="263" t="inlineStr">
        <is>
          <t>Gripper adesivo a pinza a forma di U mm. 25</t>
        </is>
      </c>
      <c r="H2186" s="264" t="n">
        <v>100</v>
      </c>
      <c r="I2186" s="265" t="n">
        <v>0.06900000000000001</v>
      </c>
      <c r="J2186" s="214" t="n"/>
      <c r="K2186" s="208" t="n"/>
      <c r="L2186" s="424" t="n"/>
      <c r="M2186" s="961" t="n"/>
      <c r="N2186" s="214" t="n"/>
    </row>
    <row r="2187">
      <c r="A2187" s="207" t="n"/>
      <c r="B2187" s="209" t="n"/>
      <c r="C2187" s="207" t="n"/>
      <c r="D2187" s="963" t="n"/>
      <c r="E2187" s="214" t="n"/>
      <c r="F2187" s="267" t="n">
        <v>450111</v>
      </c>
      <c r="G2187" s="263" t="inlineStr">
        <is>
          <t>Gripper adesivo a pinza a forma di U mm. 76</t>
        </is>
      </c>
      <c r="H2187" s="264" t="n">
        <v>100</v>
      </c>
      <c r="I2187" s="265" t="n">
        <v>0.233</v>
      </c>
      <c r="J2187" s="214" t="n"/>
      <c r="K2187" s="208" t="n"/>
      <c r="L2187" s="424" t="n"/>
      <c r="M2187" s="961" t="n"/>
      <c r="N2187" s="214" t="n"/>
    </row>
    <row r="2188">
      <c r="A2188" s="207" t="n"/>
      <c r="B2188" s="209" t="n"/>
      <c r="C2188" s="207" t="n"/>
      <c r="D2188" s="963" t="n"/>
      <c r="E2188" s="214" t="n"/>
      <c r="F2188" s="267" t="n">
        <v>450115</v>
      </c>
      <c r="G2188" s="263" t="inlineStr">
        <is>
          <t>Gripper adesivo basculante a forma di U mm 25</t>
        </is>
      </c>
      <c r="H2188" s="264" t="n">
        <v>100</v>
      </c>
      <c r="I2188" s="265" t="n">
        <v>0.319</v>
      </c>
      <c r="J2188" s="214" t="n"/>
      <c r="K2188" s="208" t="n"/>
      <c r="L2188" s="424" t="n"/>
      <c r="M2188" s="961" t="n"/>
      <c r="N2188" s="214" t="n"/>
    </row>
    <row r="2189">
      <c r="A2189" s="207" t="n"/>
      <c r="B2189" s="209" t="n"/>
      <c r="C2189" s="207" t="n"/>
      <c r="D2189" s="963" t="n"/>
      <c r="E2189" s="214" t="n"/>
      <c r="F2189" s="267" t="n">
        <v>450122</v>
      </c>
      <c r="G2189" s="263" t="inlineStr">
        <is>
          <t>Super gripper di giunzione a forma di H mm 25x23</t>
        </is>
      </c>
      <c r="H2189" s="264" t="n">
        <v>100</v>
      </c>
      <c r="I2189" s="265" t="n">
        <v>0.246</v>
      </c>
      <c r="J2189" s="214" t="n"/>
      <c r="K2189" s="208" t="n"/>
      <c r="L2189" s="424" t="n"/>
      <c r="M2189" s="961" t="n"/>
      <c r="N2189" s="214" t="n"/>
    </row>
    <row r="2190">
      <c r="A2190" s="207" t="n"/>
      <c r="B2190" s="209" t="n"/>
      <c r="C2190" s="207" t="n"/>
      <c r="D2190" s="963" t="n"/>
      <c r="E2190" s="214" t="n"/>
      <c r="F2190" s="267" t="n">
        <v>450124</v>
      </c>
      <c r="G2190" s="263" t="inlineStr">
        <is>
          <t>Super gripper adesivo a pinza a forma di U mm 25</t>
        </is>
      </c>
      <c r="H2190" s="264" t="n">
        <v>100</v>
      </c>
      <c r="I2190" s="265" t="n">
        <v>0.247</v>
      </c>
      <c r="J2190" s="214" t="n"/>
      <c r="K2190" s="208" t="n"/>
      <c r="L2190" s="424" t="n"/>
      <c r="M2190" s="961" t="n"/>
      <c r="N2190" s="214" t="n"/>
    </row>
    <row r="2191">
      <c r="A2191" s="207" t="n"/>
      <c r="B2191" s="209" t="n"/>
      <c r="C2191" s="207" t="n"/>
      <c r="D2191" s="963" t="n"/>
      <c r="E2191" s="214" t="n"/>
      <c r="F2191" s="267" t="n">
        <v>450125</v>
      </c>
      <c r="G2191" s="263" t="inlineStr">
        <is>
          <t>Super gripper adesivo a pinza a forma di U mm 76</t>
        </is>
      </c>
      <c r="H2191" s="264" t="n">
        <v>100</v>
      </c>
      <c r="I2191" s="265" t="n">
        <v>0.422</v>
      </c>
      <c r="J2191" s="214" t="n"/>
      <c r="K2191" s="208" t="n"/>
      <c r="L2191" s="424" t="n"/>
      <c r="M2191" s="961" t="n"/>
      <c r="N2191" s="214" t="n"/>
    </row>
    <row r="2192">
      <c r="A2192" s="207" t="n"/>
      <c r="B2192" s="209" t="n"/>
      <c r="C2192" s="207" t="n"/>
      <c r="D2192" s="963" t="n"/>
      <c r="E2192" s="214" t="n"/>
      <c r="F2192" s="267" t="n">
        <v>450127</v>
      </c>
      <c r="G2192" s="263" t="inlineStr">
        <is>
          <t>Super gripper adesivo a forma di T mm 76x19</t>
        </is>
      </c>
      <c r="H2192" s="264" t="n">
        <v>100</v>
      </c>
      <c r="I2192" s="265" t="n">
        <v>0.598</v>
      </c>
      <c r="J2192" s="214" t="n"/>
      <c r="K2192" s="208" t="n"/>
      <c r="L2192" s="424" t="n"/>
      <c r="M2192" s="961" t="n"/>
      <c r="N2192" s="214" t="n"/>
    </row>
    <row r="2193">
      <c r="A2193" s="207" t="n"/>
      <c r="B2193" s="209" t="n"/>
      <c r="C2193" s="207" t="n"/>
      <c r="D2193" s="963" t="n"/>
      <c r="E2193" s="214" t="n"/>
      <c r="F2193" s="267" t="n">
        <v>450128</v>
      </c>
      <c r="G2193" s="263" t="inlineStr">
        <is>
          <t>Super gripper adesivo a forma di T mm 152x19</t>
        </is>
      </c>
      <c r="H2193" s="264" t="n">
        <v>100</v>
      </c>
      <c r="I2193" s="265" t="n">
        <v>0.929</v>
      </c>
      <c r="J2193" s="214" t="n"/>
      <c r="K2193" s="208" t="n"/>
      <c r="L2193" s="424" t="n"/>
      <c r="M2193" s="961" t="n"/>
      <c r="N2193" s="214" t="n"/>
    </row>
    <row r="2194">
      <c r="A2194" s="207" t="n"/>
      <c r="B2194" s="209" t="n"/>
      <c r="C2194" s="207" t="n"/>
      <c r="D2194" s="963" t="n"/>
      <c r="E2194" s="214" t="n"/>
      <c r="F2194" s="267" t="n">
        <v>450133</v>
      </c>
      <c r="G2194" s="263" t="inlineStr">
        <is>
          <t>Gripper di giunzione a forma di L mm 25</t>
        </is>
      </c>
      <c r="H2194" s="264" t="n">
        <v>100</v>
      </c>
      <c r="I2194" s="265" t="n">
        <v>0.967</v>
      </c>
      <c r="J2194" s="214" t="n"/>
      <c r="K2194" s="208" t="n"/>
      <c r="L2194" s="424" t="n"/>
      <c r="M2194" s="961" t="n"/>
      <c r="N2194" s="214" t="n"/>
    </row>
    <row r="2195">
      <c r="A2195" s="207" t="n"/>
      <c r="B2195" s="209" t="n"/>
      <c r="C2195" s="207" t="n"/>
      <c r="D2195" s="963" t="n"/>
      <c r="E2195" s="214" t="n"/>
      <c r="F2195" s="267" t="n">
        <v>450135</v>
      </c>
      <c r="G2195" s="263" t="inlineStr">
        <is>
          <t>Super gripper da appoggio mm 152x57</t>
        </is>
      </c>
      <c r="H2195" s="264" t="n">
        <v>100</v>
      </c>
      <c r="I2195" s="265" t="n">
        <v>1.102</v>
      </c>
      <c r="J2195" s="214" t="n"/>
      <c r="K2195" s="208" t="n"/>
      <c r="L2195" s="424" t="n"/>
      <c r="M2195" s="961" t="n"/>
      <c r="N2195" s="214" t="n"/>
    </row>
    <row r="2196">
      <c r="A2196" s="207" t="n"/>
      <c r="B2196" s="209" t="n"/>
      <c r="C2196" s="207" t="n"/>
      <c r="D2196" s="963" t="n"/>
      <c r="E2196" s="214" t="n"/>
      <c r="F2196" s="267" t="n">
        <v>450145</v>
      </c>
      <c r="G2196" s="263" t="inlineStr">
        <is>
          <t>Super gripper adesivo a forma di T mm 25x19</t>
        </is>
      </c>
      <c r="H2196" s="264" t="n">
        <v>100</v>
      </c>
      <c r="I2196" s="265" t="n">
        <v>0.233</v>
      </c>
      <c r="J2196" s="214" t="n"/>
      <c r="K2196" s="208" t="n"/>
      <c r="L2196" s="424" t="n"/>
      <c r="M2196" s="961" t="n"/>
      <c r="N2196" s="214" t="n"/>
    </row>
    <row r="2197">
      <c r="A2197" s="207" t="n"/>
      <c r="B2197" s="209" t="n"/>
      <c r="C2197" s="207" t="n"/>
      <c r="D2197" s="963" t="n"/>
      <c r="E2197" s="214" t="n"/>
      <c r="F2197" s="267" t="n">
        <v>450147</v>
      </c>
      <c r="G2197" s="263" t="inlineStr">
        <is>
          <t>Gripper adesivo a forma di T mm 25x13</t>
        </is>
      </c>
      <c r="H2197" s="264" t="n">
        <v>100</v>
      </c>
      <c r="I2197" s="265" t="n">
        <v>0.162</v>
      </c>
      <c r="J2197" s="214" t="n"/>
      <c r="K2197" s="208" t="n"/>
      <c r="L2197" s="424" t="n"/>
      <c r="M2197" s="961" t="n"/>
      <c r="N2197" s="214" t="n"/>
    </row>
    <row r="2198">
      <c r="A2198" s="207" t="n"/>
      <c r="B2198" s="209" t="n"/>
      <c r="C2198" s="207" t="n"/>
      <c r="D2198" s="963" t="n"/>
      <c r="E2198" s="214" t="n"/>
      <c r="F2198" s="267" t="n">
        <v>450148</v>
      </c>
      <c r="G2198" s="263" t="inlineStr">
        <is>
          <t>Gripper adesivo a forma di T mm 76x13</t>
        </is>
      </c>
      <c r="H2198" s="264" t="n">
        <v>100</v>
      </c>
      <c r="I2198" s="265" t="n">
        <v>0.398</v>
      </c>
      <c r="J2198" s="214" t="n"/>
      <c r="K2198" s="208" t="n"/>
      <c r="L2198" s="424" t="n"/>
      <c r="M2198" s="961" t="n"/>
      <c r="N2198" s="214" t="n"/>
    </row>
    <row r="2199">
      <c r="A2199" s="207" t="n"/>
      <c r="B2199" s="209" t="n"/>
      <c r="C2199" s="207" t="n"/>
      <c r="D2199" s="963" t="n"/>
      <c r="E2199" s="214" t="n"/>
      <c r="F2199" s="267" t="n">
        <v>450150</v>
      </c>
      <c r="G2199" s="263" t="inlineStr">
        <is>
          <t>Gripper adesivo a forma di T mm 25x25</t>
        </is>
      </c>
      <c r="H2199" s="264" t="n">
        <v>100</v>
      </c>
      <c r="I2199" s="265" t="n">
        <v>0.171</v>
      </c>
      <c r="J2199" s="214" t="n"/>
      <c r="K2199" s="208" t="n"/>
      <c r="L2199" s="424" t="n"/>
      <c r="M2199" s="961" t="n"/>
      <c r="N2199" s="214" t="n"/>
    </row>
    <row r="2200">
      <c r="A2200" s="207" t="n"/>
      <c r="B2200" s="209" t="n"/>
      <c r="C2200" s="207" t="n"/>
      <c r="D2200" s="963" t="n"/>
      <c r="E2200" s="214" t="n"/>
      <c r="F2200" s="267" t="n">
        <v>450151</v>
      </c>
      <c r="G2200" s="263" t="inlineStr">
        <is>
          <t>Gripper adesivo a forma di T mm 76x25</t>
        </is>
      </c>
      <c r="H2200" s="264" t="n">
        <v>100</v>
      </c>
      <c r="I2200" s="265" t="n">
        <v>0.246</v>
      </c>
      <c r="J2200" s="214" t="n"/>
      <c r="K2200" s="208" t="n"/>
      <c r="L2200" s="424" t="n"/>
      <c r="M2200" s="961" t="n"/>
      <c r="N2200" s="214" t="n"/>
    </row>
    <row r="2201">
      <c r="A2201" s="207" t="n"/>
      <c r="B2201" s="209" t="n"/>
      <c r="C2201" s="207" t="n"/>
      <c r="D2201" s="963" t="n"/>
      <c r="E2201" s="214" t="n"/>
      <c r="F2201" s="267" t="n">
        <v>450153</v>
      </c>
      <c r="G2201" s="263" t="inlineStr">
        <is>
          <t>Gripper di giunzione a forma di H mm 25x22</t>
        </is>
      </c>
      <c r="H2201" s="264" t="n">
        <v>100</v>
      </c>
      <c r="I2201" s="265" t="n">
        <v>0.251</v>
      </c>
      <c r="J2201" s="214" t="n"/>
      <c r="K2201" s="208" t="n"/>
      <c r="L2201" s="424" t="n"/>
      <c r="M2201" s="961" t="n"/>
      <c r="N2201" s="214" t="n"/>
    </row>
    <row r="2202">
      <c r="A2202" s="207" t="n"/>
      <c r="B2202" s="209" t="n"/>
      <c r="C2202" s="207" t="n"/>
      <c r="D2202" s="963" t="n"/>
      <c r="E2202" s="214" t="n"/>
      <c r="F2202" s="267" t="n">
        <v>450155</v>
      </c>
      <c r="G2202" s="263" t="inlineStr">
        <is>
          <t>Gripper di giunzione a forma di H mm 76x24</t>
        </is>
      </c>
      <c r="H2202" s="264" t="n">
        <v>100</v>
      </c>
      <c r="I2202" s="265" t="n">
        <v>0.676</v>
      </c>
      <c r="J2202" s="214" t="n"/>
      <c r="K2202" s="208" t="n"/>
      <c r="L2202" s="424" t="n"/>
      <c r="M2202" s="961" t="n"/>
      <c r="N2202" s="214" t="n"/>
    </row>
    <row r="2203">
      <c r="A2203" s="207" t="n"/>
      <c r="B2203" s="209" t="n"/>
      <c r="C2203" s="207" t="n"/>
      <c r="D2203" s="963" t="n"/>
      <c r="E2203" s="214" t="n"/>
      <c r="F2203" s="267" t="n">
        <v>450158</v>
      </c>
      <c r="G2203" s="263" t="inlineStr">
        <is>
          <t>Gripper a forma di L</t>
        </is>
      </c>
      <c r="H2203" s="264" t="n">
        <v>100</v>
      </c>
      <c r="I2203" s="265" t="n">
        <v>0.927</v>
      </c>
      <c r="J2203" s="214" t="n"/>
      <c r="K2203" s="208" t="n"/>
      <c r="L2203" s="424" t="n"/>
      <c r="M2203" s="961" t="n"/>
      <c r="N2203" s="214" t="n"/>
    </row>
    <row r="2204">
      <c r="A2204" s="207" t="n"/>
      <c r="B2204" s="209" t="n"/>
      <c r="C2204" s="207" t="n"/>
      <c r="D2204" s="963" t="n"/>
      <c r="E2204" s="214" t="n"/>
      <c r="F2204" s="267" t="n">
        <v>450164</v>
      </c>
      <c r="G2204" s="263" t="inlineStr">
        <is>
          <t>Gripper per tubo o cesta in filo metallico</t>
        </is>
      </c>
      <c r="H2204" s="264" t="n">
        <v>100</v>
      </c>
      <c r="I2204" s="265" t="n">
        <v>0.735</v>
      </c>
      <c r="J2204" s="214" t="n"/>
      <c r="K2204" s="208" t="n"/>
      <c r="L2204" s="424" t="n"/>
      <c r="M2204" s="961" t="n"/>
      <c r="N2204" s="214" t="n"/>
    </row>
    <row r="2205">
      <c r="A2205" s="207" t="n"/>
      <c r="B2205" s="209" t="n"/>
      <c r="C2205" s="207" t="n"/>
      <c r="D2205" s="963" t="n"/>
      <c r="E2205" s="214" t="n"/>
      <c r="F2205" s="267" t="n">
        <v>450169</v>
      </c>
      <c r="G2205" s="263" t="inlineStr">
        <is>
          <t>Gripper adesivo articolato a forma di T mm 76x27</t>
        </is>
      </c>
      <c r="H2205" s="264" t="n">
        <v>100</v>
      </c>
      <c r="I2205" s="265" t="n">
        <v>0.369</v>
      </c>
      <c r="J2205" s="214" t="n"/>
      <c r="K2205" s="208" t="n"/>
      <c r="L2205" s="424" t="n"/>
      <c r="M2205" s="961" t="n"/>
      <c r="N2205" s="214" t="n"/>
    </row>
    <row r="2206">
      <c r="A2206" s="207" t="n"/>
      <c r="B2206" s="209" t="n"/>
      <c r="C2206" s="207" t="n"/>
      <c r="D2206" s="963" t="n"/>
      <c r="E2206" s="214" t="n"/>
      <c r="F2206" s="267" t="n">
        <v>450180</v>
      </c>
      <c r="G2206" s="263" t="inlineStr">
        <is>
          <t>Gripper per messaggio frontale ad un gancio mm 13</t>
        </is>
      </c>
      <c r="H2206" s="264" t="n">
        <v>100</v>
      </c>
      <c r="I2206" s="265" t="n">
        <v>0.049</v>
      </c>
      <c r="J2206" s="214" t="n"/>
      <c r="K2206" s="208" t="n"/>
      <c r="L2206" s="424" t="n"/>
      <c r="M2206" s="961" t="n"/>
      <c r="N2206" s="214" t="n"/>
    </row>
    <row r="2207" ht="12.75" customHeight="1">
      <c r="A2207" s="207" t="n"/>
      <c r="B2207" s="209" t="n"/>
      <c r="C2207" s="207" t="n"/>
      <c r="D2207" s="949" t="n"/>
      <c r="E2207" s="214" t="n"/>
      <c r="F2207" s="267" t="n">
        <v>450182</v>
      </c>
      <c r="G2207" s="263" t="inlineStr">
        <is>
          <t>Gripper per messaggio frontale a due ganci mm 35</t>
        </is>
      </c>
      <c r="H2207" s="264" t="n">
        <v>100</v>
      </c>
      <c r="I2207" s="265" t="n">
        <v>0.172</v>
      </c>
      <c r="J2207" s="214" t="n"/>
      <c r="K2207" s="208" t="n"/>
      <c r="L2207" s="424" t="n"/>
      <c r="M2207" s="961" t="n"/>
      <c r="N2207" s="214" t="n"/>
    </row>
    <row r="2208" ht="12.75" customHeight="1">
      <c r="A2208" s="207" t="n"/>
      <c r="B2208" s="209" t="n"/>
      <c r="C2208" s="207" t="n"/>
      <c r="D2208" s="949" t="n"/>
      <c r="E2208" s="214" t="n"/>
      <c r="F2208" s="267" t="n">
        <v>450192</v>
      </c>
      <c r="G2208" s="263" t="inlineStr">
        <is>
          <t>Gripper a bandiera per filo metallico</t>
        </is>
      </c>
      <c r="H2208" s="264" t="n">
        <v>100</v>
      </c>
      <c r="I2208" s="265" t="n">
        <v>0.827</v>
      </c>
      <c r="J2208" s="214" t="n"/>
      <c r="K2208" s="208" t="n"/>
      <c r="L2208" s="424" t="n"/>
      <c r="M2208" s="961" t="n"/>
      <c r="N2208" s="214" t="n"/>
    </row>
    <row r="2209" ht="12.75" customHeight="1">
      <c r="A2209" s="207" t="n"/>
      <c r="B2209" s="209" t="n"/>
      <c r="C2209" s="207" t="n"/>
      <c r="D2209" s="949" t="n"/>
      <c r="E2209" s="214" t="n"/>
      <c r="F2209" s="267" t="n">
        <v>450193</v>
      </c>
      <c r="G2209" s="263" t="inlineStr">
        <is>
          <t>Gripper a gancio per messaggio trasversale (90° verticale)</t>
        </is>
      </c>
      <c r="H2209" s="264" t="n">
        <v>100</v>
      </c>
      <c r="I2209" s="265" t="n">
        <v>0.103</v>
      </c>
      <c r="J2209" s="214" t="n"/>
      <c r="K2209" s="208" t="n"/>
      <c r="L2209" s="424" t="n"/>
      <c r="M2209" s="961" t="n"/>
      <c r="N2209" s="214" t="n"/>
    </row>
    <row r="2210" ht="12.75" customHeight="1">
      <c r="A2210" s="207" t="n"/>
      <c r="B2210" s="209" t="n"/>
      <c r="C2210" s="207" t="n"/>
      <c r="D2210" s="949" t="n"/>
      <c r="E2210" s="214" t="n"/>
      <c r="F2210" s="267" t="n">
        <v>450194</v>
      </c>
      <c r="G2210" s="263" t="inlineStr">
        <is>
          <t>Gripper a bandiera basculante per profilo scanner</t>
        </is>
      </c>
      <c r="H2210" s="264" t="n">
        <v>100</v>
      </c>
      <c r="I2210" s="265" t="n">
        <v>0.106</v>
      </c>
      <c r="J2210" s="214" t="n"/>
      <c r="K2210" s="208" t="n"/>
      <c r="L2210" s="424" t="n"/>
      <c r="M2210" s="961" t="n"/>
      <c r="N2210" s="214" t="n"/>
    </row>
    <row r="2211" ht="12.75" customHeight="1">
      <c r="A2211" s="207" t="n"/>
      <c r="B2211" s="209" t="n"/>
      <c r="C2211" s="207" t="n"/>
      <c r="D2211" s="949" t="n"/>
      <c r="E2211" s="214" t="n"/>
      <c r="F2211" s="267" t="n">
        <v>450196</v>
      </c>
      <c r="G2211" s="263" t="inlineStr">
        <is>
          <t>Gripper articolato per profilo scanner mm 76</t>
        </is>
      </c>
      <c r="H2211" s="264" t="n">
        <v>100</v>
      </c>
      <c r="I2211" s="265" t="n">
        <v>0.569</v>
      </c>
      <c r="J2211" s="214" t="n"/>
      <c r="K2211" s="208" t="n"/>
      <c r="L2211" s="424" t="n"/>
      <c r="M2211" s="961" t="n"/>
      <c r="N2211" s="214" t="n"/>
    </row>
    <row r="2212" ht="12.75" customHeight="1">
      <c r="A2212" s="207" t="n"/>
      <c r="B2212" s="209" t="n"/>
      <c r="C2212" s="207" t="n"/>
      <c r="D2212" s="949" t="n"/>
      <c r="E2212" s="214" t="n"/>
      <c r="F2212" s="267" t="n">
        <v>522022</v>
      </c>
      <c r="G2212" s="263" t="inlineStr">
        <is>
          <t>cesto per la spesa 22 l rosso</t>
        </is>
      </c>
      <c r="H2212" s="264" t="n">
        <v>100</v>
      </c>
      <c r="I2212" s="265" t="n">
        <v>7.35</v>
      </c>
      <c r="J2212" s="214" t="n"/>
      <c r="K2212" s="208" t="n"/>
      <c r="L2212" s="424" t="n"/>
      <c r="M2212" s="961" t="n"/>
      <c r="N2212" s="214" t="n"/>
    </row>
    <row r="2213" ht="12.75" customHeight="1">
      <c r="A2213" s="207" t="n"/>
      <c r="B2213" s="209" t="n"/>
      <c r="C2213" s="207" t="n"/>
      <c r="D2213" s="949" t="n"/>
      <c r="E2213" s="214" t="n"/>
      <c r="F2213" s="267" t="n">
        <v>522030</v>
      </c>
      <c r="G2213" s="263" t="inlineStr">
        <is>
          <t>Cesto per la spesa 28 l giallo</t>
        </is>
      </c>
      <c r="H2213" s="264" t="n">
        <v>100</v>
      </c>
      <c r="I2213" s="265" t="n">
        <v>10.95</v>
      </c>
      <c r="J2213" s="214" t="n"/>
      <c r="K2213" s="208" t="n"/>
      <c r="L2213" s="424" t="n"/>
      <c r="M2213" s="961" t="n"/>
      <c r="N2213" s="214" t="n"/>
    </row>
    <row r="2214" ht="12.75" customHeight="1">
      <c r="A2214" s="207" t="n"/>
      <c r="B2214" s="209" t="n"/>
      <c r="C2214" s="207" t="n"/>
      <c r="D2214" s="949" t="n"/>
      <c r="E2214" s="214" t="n"/>
      <c r="F2214" s="267" t="n">
        <v>550000</v>
      </c>
      <c r="G2214" s="263" t="inlineStr">
        <is>
          <t>Cornice in plastica apertura lato corto colore bianco formato A6</t>
        </is>
      </c>
      <c r="H2214" s="264" t="n">
        <v>100</v>
      </c>
      <c r="I2214" s="265" t="n">
        <v>0.6820000000000001</v>
      </c>
      <c r="J2214" s="214" t="n"/>
      <c r="K2214" s="208" t="n"/>
      <c r="L2214" s="424" t="n"/>
      <c r="M2214" s="961" t="n"/>
      <c r="N2214" s="214" t="n"/>
    </row>
    <row r="2215" ht="12.75" customHeight="1">
      <c r="A2215" s="207" t="n"/>
      <c r="B2215" s="209" t="n"/>
      <c r="C2215" s="207" t="n"/>
      <c r="D2215" s="949" t="n"/>
      <c r="E2215" s="214" t="n"/>
      <c r="F2215" s="267" t="n">
        <v>550001</v>
      </c>
      <c r="G2215" s="263" t="inlineStr">
        <is>
          <t>Cornice in plastica apertura lato corto colore giallo formato A6</t>
        </is>
      </c>
      <c r="H2215" s="264" t="n">
        <v>100</v>
      </c>
      <c r="I2215" s="265" t="n">
        <v>0.6820000000000001</v>
      </c>
      <c r="J2215" s="214" t="n"/>
      <c r="K2215" s="208" t="n"/>
      <c r="L2215" s="424" t="n"/>
      <c r="M2215" s="961" t="n"/>
      <c r="N2215" s="214" t="n"/>
    </row>
    <row r="2216" ht="12.75" customHeight="1">
      <c r="A2216" s="207" t="n"/>
      <c r="B2216" s="209" t="n"/>
      <c r="C2216" s="207" t="n"/>
      <c r="D2216" s="949" t="n"/>
      <c r="E2216" s="214" t="n"/>
      <c r="F2216" s="267" t="n">
        <v>550002</v>
      </c>
      <c r="G2216" s="263" t="inlineStr">
        <is>
          <t>Cornice in plastica apertura lato corto colore rosso formato A6</t>
        </is>
      </c>
      <c r="H2216" s="264" t="n">
        <v>100</v>
      </c>
      <c r="I2216" s="265" t="n">
        <v>0.6820000000000001</v>
      </c>
      <c r="J2216" s="214" t="n"/>
      <c r="K2216" s="208" t="n"/>
      <c r="L2216" s="424" t="n"/>
      <c r="M2216" s="961" t="n"/>
      <c r="N2216" s="214" t="n"/>
    </row>
    <row r="2217" ht="12.75" customHeight="1">
      <c r="A2217" s="207" t="n"/>
      <c r="B2217" s="209" t="n"/>
      <c r="C2217" s="207" t="n"/>
      <c r="D2217" s="949" t="n"/>
      <c r="E2217" s="214" t="n"/>
      <c r="F2217" s="267" t="n">
        <v>550003</v>
      </c>
      <c r="G2217" s="263" t="inlineStr">
        <is>
          <t>Cornice in plastica apertura lato corto colore verde formato A6</t>
        </is>
      </c>
      <c r="H2217" s="264" t="n">
        <v>100</v>
      </c>
      <c r="I2217" s="265" t="n">
        <v>0.6820000000000001</v>
      </c>
      <c r="J2217" s="214" t="n"/>
      <c r="K2217" s="208" t="n"/>
      <c r="L2217" s="424" t="n"/>
      <c r="M2217" s="961" t="n"/>
      <c r="N2217" s="214" t="n"/>
    </row>
    <row r="2218" ht="12.75" customHeight="1">
      <c r="A2218" s="207" t="n"/>
      <c r="B2218" s="209" t="n"/>
      <c r="C2218" s="207" t="n"/>
      <c r="D2218" s="949" t="n"/>
      <c r="E2218" s="214" t="n"/>
      <c r="F2218" s="267" t="n">
        <v>550005</v>
      </c>
      <c r="G2218" s="263" t="inlineStr">
        <is>
          <t>Cornice in plastica apertura lato corto colore grigio formato A6</t>
        </is>
      </c>
      <c r="H2218" s="264" t="n">
        <v>100</v>
      </c>
      <c r="I2218" s="265" t="n">
        <v>0.6820000000000001</v>
      </c>
      <c r="J2218" s="214" t="n"/>
      <c r="K2218" s="208" t="n"/>
      <c r="L2218" s="424" t="n"/>
      <c r="M2218" s="961" t="n"/>
      <c r="N2218" s="214" t="n"/>
    </row>
    <row r="2219" ht="12.75" customHeight="1">
      <c r="A2219" s="207" t="n"/>
      <c r="B2219" s="209" t="n"/>
      <c r="C2219" s="207" t="n"/>
      <c r="D2219" s="949" t="n"/>
      <c r="E2219" s="214" t="n"/>
      <c r="F2219" s="267" t="n">
        <v>550008</v>
      </c>
      <c r="G2219" s="263" t="inlineStr">
        <is>
          <t>Cornice in plastica apertura lato corto colore nero formato A6</t>
        </is>
      </c>
      <c r="H2219" s="264" t="n">
        <v>100</v>
      </c>
      <c r="I2219" s="265" t="n">
        <v>0.6820000000000001</v>
      </c>
      <c r="J2219" s="214" t="n"/>
      <c r="K2219" s="208" t="n"/>
      <c r="L2219" s="424" t="n"/>
      <c r="M2219" s="961" t="n"/>
      <c r="N2219" s="214" t="n"/>
    </row>
    <row r="2220" ht="12.75" customHeight="1">
      <c r="A2220" s="207" t="n"/>
      <c r="B2220" s="209" t="n"/>
      <c r="C2220" s="207" t="n"/>
      <c r="D2220" s="949" t="n"/>
      <c r="E2220" s="214" t="n"/>
      <c r="F2220" s="267" t="n">
        <v>550009</v>
      </c>
      <c r="G2220" s="263" t="inlineStr">
        <is>
          <t>Cornice in plastica apertura lato corto colore arancione formato A6</t>
        </is>
      </c>
      <c r="H2220" s="264" t="n">
        <v>100</v>
      </c>
      <c r="I2220" s="265" t="n">
        <v>0.6820000000000001</v>
      </c>
      <c r="J2220" s="214" t="n"/>
      <c r="K2220" s="208" t="n"/>
      <c r="L2220" s="424" t="n"/>
      <c r="M2220" s="961" t="n"/>
      <c r="N2220" s="214" t="n"/>
    </row>
    <row r="2221" ht="12.75" customHeight="1">
      <c r="A2221" s="207" t="n"/>
      <c r="B2221" s="209" t="n"/>
      <c r="C2221" s="207" t="n"/>
      <c r="D2221" s="949" t="n"/>
      <c r="E2221" s="214" t="n"/>
      <c r="F2221" s="267" t="n">
        <v>550012</v>
      </c>
      <c r="G2221" s="263" t="inlineStr">
        <is>
          <t>Cornice in plastica apertura lato corto colore trasparente formato A6</t>
        </is>
      </c>
      <c r="H2221" s="264" t="n">
        <v>100</v>
      </c>
      <c r="I2221" s="265" t="n">
        <v>0.985</v>
      </c>
      <c r="J2221" s="214" t="n"/>
      <c r="K2221" s="208" t="n"/>
      <c r="L2221" s="424" t="n"/>
      <c r="M2221" s="961" t="n"/>
      <c r="N2221" s="214" t="n"/>
    </row>
    <row r="2222" ht="12.75" customHeight="1">
      <c r="A2222" s="207" t="n"/>
      <c r="B2222" s="209" t="n"/>
      <c r="C2222" s="207" t="n"/>
      <c r="D2222" s="949" t="n"/>
      <c r="E2222" s="214" t="n"/>
      <c r="F2222" s="267" t="n">
        <v>550013</v>
      </c>
      <c r="G2222" s="263" t="inlineStr">
        <is>
          <t>Cornice in plastica apertura lato corto colore blu formato A6</t>
        </is>
      </c>
      <c r="H2222" s="264" t="n">
        <v>100</v>
      </c>
      <c r="I2222" s="265" t="n">
        <v>0.985</v>
      </c>
      <c r="J2222" s="214" t="n"/>
      <c r="K2222" s="208" t="n"/>
      <c r="L2222" s="424" t="n"/>
      <c r="M2222" s="961" t="n"/>
      <c r="N2222" s="214" t="n"/>
    </row>
    <row r="2223" ht="12.75" customHeight="1">
      <c r="A2223" s="207" t="n"/>
      <c r="B2223" s="209" t="n"/>
      <c r="C2223" s="207" t="n"/>
      <c r="D2223" s="949" t="n"/>
      <c r="E2223" s="214" t="n"/>
      <c r="F2223" s="267" t="n">
        <v>550400</v>
      </c>
      <c r="G2223" s="263" t="inlineStr">
        <is>
          <t>Cornice in plastica apertura lato corto colore bianco formato A5</t>
        </is>
      </c>
      <c r="H2223" s="264" t="n">
        <v>100</v>
      </c>
      <c r="I2223" s="265" t="n">
        <v>1.109</v>
      </c>
      <c r="J2223" s="214" t="n"/>
      <c r="K2223" s="208" t="n"/>
      <c r="L2223" s="424" t="n"/>
      <c r="M2223" s="961" t="n"/>
      <c r="N2223" s="214" t="n"/>
    </row>
    <row r="2224" ht="12.75" customHeight="1">
      <c r="A2224" s="207" t="n"/>
      <c r="B2224" s="209" t="n"/>
      <c r="C2224" s="207" t="n"/>
      <c r="D2224" s="949" t="n"/>
      <c r="E2224" s="214" t="n"/>
      <c r="F2224" s="267" t="n">
        <v>550401</v>
      </c>
      <c r="G2224" s="263" t="inlineStr">
        <is>
          <t>Cornice in plastica apertura lato corto colore giallo formato A5</t>
        </is>
      </c>
      <c r="H2224" s="264" t="n">
        <v>100</v>
      </c>
      <c r="I2224" s="265" t="n">
        <v>1.601</v>
      </c>
      <c r="J2224" s="214" t="n"/>
      <c r="K2224" s="208" t="n"/>
      <c r="L2224" s="424" t="n"/>
      <c r="M2224" s="961" t="n"/>
      <c r="N2224" s="214" t="n"/>
    </row>
    <row r="2225" ht="12.75" customHeight="1">
      <c r="A2225" s="207" t="n"/>
      <c r="B2225" s="209" t="n"/>
      <c r="C2225" s="207" t="n"/>
      <c r="D2225" s="949" t="n"/>
      <c r="E2225" s="214" t="n"/>
      <c r="F2225" s="267" t="n">
        <v>550402</v>
      </c>
      <c r="G2225" s="263" t="inlineStr">
        <is>
          <t>Cornice in plastica apertura lato corto colore rosso formato A5</t>
        </is>
      </c>
      <c r="H2225" s="264" t="n">
        <v>100</v>
      </c>
      <c r="I2225" s="265" t="n">
        <v>1.601</v>
      </c>
      <c r="J2225" s="214" t="n"/>
      <c r="K2225" s="208" t="n"/>
      <c r="L2225" s="424" t="n"/>
      <c r="M2225" s="961" t="n"/>
      <c r="N2225" s="214" t="n"/>
    </row>
    <row r="2226" ht="12.75" customHeight="1">
      <c r="A2226" s="207" t="n"/>
      <c r="B2226" s="209" t="n"/>
      <c r="C2226" s="207" t="n"/>
      <c r="D2226" s="949" t="n"/>
      <c r="E2226" s="214" t="n"/>
      <c r="F2226" s="267" t="n">
        <v>550403</v>
      </c>
      <c r="G2226" s="263" t="inlineStr">
        <is>
          <t>Cornice in plastica apertura lato corto colore verde formato A5</t>
        </is>
      </c>
      <c r="H2226" s="264" t="n">
        <v>100</v>
      </c>
      <c r="I2226" s="265" t="n">
        <v>1.601</v>
      </c>
      <c r="J2226" s="214" t="n"/>
      <c r="K2226" s="208" t="n"/>
      <c r="L2226" s="424" t="n"/>
      <c r="M2226" s="961" t="n"/>
      <c r="N2226" s="214" t="n"/>
    </row>
    <row r="2227" ht="12.75" customHeight="1">
      <c r="A2227" s="207" t="n"/>
      <c r="B2227" s="209" t="n"/>
      <c r="C2227" s="207" t="n"/>
      <c r="D2227" s="949" t="n"/>
      <c r="E2227" s="214" t="n"/>
      <c r="F2227" s="267" t="n">
        <v>550405</v>
      </c>
      <c r="G2227" s="263" t="inlineStr">
        <is>
          <t>Cornice in plastica apertura lato corto colore grigio formato A5</t>
        </is>
      </c>
      <c r="H2227" s="264" t="n">
        <v>100</v>
      </c>
      <c r="I2227" s="265" t="n">
        <v>1.601</v>
      </c>
      <c r="J2227" s="214" t="n"/>
      <c r="K2227" s="208" t="n"/>
      <c r="L2227" s="424" t="n"/>
      <c r="M2227" s="961" t="n"/>
      <c r="N2227" s="214" t="n"/>
    </row>
    <row r="2228" ht="12.75" customHeight="1">
      <c r="A2228" s="207" t="n"/>
      <c r="B2228" s="209" t="n"/>
      <c r="C2228" s="207" t="n"/>
      <c r="D2228" s="949" t="n"/>
      <c r="E2228" s="214" t="n"/>
      <c r="F2228" s="267" t="n">
        <v>550408</v>
      </c>
      <c r="G2228" s="263" t="inlineStr">
        <is>
          <t>Cornice in plastica apertura lato corto colore nero formato A5</t>
        </is>
      </c>
      <c r="H2228" s="264" t="n">
        <v>100</v>
      </c>
      <c r="I2228" s="265" t="n">
        <v>1.109</v>
      </c>
      <c r="J2228" s="214" t="n"/>
      <c r="K2228" s="208" t="n"/>
      <c r="L2228" s="424" t="n"/>
      <c r="M2228" s="961" t="n"/>
      <c r="N2228" s="214" t="n"/>
    </row>
    <row r="2229" ht="12.75" customHeight="1">
      <c r="A2229" s="207" t="n"/>
      <c r="B2229" s="209" t="n"/>
      <c r="C2229" s="207" t="n"/>
      <c r="D2229" s="949" t="n"/>
      <c r="E2229" s="214" t="n"/>
      <c r="F2229" s="267" t="n">
        <v>550409</v>
      </c>
      <c r="G2229" s="263" t="inlineStr">
        <is>
          <t>Cornice in plastica apertura lato corto colore arancione formato A5</t>
        </is>
      </c>
      <c r="H2229" s="264" t="n">
        <v>100</v>
      </c>
      <c r="I2229" s="265" t="n">
        <v>1.109</v>
      </c>
      <c r="J2229" s="214" t="n"/>
      <c r="K2229" s="208" t="n"/>
      <c r="L2229" s="424" t="n"/>
      <c r="M2229" s="961" t="n"/>
      <c r="N2229" s="214" t="n"/>
    </row>
    <row r="2230" ht="12.75" customHeight="1">
      <c r="A2230" s="207" t="n"/>
      <c r="B2230" s="209" t="n"/>
      <c r="C2230" s="207" t="n"/>
      <c r="D2230" s="949" t="n"/>
      <c r="E2230" s="214" t="n"/>
      <c r="F2230" s="267" t="n">
        <v>550412</v>
      </c>
      <c r="G2230" s="263" t="inlineStr">
        <is>
          <t>Cornice in plastica apertura lato corto colore trasparente formato A5</t>
        </is>
      </c>
      <c r="H2230" s="264" t="n">
        <v>100</v>
      </c>
      <c r="I2230" s="265" t="n">
        <v>1.601</v>
      </c>
      <c r="J2230" s="214" t="n"/>
      <c r="K2230" s="208" t="n"/>
      <c r="L2230" s="424" t="n"/>
      <c r="M2230" s="961" t="n"/>
      <c r="N2230" s="214" t="n"/>
    </row>
    <row r="2231" ht="12.75" customHeight="1">
      <c r="A2231" s="207" t="n"/>
      <c r="B2231" s="209" t="n"/>
      <c r="C2231" s="207" t="n"/>
      <c r="D2231" s="949" t="n"/>
      <c r="E2231" s="214" t="n"/>
      <c r="F2231" s="267" t="n">
        <v>550413</v>
      </c>
      <c r="G2231" s="263" t="inlineStr">
        <is>
          <t>Cornice in plastica apertura lato corto colore blu formato A5</t>
        </is>
      </c>
      <c r="H2231" s="264" t="n">
        <v>100</v>
      </c>
      <c r="I2231" s="265" t="n">
        <v>1.701</v>
      </c>
      <c r="J2231" s="214" t="n"/>
      <c r="K2231" s="208" t="n"/>
      <c r="L2231" s="424" t="n"/>
      <c r="M2231" s="961" t="n"/>
      <c r="N2231" s="214" t="n"/>
    </row>
    <row r="2232" ht="12.75" customHeight="1">
      <c r="A2232" s="207" t="n"/>
      <c r="B2232" s="209" t="n"/>
      <c r="C2232" s="207" t="n"/>
      <c r="D2232" s="949" t="n"/>
      <c r="E2232" s="214" t="n"/>
      <c r="F2232" s="267" t="n">
        <v>550800</v>
      </c>
      <c r="G2232" s="263" t="inlineStr">
        <is>
          <t>Cornice in plastica apertura lato corto colore bianco formato A4</t>
        </is>
      </c>
      <c r="H2232" s="264" t="n">
        <v>100</v>
      </c>
      <c r="I2232" s="265" t="n">
        <v>1.766</v>
      </c>
      <c r="J2232" s="214" t="n"/>
      <c r="K2232" s="208" t="n"/>
      <c r="L2232" s="424" t="n"/>
      <c r="M2232" s="961" t="n"/>
      <c r="N2232" s="214" t="n"/>
    </row>
    <row r="2233" ht="12.75" customHeight="1">
      <c r="A2233" s="207" t="n"/>
      <c r="B2233" s="209" t="n"/>
      <c r="C2233" s="207" t="n"/>
      <c r="D2233" s="949" t="n"/>
      <c r="E2233" s="214" t="n"/>
      <c r="F2233" s="267" t="n">
        <v>550801</v>
      </c>
      <c r="G2233" s="263" t="inlineStr">
        <is>
          <t>Cornice in plastica apertura lato corto colore giallo formato A4</t>
        </is>
      </c>
      <c r="H2233" s="264" t="n">
        <v>100</v>
      </c>
      <c r="I2233" s="265" t="n">
        <v>1.766</v>
      </c>
      <c r="J2233" s="214" t="n"/>
      <c r="K2233" s="208" t="n"/>
      <c r="L2233" s="424" t="n"/>
      <c r="M2233" s="961" t="n"/>
      <c r="N2233" s="214" t="n"/>
    </row>
    <row r="2234" ht="12.75" customHeight="1">
      <c r="A2234" s="207" t="n"/>
      <c r="B2234" s="209" t="n"/>
      <c r="C2234" s="207" t="n"/>
      <c r="D2234" s="949" t="n"/>
      <c r="E2234" s="214" t="n"/>
      <c r="F2234" s="267" t="n">
        <v>550802</v>
      </c>
      <c r="G2234" s="263" t="inlineStr">
        <is>
          <t>Cornice in plastica apertura lato corto colore rosso formato A4</t>
        </is>
      </c>
      <c r="H2234" s="264" t="n">
        <v>100</v>
      </c>
      <c r="I2234" s="265" t="n">
        <v>1.766</v>
      </c>
      <c r="J2234" s="214" t="n"/>
      <c r="K2234" s="208" t="n"/>
      <c r="L2234" s="424" t="n"/>
      <c r="M2234" s="961" t="n"/>
      <c r="N2234" s="214" t="n"/>
    </row>
    <row r="2235" ht="12.75" customHeight="1">
      <c r="A2235" s="207" t="n"/>
      <c r="B2235" s="209" t="n"/>
      <c r="C2235" s="207" t="n"/>
      <c r="D2235" s="949" t="n"/>
      <c r="E2235" s="214" t="n"/>
      <c r="F2235" s="267" t="n">
        <v>550803</v>
      </c>
      <c r="G2235" s="263" t="inlineStr">
        <is>
          <t>Cornice in plastica apertura lato corto colore verde formato A4</t>
        </is>
      </c>
      <c r="H2235" s="264" t="n">
        <v>100</v>
      </c>
      <c r="I2235" s="265" t="n">
        <v>1.766</v>
      </c>
      <c r="J2235" s="214" t="n"/>
      <c r="K2235" s="208" t="n"/>
      <c r="L2235" s="424" t="n"/>
      <c r="M2235" s="961" t="n"/>
      <c r="N2235" s="214" t="n"/>
    </row>
    <row r="2236" ht="12.75" customHeight="1">
      <c r="A2236" s="207" t="n"/>
      <c r="B2236" s="209" t="n"/>
      <c r="C2236" s="207" t="n"/>
      <c r="D2236" s="949" t="n"/>
      <c r="E2236" s="214" t="n"/>
      <c r="F2236" s="267" t="n">
        <v>550805</v>
      </c>
      <c r="G2236" s="263" t="inlineStr">
        <is>
          <t>Cornice in plastica apertura lato corto colore grigio formato A4</t>
        </is>
      </c>
      <c r="H2236" s="264" t="n">
        <v>100</v>
      </c>
      <c r="I2236" s="265" t="n">
        <v>1.766</v>
      </c>
      <c r="J2236" s="214" t="n"/>
      <c r="K2236" s="208" t="n"/>
      <c r="L2236" s="424" t="n"/>
      <c r="M2236" s="961" t="n"/>
      <c r="N2236" s="214" t="n"/>
    </row>
    <row r="2237" ht="12.75" customHeight="1">
      <c r="A2237" s="207" t="n"/>
      <c r="B2237" s="209" t="n"/>
      <c r="C2237" s="207" t="n"/>
      <c r="D2237" s="949" t="n"/>
      <c r="E2237" s="214" t="n"/>
      <c r="F2237" s="267" t="n">
        <v>550808</v>
      </c>
      <c r="G2237" s="263" t="inlineStr">
        <is>
          <t>Cornice in plastica apertura lato corto colore nero formato A4</t>
        </is>
      </c>
      <c r="H2237" s="264" t="n">
        <v>100</v>
      </c>
      <c r="I2237" s="265" t="n">
        <v>1.222</v>
      </c>
      <c r="J2237" s="214" t="n"/>
      <c r="K2237" s="208" t="n"/>
      <c r="L2237" s="424" t="n"/>
      <c r="M2237" s="961" t="n"/>
      <c r="N2237" s="214" t="n"/>
    </row>
    <row r="2238" ht="12.75" customHeight="1">
      <c r="A2238" s="207" t="n"/>
      <c r="B2238" s="209" t="n"/>
      <c r="C2238" s="207" t="n"/>
      <c r="D2238" s="949" t="n"/>
      <c r="E2238" s="214" t="n"/>
      <c r="F2238" s="267" t="n">
        <v>550809</v>
      </c>
      <c r="G2238" s="263" t="inlineStr">
        <is>
          <t>Cornice in plastica apertura lato corto colore arancione formato A4</t>
        </is>
      </c>
      <c r="H2238" s="264" t="n">
        <v>100</v>
      </c>
      <c r="I2238" s="265" t="n">
        <v>1.222</v>
      </c>
      <c r="J2238" s="214" t="n"/>
      <c r="K2238" s="208" t="n"/>
      <c r="L2238" s="424" t="n"/>
      <c r="M2238" s="961" t="n"/>
      <c r="N2238" s="214" t="n"/>
    </row>
    <row r="2239">
      <c r="A2239" s="207" t="n"/>
      <c r="B2239" s="209" t="n"/>
      <c r="C2239" s="207" t="n"/>
      <c r="D2239" s="949" t="n"/>
      <c r="E2239" s="214" t="n"/>
      <c r="F2239" s="267" t="n">
        <v>550812</v>
      </c>
      <c r="G2239" s="263" t="inlineStr">
        <is>
          <t>Cornice in plastica apertura lato corto colore trasparente formato A4</t>
        </is>
      </c>
      <c r="H2239" s="264" t="n">
        <v>100</v>
      </c>
      <c r="I2239" s="265" t="n">
        <v>1.766</v>
      </c>
      <c r="J2239" s="214" t="n"/>
      <c r="K2239" s="208" t="n"/>
      <c r="L2239" s="424" t="n"/>
      <c r="M2239" s="961" t="n"/>
      <c r="N2239" s="214" t="n"/>
    </row>
    <row r="2240" ht="12.75" customHeight="1">
      <c r="A2240" s="207" t="n"/>
      <c r="B2240" s="209" t="n"/>
      <c r="C2240" s="207" t="n"/>
      <c r="D2240" s="949" t="n"/>
      <c r="E2240" s="214" t="n"/>
      <c r="F2240" s="267" t="n">
        <v>550813</v>
      </c>
      <c r="G2240" s="263" t="inlineStr">
        <is>
          <t>Cornice in plastica apertura lato corto colore blu formato A4</t>
        </is>
      </c>
      <c r="H2240" s="264" t="n">
        <v>100</v>
      </c>
      <c r="I2240" s="265" t="n">
        <v>1.766</v>
      </c>
      <c r="J2240" s="214" t="n"/>
      <c r="K2240" s="208" t="n"/>
      <c r="L2240" s="424" t="n"/>
      <c r="M2240" s="961" t="n"/>
      <c r="N2240" s="214" t="n"/>
    </row>
    <row r="2241" ht="12.75" customHeight="1">
      <c r="A2241" s="207" t="n"/>
      <c r="B2241" s="209" t="n"/>
      <c r="C2241" s="207" t="n"/>
      <c r="D2241" s="949" t="n"/>
      <c r="E2241" s="214" t="n"/>
      <c r="F2241" s="267" t="n">
        <v>551200</v>
      </c>
      <c r="G2241" s="263" t="inlineStr">
        <is>
          <t>Cornice in plastica apertura lato corto colore bianco formato A3</t>
        </is>
      </c>
      <c r="H2241" s="264" t="n">
        <v>100</v>
      </c>
      <c r="I2241" s="265" t="n">
        <v>3.244</v>
      </c>
      <c r="J2241" s="214" t="n"/>
      <c r="K2241" s="208" t="n"/>
      <c r="L2241" s="424" t="n"/>
      <c r="M2241" s="961" t="n"/>
      <c r="N2241" s="214" t="n"/>
    </row>
    <row r="2242" ht="12.75" customHeight="1">
      <c r="A2242" s="207" t="n"/>
      <c r="B2242" s="209" t="n"/>
      <c r="C2242" s="207" t="n"/>
      <c r="D2242" s="949" t="n"/>
      <c r="E2242" s="214" t="n"/>
      <c r="F2242" s="267" t="n">
        <v>551201</v>
      </c>
      <c r="G2242" s="263" t="inlineStr">
        <is>
          <t>Cornice in plastica apertura lato corto colore giallo formato A3</t>
        </is>
      </c>
      <c r="H2242" s="264" t="n">
        <v>100</v>
      </c>
      <c r="I2242" s="265" t="n">
        <v>3.244</v>
      </c>
      <c r="J2242" s="214" t="n"/>
      <c r="K2242" s="208" t="n"/>
      <c r="L2242" s="424" t="n"/>
      <c r="M2242" s="961" t="n"/>
      <c r="N2242" s="214" t="n"/>
    </row>
    <row r="2243" ht="12.75" customHeight="1">
      <c r="A2243" s="207" t="n"/>
      <c r="B2243" s="209" t="n"/>
      <c r="C2243" s="207" t="n"/>
      <c r="D2243" s="949" t="n"/>
      <c r="E2243" s="214" t="n"/>
      <c r="F2243" s="267" t="n">
        <v>551202</v>
      </c>
      <c r="G2243" s="263" t="inlineStr">
        <is>
          <t>Cornice in plastica apertura lato corto colore rosso formato A3</t>
        </is>
      </c>
      <c r="H2243" s="264" t="n">
        <v>100</v>
      </c>
      <c r="I2243" s="265" t="n">
        <v>3.244</v>
      </c>
      <c r="J2243" s="214" t="n"/>
      <c r="K2243" s="208" t="n"/>
      <c r="L2243" s="424" t="n"/>
      <c r="M2243" s="961" t="n"/>
      <c r="N2243" s="214" t="n"/>
    </row>
    <row r="2244" ht="12.75" customHeight="1">
      <c r="A2244" s="207" t="n"/>
      <c r="B2244" s="209" t="n"/>
      <c r="C2244" s="207" t="n"/>
      <c r="D2244" s="949" t="n"/>
      <c r="E2244" s="214" t="n"/>
      <c r="F2244" s="267" t="n">
        <v>551203</v>
      </c>
      <c r="G2244" s="263" t="inlineStr">
        <is>
          <t>Cornice in plastica apertura lato corto colore verde formato A3</t>
        </is>
      </c>
      <c r="H2244" s="264" t="n">
        <v>100</v>
      </c>
      <c r="I2244" s="265" t="n">
        <v>3.244</v>
      </c>
      <c r="J2244" s="214" t="n"/>
      <c r="K2244" s="208" t="n"/>
      <c r="L2244" s="424" t="n"/>
      <c r="M2244" s="961" t="n"/>
      <c r="N2244" s="214" t="n"/>
    </row>
    <row r="2245" ht="12.75" customHeight="1">
      <c r="A2245" s="207" t="n"/>
      <c r="B2245" s="209" t="n"/>
      <c r="C2245" s="207" t="n"/>
      <c r="D2245" s="949" t="n"/>
      <c r="E2245" s="214" t="n"/>
      <c r="F2245" s="267" t="n">
        <v>551205</v>
      </c>
      <c r="G2245" s="263" t="inlineStr">
        <is>
          <t>Cornice in plastica apertura lato corto colore grigio formato A3</t>
        </is>
      </c>
      <c r="H2245" s="264" t="n">
        <v>100</v>
      </c>
      <c r="I2245" s="265" t="n">
        <v>3.244</v>
      </c>
      <c r="J2245" s="214" t="n"/>
      <c r="K2245" s="208" t="n"/>
      <c r="L2245" s="424" t="n"/>
      <c r="M2245" s="961" t="n"/>
      <c r="N2245" s="214" t="n"/>
    </row>
    <row r="2246" ht="12.75" customHeight="1">
      <c r="A2246" s="207" t="n"/>
      <c r="B2246" s="209" t="n"/>
      <c r="C2246" s="207" t="n"/>
      <c r="D2246" s="949" t="n"/>
      <c r="E2246" s="214" t="n"/>
      <c r="F2246" s="267" t="n">
        <v>551208</v>
      </c>
      <c r="G2246" s="263" t="inlineStr">
        <is>
          <t>Cornice in plastica apertura lato corto colore nero formato A3</t>
        </is>
      </c>
      <c r="H2246" s="264" t="n">
        <v>100</v>
      </c>
      <c r="I2246" s="265" t="n">
        <v>2.246</v>
      </c>
      <c r="J2246" s="214" t="n"/>
      <c r="K2246" s="208" t="n"/>
      <c r="L2246" s="424" t="n"/>
      <c r="M2246" s="961" t="n"/>
      <c r="N2246" s="214" t="n"/>
    </row>
    <row r="2247" ht="12.75" customHeight="1">
      <c r="A2247" s="207" t="n"/>
      <c r="B2247" s="209" t="n"/>
      <c r="C2247" s="207" t="n"/>
      <c r="D2247" s="949" t="n"/>
      <c r="E2247" s="214" t="n"/>
      <c r="F2247" s="267" t="n">
        <v>551209</v>
      </c>
      <c r="G2247" s="263" t="inlineStr">
        <is>
          <t>Cornice in plastica apertura lato corto colore arancio formato A3</t>
        </is>
      </c>
      <c r="H2247" s="264" t="n">
        <v>100</v>
      </c>
      <c r="I2247" s="265" t="n">
        <v>2.246</v>
      </c>
      <c r="J2247" s="214" t="n"/>
      <c r="K2247" s="208" t="n"/>
      <c r="L2247" s="424" t="n"/>
      <c r="M2247" s="961" t="n"/>
      <c r="N2247" s="214" t="n"/>
    </row>
    <row r="2248" ht="12.75" customHeight="1">
      <c r="A2248" s="207" t="n"/>
      <c r="B2248" s="209" t="n"/>
      <c r="C2248" s="207" t="n"/>
      <c r="D2248" s="949" t="n"/>
      <c r="E2248" s="214" t="n"/>
      <c r="F2248" s="267" t="n">
        <v>551212</v>
      </c>
      <c r="G2248" s="263" t="inlineStr">
        <is>
          <t>Cornice in plastica apertura lato corto colore trasparente formato A3</t>
        </is>
      </c>
      <c r="H2248" s="264" t="n">
        <v>10</v>
      </c>
      <c r="I2248" s="265" t="n">
        <v>3.244</v>
      </c>
      <c r="J2248" s="214" t="n"/>
      <c r="K2248" s="208" t="n"/>
      <c r="L2248" s="424" t="n"/>
      <c r="M2248" s="961" t="n"/>
      <c r="N2248" s="214" t="n"/>
    </row>
    <row r="2249" ht="12.75" customHeight="1">
      <c r="A2249" s="207" t="n"/>
      <c r="B2249" s="209" t="n"/>
      <c r="C2249" s="207" t="n"/>
      <c r="D2249" s="949" t="n"/>
      <c r="E2249" s="214" t="n"/>
      <c r="F2249" s="267" t="n">
        <v>551213</v>
      </c>
      <c r="G2249" s="263" t="inlineStr">
        <is>
          <t>Cornice in plastica apertura lato corto colore blu formato A3</t>
        </is>
      </c>
      <c r="H2249" s="264" t="n">
        <v>10</v>
      </c>
      <c r="I2249" s="265" t="n">
        <v>3.244</v>
      </c>
      <c r="J2249" s="214" t="n"/>
      <c r="K2249" s="208" t="n"/>
      <c r="L2249" s="424" t="n"/>
      <c r="M2249" s="961" t="n"/>
      <c r="N2249" s="214" t="n"/>
    </row>
    <row r="2250" ht="12.75" customHeight="1">
      <c r="A2250" s="207" t="n"/>
      <c r="B2250" s="209" t="n"/>
      <c r="C2250" s="207" t="n"/>
      <c r="D2250" s="949" t="n"/>
      <c r="E2250" s="214" t="n"/>
      <c r="F2250" s="267" t="n">
        <v>552000</v>
      </c>
      <c r="G2250" s="263" t="inlineStr">
        <is>
          <t>Cornice per carrello spesa trasparente</t>
        </is>
      </c>
      <c r="H2250" s="264" t="n">
        <v>10</v>
      </c>
      <c r="I2250" s="265" t="n">
        <v>6.15</v>
      </c>
      <c r="J2250" s="214" t="n"/>
      <c r="K2250" s="208" t="n"/>
      <c r="L2250" s="424" t="n"/>
      <c r="M2250" s="961" t="n"/>
      <c r="N2250" s="214" t="n"/>
    </row>
    <row r="2251" ht="12.75" customHeight="1">
      <c r="A2251" s="207" t="n"/>
      <c r="B2251" s="209" t="n"/>
      <c r="C2251" s="207" t="n"/>
      <c r="D2251" s="949" t="n"/>
      <c r="E2251" s="214" t="n"/>
      <c r="F2251" s="267" t="n">
        <v>552001</v>
      </c>
      <c r="G2251" s="263" t="inlineStr">
        <is>
          <t>Cornice per carrello spesa grigia</t>
        </is>
      </c>
      <c r="H2251" s="264" t="n">
        <v>10</v>
      </c>
      <c r="I2251" s="265" t="n">
        <v>6.15</v>
      </c>
      <c r="J2251" s="214" t="n"/>
      <c r="K2251" s="208" t="n"/>
      <c r="L2251" s="424" t="n"/>
      <c r="M2251" s="961" t="n"/>
      <c r="N2251" s="214" t="n"/>
    </row>
    <row r="2252" ht="12.75" customHeight="1">
      <c r="A2252" s="207" t="n"/>
      <c r="B2252" s="209" t="n"/>
      <c r="C2252" s="207" t="n"/>
      <c r="D2252" s="949" t="n"/>
      <c r="E2252" s="214" t="n"/>
      <c r="F2252" s="267" t="n">
        <v>552002</v>
      </c>
      <c r="G2252" s="263" t="inlineStr">
        <is>
          <t>Cornice per carrello spesa bianca</t>
        </is>
      </c>
      <c r="H2252" s="264" t="n">
        <v>10</v>
      </c>
      <c r="I2252" s="265" t="n">
        <v>6.15</v>
      </c>
      <c r="J2252" s="214" t="n"/>
      <c r="K2252" s="208" t="n"/>
      <c r="L2252" s="424" t="n"/>
      <c r="M2252" s="961" t="n"/>
      <c r="N2252" s="214" t="n"/>
    </row>
    <row r="2253" ht="12.75" customHeight="1">
      <c r="A2253" s="207" t="n"/>
      <c r="B2253" s="209" t="n"/>
      <c r="C2253" s="207" t="n"/>
      <c r="D2253" s="949" t="n"/>
      <c r="E2253" s="214" t="n"/>
      <c r="F2253" s="267" t="n">
        <v>552003</v>
      </c>
      <c r="G2253" s="263" t="inlineStr">
        <is>
          <t>Cornice per carrello spesa nera</t>
        </is>
      </c>
      <c r="H2253" s="264" t="n">
        <v>10</v>
      </c>
      <c r="I2253" s="265" t="n">
        <v>6.15</v>
      </c>
      <c r="J2253" s="214" t="n"/>
      <c r="K2253" s="208" t="n"/>
      <c r="L2253" s="424" t="n"/>
      <c r="M2253" s="961" t="n"/>
      <c r="N2253" s="214" t="n"/>
    </row>
    <row r="2254">
      <c r="A2254" s="207" t="n"/>
      <c r="B2254" s="209" t="n"/>
      <c r="C2254" s="207" t="n"/>
      <c r="D2254" s="949" t="n"/>
      <c r="E2254" s="214" t="n"/>
      <c r="F2254" s="267" t="n">
        <v>552004</v>
      </c>
      <c r="G2254" s="263" t="inlineStr">
        <is>
          <t>Cornice per carrello spesa gialla</t>
        </is>
      </c>
      <c r="H2254" s="264" t="n">
        <v>10</v>
      </c>
      <c r="I2254" s="265" t="n">
        <v>6.15</v>
      </c>
      <c r="J2254" s="214" t="n"/>
      <c r="K2254" s="208" t="n"/>
      <c r="L2254" s="424" t="n"/>
      <c r="M2254" s="961" t="n"/>
      <c r="N2254" s="214" t="n"/>
    </row>
    <row r="2255">
      <c r="A2255" s="207" t="n"/>
      <c r="B2255" s="209" t="n"/>
      <c r="C2255" s="207" t="n"/>
      <c r="D2255" s="949" t="n"/>
      <c r="E2255" s="214" t="n"/>
      <c r="F2255" s="267" t="n">
        <v>552005</v>
      </c>
      <c r="G2255" s="263" t="inlineStr">
        <is>
          <t>Cornice per carrello spesa arancione</t>
        </is>
      </c>
      <c r="H2255" s="264" t="n">
        <v>10</v>
      </c>
      <c r="I2255" s="265" t="n">
        <v>6.15</v>
      </c>
      <c r="J2255" s="214" t="n"/>
      <c r="K2255" s="208" t="n"/>
      <c r="L2255" s="424" t="n"/>
      <c r="M2255" s="961" t="n"/>
      <c r="N2255" s="214" t="n"/>
    </row>
    <row r="2256">
      <c r="A2256" s="207" t="n"/>
      <c r="B2256" s="209" t="n"/>
      <c r="C2256" s="207" t="n"/>
      <c r="D2256" s="949" t="n"/>
      <c r="E2256" s="214" t="n"/>
      <c r="F2256" s="267" t="n">
        <v>552006</v>
      </c>
      <c r="G2256" s="263" t="inlineStr">
        <is>
          <t>Cornice per carrello spesa rossa</t>
        </is>
      </c>
      <c r="H2256" s="264" t="n">
        <v>10</v>
      </c>
      <c r="I2256" s="265" t="n">
        <v>6.15</v>
      </c>
      <c r="J2256" s="214" t="n"/>
      <c r="K2256" s="208" t="n"/>
      <c r="L2256" s="424" t="n"/>
      <c r="M2256" s="961" t="n"/>
      <c r="N2256" s="214" t="n"/>
    </row>
    <row r="2257" ht="12.75" customHeight="1">
      <c r="A2257" s="207" t="n"/>
      <c r="B2257" s="209" t="n"/>
      <c r="C2257" s="207" t="n"/>
      <c r="D2257" s="949" t="n"/>
      <c r="E2257" s="214" t="n"/>
      <c r="F2257" s="267" t="n">
        <v>552007</v>
      </c>
      <c r="G2257" s="263" t="inlineStr">
        <is>
          <t>Cornice per carrello spesa verde</t>
        </is>
      </c>
      <c r="H2257" s="264" t="n">
        <v>10</v>
      </c>
      <c r="I2257" s="265" t="n">
        <v>6.15</v>
      </c>
      <c r="J2257" s="214" t="n"/>
      <c r="K2257" s="208" t="n"/>
      <c r="L2257" s="424" t="n"/>
      <c r="M2257" s="961" t="n"/>
      <c r="N2257" s="214" t="n"/>
    </row>
    <row r="2258" ht="12.75" customHeight="1">
      <c r="A2258" s="207" t="n"/>
      <c r="B2258" s="209" t="n"/>
      <c r="C2258" s="207" t="n"/>
      <c r="D2258" s="949" t="n"/>
      <c r="E2258" s="214" t="n"/>
      <c r="F2258" s="267" t="n">
        <v>552008</v>
      </c>
      <c r="G2258" s="263" t="inlineStr">
        <is>
          <t>Cornice per carrello spesa blu oltremare</t>
        </is>
      </c>
      <c r="H2258" s="264" t="n">
        <v>10</v>
      </c>
      <c r="I2258" s="265" t="n">
        <v>6.15</v>
      </c>
      <c r="J2258" s="214" t="n"/>
      <c r="K2258" s="208" t="n"/>
      <c r="L2258" s="424" t="n"/>
      <c r="M2258" s="961" t="n"/>
      <c r="N2258" s="214" t="n"/>
    </row>
    <row r="2259" ht="12.75" customHeight="1">
      <c r="A2259" s="207" t="n"/>
      <c r="B2259" s="209" t="n"/>
      <c r="C2259" s="207" t="n"/>
      <c r="D2259" s="949" t="n"/>
      <c r="E2259" s="214" t="n"/>
      <c r="F2259" s="267" t="n">
        <v>552009</v>
      </c>
      <c r="G2259" s="263" t="inlineStr">
        <is>
          <t>Cornice per carrello spesa blu</t>
        </is>
      </c>
      <c r="H2259" s="264" t="n">
        <v>10</v>
      </c>
      <c r="I2259" s="265" t="n">
        <v>6.15</v>
      </c>
      <c r="J2259" s="214" t="n"/>
      <c r="K2259" s="208" t="n"/>
      <c r="L2259" s="424" t="n"/>
      <c r="M2259" s="961" t="n"/>
      <c r="N2259" s="214" t="n"/>
    </row>
    <row r="2260" ht="12.75" customHeight="1">
      <c r="A2260" s="207" t="n"/>
      <c r="B2260" s="209" t="n"/>
      <c r="C2260" s="207" t="n"/>
      <c r="D2260" s="949" t="n"/>
      <c r="E2260" s="214" t="n"/>
      <c r="F2260" s="267" t="n">
        <v>552020</v>
      </c>
      <c r="G2260" s="263" t="inlineStr">
        <is>
          <t>cesto per la spesa 22 l giallo</t>
        </is>
      </c>
      <c r="H2260" s="264" t="n">
        <v>10</v>
      </c>
      <c r="I2260" s="265" t="n">
        <v>7.35</v>
      </c>
      <c r="J2260" s="214" t="n"/>
      <c r="K2260" s="208" t="n"/>
      <c r="L2260" s="424" t="n"/>
      <c r="M2260" s="961" t="n"/>
      <c r="N2260" s="214" t="n"/>
    </row>
    <row r="2261" ht="12.75" customHeight="1">
      <c r="A2261" s="207" t="n"/>
      <c r="B2261" s="209" t="n"/>
      <c r="C2261" s="207" t="n"/>
      <c r="D2261" s="949" t="n"/>
      <c r="E2261" s="214" t="n"/>
      <c r="F2261" s="267" t="n">
        <v>552021</v>
      </c>
      <c r="G2261" s="263" t="inlineStr">
        <is>
          <t>cesto per la spesa 22 l verde</t>
        </is>
      </c>
      <c r="H2261" s="264" t="n">
        <v>10</v>
      </c>
      <c r="I2261" s="265" t="n">
        <v>7.35</v>
      </c>
      <c r="J2261" s="214" t="n"/>
      <c r="K2261" s="208" t="n"/>
      <c r="L2261" s="424" t="n"/>
      <c r="M2261" s="961" t="n"/>
      <c r="N2261" s="214" t="n"/>
    </row>
    <row r="2262">
      <c r="A2262" s="207" t="n"/>
      <c r="B2262" s="209" t="n"/>
      <c r="C2262" s="207" t="n"/>
      <c r="D2262" s="949" t="n"/>
      <c r="E2262" s="214" t="n"/>
      <c r="F2262" s="267" t="n">
        <v>552031</v>
      </c>
      <c r="G2262" s="263" t="inlineStr">
        <is>
          <t>Cesto per la spesa 28 l verde</t>
        </is>
      </c>
      <c r="H2262" s="264" t="n">
        <v>10</v>
      </c>
      <c r="I2262" s="265" t="n">
        <v>10.95</v>
      </c>
      <c r="J2262" s="214" t="n"/>
      <c r="K2262" s="208" t="n"/>
      <c r="L2262" s="424" t="n"/>
      <c r="M2262" s="961" t="n"/>
      <c r="N2262" s="214" t="n"/>
    </row>
    <row r="2263">
      <c r="A2263" s="207" t="n"/>
      <c r="B2263" s="209" t="n"/>
      <c r="C2263" s="207" t="n"/>
      <c r="D2263" s="949" t="n"/>
      <c r="E2263" s="214" t="n"/>
      <c r="F2263" s="267" t="n">
        <v>552032</v>
      </c>
      <c r="G2263" s="263" t="inlineStr">
        <is>
          <t>Cesto per la spesa 28 l rosso</t>
        </is>
      </c>
      <c r="H2263" s="264" t="n">
        <v>10</v>
      </c>
      <c r="I2263" s="265" t="n">
        <v>10.95</v>
      </c>
      <c r="J2263" s="214" t="n"/>
      <c r="K2263" s="208" t="n"/>
      <c r="L2263" s="424" t="n"/>
      <c r="M2263" s="961" t="n"/>
      <c r="N2263" s="214" t="n"/>
    </row>
    <row r="2264">
      <c r="A2264" s="207" t="n"/>
      <c r="B2264" s="209" t="n"/>
      <c r="C2264" s="207" t="n"/>
      <c r="D2264" s="949" t="n"/>
      <c r="E2264" s="214" t="n"/>
      <c r="F2264" s="267" t="n">
        <v>552040</v>
      </c>
      <c r="G2264" s="263" t="inlineStr">
        <is>
          <t>Barra cliente successivo tappi bianchi</t>
        </is>
      </c>
      <c r="H2264" s="264" t="n">
        <v>10</v>
      </c>
      <c r="I2264" s="265" t="n">
        <v>4.56</v>
      </c>
      <c r="J2264" s="214" t="n"/>
      <c r="K2264" s="209" t="n"/>
      <c r="L2264" s="425" t="n"/>
      <c r="M2264" s="961" t="n"/>
      <c r="N2264" s="214" t="n"/>
    </row>
    <row r="2265">
      <c r="A2265" s="207" t="n"/>
      <c r="B2265" s="209" t="n"/>
      <c r="C2265" s="207" t="n"/>
      <c r="D2265" s="949" t="n"/>
      <c r="E2265" s="214" t="n"/>
      <c r="F2265" s="267" t="n">
        <v>552041</v>
      </c>
      <c r="G2265" s="263" t="inlineStr">
        <is>
          <t>Barra cliente successivo tappi rossi</t>
        </is>
      </c>
      <c r="H2265" s="264" t="n">
        <v>10</v>
      </c>
      <c r="I2265" s="265" t="n">
        <v>4.56</v>
      </c>
      <c r="J2265" s="214" t="n"/>
      <c r="K2265" s="208" t="n"/>
      <c r="L2265" s="424" t="n"/>
      <c r="M2265" s="961" t="n"/>
      <c r="N2265" s="214" t="n"/>
    </row>
    <row r="2266">
      <c r="A2266" s="207" t="n"/>
      <c r="B2266" s="209" t="n"/>
      <c r="C2266" s="207" t="n"/>
      <c r="D2266" s="949" t="n"/>
      <c r="E2266" s="215" t="n"/>
      <c r="F2266" s="267" t="n">
        <v>552042</v>
      </c>
      <c r="G2266" s="263" t="inlineStr">
        <is>
          <t>Barra cliente successivo tappi bianchi con fessura fidelity card</t>
        </is>
      </c>
      <c r="H2266" s="264" t="n">
        <v>10</v>
      </c>
      <c r="I2266" s="265" t="n">
        <v>6.45</v>
      </c>
      <c r="J2266" s="215" t="n"/>
      <c r="K2266" s="209" t="n"/>
      <c r="L2266" s="425" t="n"/>
      <c r="M2266" s="962" t="n"/>
      <c r="N2266" s="215" t="n"/>
    </row>
    <row r="2267" ht="12.75" customHeight="1">
      <c r="A2267" s="207" t="n"/>
      <c r="B2267" s="209" t="n"/>
      <c r="C2267" s="207" t="n"/>
      <c r="D2267" s="949" t="n"/>
      <c r="E2267" s="214" t="n"/>
      <c r="F2267" s="267" t="n">
        <v>552043</v>
      </c>
      <c r="G2267" s="263" t="inlineStr">
        <is>
          <t>Barra cliente successivo tappi rossi con fessura fidelity card</t>
        </is>
      </c>
      <c r="H2267" s="264" t="n">
        <v>10</v>
      </c>
      <c r="I2267" s="265" t="n">
        <v>6.45</v>
      </c>
      <c r="J2267" s="214" t="n"/>
      <c r="K2267" s="208" t="n"/>
      <c r="L2267" s="424" t="n"/>
      <c r="M2267" s="961" t="n"/>
      <c r="N2267" s="214" t="n"/>
    </row>
    <row r="2268" ht="12.75" customHeight="1">
      <c r="A2268" s="207" t="n"/>
      <c r="B2268" s="209" t="n"/>
      <c r="C2268" s="207" t="n"/>
      <c r="D2268" s="949" t="n"/>
      <c r="E2268" s="214" t="n"/>
      <c r="F2268" s="267" t="n">
        <v>570017</v>
      </c>
      <c r="G2268" s="263" t="inlineStr">
        <is>
          <t>Cornice a libro da muro</t>
        </is>
      </c>
      <c r="H2268" s="264" t="n">
        <v>10</v>
      </c>
      <c r="I2268" s="265" t="n">
        <v>22.89</v>
      </c>
      <c r="J2268" s="214" t="n"/>
      <c r="K2268" s="208" t="n"/>
      <c r="L2268" s="424" t="n"/>
      <c r="M2268" s="961" t="n"/>
      <c r="N2268" s="214" t="n"/>
    </row>
    <row r="2269">
      <c r="A2269" s="207" t="n"/>
      <c r="B2269" s="209" t="n"/>
      <c r="C2269" s="207" t="n"/>
      <c r="D2269" s="949" t="n"/>
      <c r="E2269" s="214" t="n"/>
      <c r="F2269" s="267" t="n">
        <v>580007</v>
      </c>
      <c r="G2269" s="263" t="inlineStr">
        <is>
          <t>Pinza per spessori o tubi</t>
        </is>
      </c>
      <c r="H2269" s="264" t="n">
        <v>10</v>
      </c>
      <c r="I2269" s="265" t="n">
        <v>4.479</v>
      </c>
      <c r="J2269" s="214" t="n"/>
      <c r="K2269" s="208" t="n"/>
      <c r="L2269" s="424" t="n"/>
      <c r="M2269" s="961" t="n"/>
      <c r="N2269" s="214" t="n"/>
    </row>
    <row r="2270">
      <c r="A2270" s="207" t="n"/>
      <c r="B2270" s="209" t="n"/>
      <c r="C2270" s="207" t="n"/>
      <c r="D2270" s="949" t="n"/>
      <c r="E2270" s="214" t="n"/>
      <c r="F2270" s="267" t="n">
        <v>580008</v>
      </c>
      <c r="G2270" s="263" t="inlineStr">
        <is>
          <t>Clip girevole</t>
        </is>
      </c>
      <c r="H2270" s="264" t="n">
        <v>10</v>
      </c>
      <c r="I2270" s="265" t="n">
        <v>1.035</v>
      </c>
      <c r="J2270" s="214" t="n"/>
      <c r="K2270" s="209" t="n"/>
      <c r="L2270" s="425" t="n"/>
      <c r="M2270" s="961" t="n"/>
      <c r="N2270" s="214" t="n"/>
    </row>
    <row r="2271" ht="12.75" customHeight="1">
      <c r="A2271" s="207" t="n"/>
      <c r="B2271" s="209" t="n"/>
      <c r="C2271" s="207" t="n"/>
      <c r="D2271" s="949" t="n"/>
      <c r="E2271" s="214" t="n"/>
      <c r="F2271" s="267" t="n">
        <v>580009</v>
      </c>
      <c r="G2271" s="263" t="inlineStr">
        <is>
          <t>Supporto inclinato</t>
        </is>
      </c>
      <c r="H2271" s="264" t="n">
        <v>10</v>
      </c>
      <c r="I2271" s="265" t="n">
        <v>1.104</v>
      </c>
      <c r="J2271" s="214" t="n"/>
      <c r="K2271" s="208" t="n"/>
      <c r="L2271" s="424" t="n"/>
      <c r="M2271" s="961" t="n"/>
      <c r="N2271" s="214" t="n"/>
    </row>
    <row r="2272" ht="12.75" customHeight="1">
      <c r="A2272" s="207" t="n"/>
      <c r="B2272" s="209" t="n"/>
      <c r="C2272" s="207" t="n"/>
      <c r="D2272" s="949" t="n"/>
      <c r="E2272" s="214" t="n"/>
      <c r="F2272" s="267" t="n">
        <v>580010</v>
      </c>
      <c r="G2272" s="263" t="inlineStr">
        <is>
          <t>Clip di giunzione</t>
        </is>
      </c>
      <c r="H2272" s="264" t="n">
        <v>10</v>
      </c>
      <c r="I2272" s="265" t="n">
        <v>0.966</v>
      </c>
      <c r="J2272" s="214" t="n"/>
      <c r="K2272" s="208" t="n"/>
      <c r="L2272" s="424" t="n"/>
      <c r="M2272" s="961" t="n"/>
      <c r="N2272" s="214" t="n"/>
    </row>
    <row r="2273" ht="12.75" customHeight="1">
      <c r="A2273" s="207" t="n"/>
      <c r="B2273" s="209" t="n"/>
      <c r="C2273" s="207" t="n"/>
      <c r="D2273" s="949" t="n"/>
      <c r="E2273" s="214" t="n"/>
      <c r="F2273" s="267" t="n">
        <v>580011</v>
      </c>
      <c r="G2273" s="263" t="inlineStr">
        <is>
          <t>Supporto snodato</t>
        </is>
      </c>
      <c r="H2273" s="264" t="n">
        <v>10</v>
      </c>
      <c r="I2273" s="265" t="n">
        <v>2.381</v>
      </c>
      <c r="J2273" s="214" t="n"/>
      <c r="K2273" s="208" t="n"/>
      <c r="L2273" s="424" t="n"/>
      <c r="M2273" s="961" t="n"/>
      <c r="N2273" s="214" t="n"/>
    </row>
    <row r="2274" ht="12.75" customHeight="1">
      <c r="A2274" s="207" t="n"/>
      <c r="B2274" s="209" t="n"/>
      <c r="C2274" s="207" t="n"/>
      <c r="D2274" s="949" t="n"/>
      <c r="E2274" s="214" t="n"/>
      <c r="F2274" s="267" t="n">
        <v>580012</v>
      </c>
      <c r="G2274" s="263" t="inlineStr">
        <is>
          <t>Clip magnetica forza kg. 7 per cornici</t>
        </is>
      </c>
      <c r="H2274" s="264" t="n">
        <v>10</v>
      </c>
      <c r="I2274" s="265" t="n">
        <v>3.101</v>
      </c>
      <c r="J2274" s="214" t="n"/>
      <c r="K2274" s="208" t="n"/>
      <c r="L2274" s="424" t="n"/>
      <c r="M2274" s="961" t="n"/>
      <c r="N2274" s="214" t="n"/>
    </row>
    <row r="2275">
      <c r="A2275" s="207" t="n"/>
      <c r="B2275" s="209" t="n"/>
      <c r="C2275" s="207" t="n"/>
      <c r="D2275" s="949" t="n"/>
      <c r="E2275" s="214" t="n"/>
      <c r="F2275" s="267" t="n">
        <v>580018</v>
      </c>
      <c r="G2275" s="263" t="inlineStr">
        <is>
          <t>Gancio fisso</t>
        </is>
      </c>
      <c r="H2275" s="264" t="n">
        <v>10</v>
      </c>
      <c r="I2275" s="265" t="n">
        <v>0.966</v>
      </c>
      <c r="J2275" s="214" t="n"/>
      <c r="K2275" s="209" t="n"/>
      <c r="L2275" s="425" t="n"/>
      <c r="M2275" s="961" t="n"/>
      <c r="N2275" s="214" t="n"/>
    </row>
    <row r="2276">
      <c r="A2276" s="207" t="n"/>
      <c r="B2276" s="209" t="n"/>
      <c r="C2276" s="207" t="n"/>
      <c r="D2276" s="949" t="n"/>
      <c r="E2276" s="214" t="n"/>
      <c r="F2276" s="267" t="n">
        <v>580019</v>
      </c>
      <c r="G2276" s="263" t="inlineStr">
        <is>
          <t>Calamita ovale</t>
        </is>
      </c>
      <c r="H2276" s="264" t="n">
        <v>10</v>
      </c>
      <c r="I2276" s="265" t="n">
        <v>1.925</v>
      </c>
      <c r="J2276" s="214" t="n"/>
      <c r="K2276" s="208" t="n"/>
      <c r="L2276" s="424" t="n"/>
      <c r="M2276" s="961" t="n"/>
      <c r="N2276" s="214" t="n"/>
    </row>
    <row r="2277" ht="12.75" customHeight="1">
      <c r="A2277" s="207" t="n"/>
      <c r="B2277" s="209" t="n"/>
      <c r="C2277" s="207" t="n"/>
      <c r="D2277" s="949" t="n"/>
      <c r="E2277" s="214" t="n"/>
      <c r="F2277" s="267" t="n">
        <v>580020</v>
      </c>
      <c r="G2277" s="263" t="inlineStr">
        <is>
          <t>Calamita quadrata</t>
        </is>
      </c>
      <c r="H2277" s="264" t="n">
        <v>10</v>
      </c>
      <c r="I2277" s="265" t="n">
        <v>2.864</v>
      </c>
      <c r="J2277" s="214" t="n"/>
      <c r="K2277" s="208" t="n"/>
      <c r="L2277" s="424" t="n"/>
      <c r="M2277" s="961" t="n"/>
      <c r="N2277" s="214" t="n"/>
    </row>
    <row r="2278" ht="12.75" customHeight="1">
      <c r="A2278" s="207" t="n"/>
      <c r="B2278" s="209" t="n"/>
      <c r="C2278" s="207" t="n"/>
      <c r="D2278" s="949" t="n"/>
      <c r="E2278" s="214" t="n"/>
      <c r="F2278" s="267" t="n">
        <v>580021</v>
      </c>
      <c r="G2278" s="263" t="inlineStr">
        <is>
          <t>Pinza snodata</t>
        </is>
      </c>
      <c r="H2278" s="264" t="n">
        <v>10</v>
      </c>
      <c r="I2278" s="265" t="n">
        <v>4.761</v>
      </c>
      <c r="J2278" s="214" t="n"/>
      <c r="K2278" s="208" t="n"/>
      <c r="L2278" s="424" t="n"/>
      <c r="M2278" s="961" t="n"/>
      <c r="N2278" s="214" t="n"/>
    </row>
    <row r="2279" ht="12.75" customHeight="1">
      <c r="A2279" s="207" t="n"/>
      <c r="B2279" s="209" t="n"/>
      <c r="C2279" s="207" t="n"/>
      <c r="D2279" s="949" t="n"/>
      <c r="E2279" s="214" t="n"/>
      <c r="F2279" s="267" t="n">
        <v>580022</v>
      </c>
      <c r="G2279" s="263" t="inlineStr">
        <is>
          <t>Supporto dritto</t>
        </is>
      </c>
      <c r="H2279" s="264" t="n">
        <v>10</v>
      </c>
      <c r="I2279" s="265" t="n">
        <v>1.104</v>
      </c>
      <c r="J2279" s="214" t="n"/>
      <c r="K2279" s="208" t="n"/>
      <c r="L2279" s="424" t="n"/>
      <c r="M2279" s="961" t="n"/>
      <c r="N2279" s="214" t="n"/>
    </row>
    <row r="2280" ht="12.75" customHeight="1">
      <c r="A2280" s="207" t="n"/>
      <c r="B2280" s="209" t="n"/>
      <c r="C2280" s="207" t="n"/>
      <c r="D2280" s="949" t="n"/>
      <c r="E2280" s="214" t="n"/>
      <c r="F2280" s="267" t="n">
        <v>580023</v>
      </c>
      <c r="G2280" s="263" t="inlineStr">
        <is>
          <t>Gancio mobile</t>
        </is>
      </c>
      <c r="H2280" s="264" t="n">
        <v>10</v>
      </c>
      <c r="I2280" s="265" t="n">
        <v>1.346</v>
      </c>
      <c r="J2280" s="214" t="n"/>
      <c r="K2280" s="208" t="n"/>
      <c r="L2280" s="424" t="n"/>
      <c r="M2280" s="961" t="n"/>
      <c r="N2280" s="214" t="n"/>
    </row>
    <row r="2281" ht="12.75" customHeight="1">
      <c r="A2281" s="207" t="n"/>
      <c r="B2281" s="209" t="n"/>
      <c r="C2281" s="207" t="n"/>
      <c r="D2281" s="949" t="n"/>
      <c r="E2281" s="214" t="n"/>
      <c r="F2281" s="267" t="n">
        <v>580024</v>
      </c>
      <c r="G2281" s="263" t="inlineStr">
        <is>
          <t>Supporto con ventosa</t>
        </is>
      </c>
      <c r="H2281" s="264" t="n">
        <v>10</v>
      </c>
      <c r="I2281" s="265" t="n">
        <v>3.416</v>
      </c>
      <c r="J2281" s="214" t="n"/>
      <c r="K2281" s="208" t="n"/>
      <c r="L2281" s="424" t="n"/>
      <c r="M2281" s="961" t="n"/>
      <c r="N2281" s="214" t="n"/>
    </row>
    <row r="2282" ht="12.75" customHeight="1">
      <c r="A2282" s="207" t="n"/>
      <c r="B2282" s="209" t="n"/>
      <c r="C2282" s="207" t="n"/>
      <c r="D2282" s="949" t="n"/>
      <c r="E2282" s="214" t="n"/>
      <c r="F2282" s="267" t="n">
        <v>580034</v>
      </c>
      <c r="G2282" s="263" t="inlineStr">
        <is>
          <t>Clip da parete</t>
        </is>
      </c>
      <c r="H2282" s="264" t="n">
        <v>10</v>
      </c>
      <c r="I2282" s="265" t="n">
        <v>1.24</v>
      </c>
      <c r="J2282" s="214" t="n"/>
      <c r="K2282" s="208" t="n"/>
      <c r="L2282" s="424" t="n"/>
      <c r="M2282" s="961" t="n"/>
      <c r="N2282" s="214" t="n"/>
    </row>
    <row r="2283" ht="12.75" customHeight="1">
      <c r="A2283" s="207" t="n"/>
      <c r="B2283" s="209" t="n"/>
      <c r="C2283" s="207" t="n"/>
      <c r="D2283" s="949" t="n"/>
      <c r="E2283" s="214" t="n"/>
      <c r="F2283" s="267" t="n">
        <v>580167</v>
      </c>
      <c r="G2283" s="263" t="inlineStr">
        <is>
          <t>Busta protettiva in pvc per cornice formato A4 apertura lato corto</t>
        </is>
      </c>
      <c r="H2283" s="264" t="n">
        <v>10</v>
      </c>
      <c r="I2283" s="265" t="n">
        <v>1.099</v>
      </c>
      <c r="J2283" s="214" t="n"/>
      <c r="K2283" s="208" t="n"/>
      <c r="L2283" s="424" t="n"/>
      <c r="M2283" s="961" t="n"/>
      <c r="N2283" s="214" t="n"/>
    </row>
    <row r="2284" ht="12.75" customHeight="1">
      <c r="A2284" s="207" t="n"/>
      <c r="B2284" s="209" t="n"/>
      <c r="C2284" s="207" t="n"/>
      <c r="D2284" s="949" t="n"/>
      <c r="E2284" s="214" t="n"/>
      <c r="F2284" s="267" t="n">
        <v>580169</v>
      </c>
      <c r="G2284" s="263" t="inlineStr">
        <is>
          <t>Busta protettiva in pvc per cornice formato A3 apertura lato corto</t>
        </is>
      </c>
      <c r="H2284" s="264" t="n">
        <v>10</v>
      </c>
      <c r="I2284" s="265" t="n">
        <v>2.136</v>
      </c>
      <c r="J2284" s="214" t="n"/>
      <c r="K2284" s="208" t="n"/>
      <c r="L2284" s="424" t="n"/>
      <c r="M2284" s="961" t="n"/>
      <c r="N2284" s="214" t="n"/>
    </row>
    <row r="2285" ht="12.75" customHeight="1">
      <c r="A2285" s="207" t="n"/>
      <c r="B2285" s="209" t="n"/>
      <c r="C2285" s="207" t="n"/>
      <c r="D2285" s="949" t="n"/>
      <c r="E2285" s="214" t="n"/>
      <c r="F2285" s="267" t="n">
        <v>580210</v>
      </c>
      <c r="G2285" s="263" t="inlineStr">
        <is>
          <t>Busta protettiva in pvc per cornice formato A6 apertura lato corto</t>
        </is>
      </c>
      <c r="H2285" s="264" t="n">
        <v>10</v>
      </c>
      <c r="I2285" s="265" t="n">
        <v>0.379</v>
      </c>
      <c r="J2285" s="214" t="n"/>
      <c r="K2285" s="208" t="n"/>
      <c r="L2285" s="424" t="n"/>
      <c r="M2285" s="961" t="n"/>
      <c r="N2285" s="214" t="n"/>
    </row>
    <row r="2286" ht="12.75" customHeight="1">
      <c r="A2286" s="207" t="n"/>
      <c r="B2286" s="209" t="n"/>
      <c r="C2286" s="207" t="n"/>
      <c r="D2286" s="949" t="n"/>
      <c r="E2286" s="214" t="n"/>
      <c r="F2286" s="267" t="n">
        <v>580212</v>
      </c>
      <c r="G2286" s="263" t="inlineStr">
        <is>
          <t>Busta protettiva in pvc per cornice formato A5 apertura lato corto</t>
        </is>
      </c>
      <c r="H2286" s="264" t="n">
        <v>10</v>
      </c>
      <c r="I2286" s="265" t="n">
        <v>0.551</v>
      </c>
      <c r="J2286" s="214" t="n"/>
      <c r="K2286" s="208" t="n"/>
      <c r="L2286" s="424" t="n"/>
      <c r="M2286" s="961" t="n"/>
      <c r="N2286" s="214" t="n"/>
    </row>
    <row r="2287" ht="12.75" customHeight="1">
      <c r="A2287" s="207" t="n"/>
      <c r="B2287" s="209" t="n"/>
      <c r="C2287" s="207" t="n"/>
      <c r="D2287" s="949" t="n"/>
      <c r="E2287" s="214" t="n"/>
      <c r="F2287" s="267" t="n">
        <v>590009</v>
      </c>
      <c r="G2287" s="263" t="inlineStr">
        <is>
          <t>Piantana telescopica per ceste</t>
        </is>
      </c>
      <c r="H2287" s="264" t="n">
        <v>10</v>
      </c>
      <c r="I2287" s="265" t="n">
        <v>18.182</v>
      </c>
      <c r="J2287" s="214" t="n"/>
      <c r="K2287" s="208" t="n"/>
      <c r="L2287" s="424" t="n"/>
      <c r="M2287" s="961" t="n"/>
      <c r="N2287" s="214" t="n"/>
    </row>
    <row r="2288">
      <c r="A2288" s="207" t="n"/>
      <c r="B2288" s="209" t="n"/>
      <c r="C2288" s="207" t="n"/>
      <c r="D2288" s="949" t="n"/>
      <c r="E2288" s="214" t="n"/>
      <c r="F2288" s="267" t="n">
        <v>590011</v>
      </c>
      <c r="G2288" s="263" t="inlineStr">
        <is>
          <t>Piantana telescopica 300-600</t>
        </is>
      </c>
      <c r="H2288" s="264" t="n">
        <v>10</v>
      </c>
      <c r="I2288" s="265" t="n">
        <v>9.108000000000001</v>
      </c>
      <c r="J2288" s="214" t="n"/>
      <c r="K2288" s="208" t="n"/>
      <c r="L2288" s="424" t="n"/>
      <c r="M2288" s="961" t="n"/>
      <c r="N2288" s="214" t="n"/>
    </row>
    <row r="2289">
      <c r="A2289" s="207" t="n"/>
      <c r="B2289" s="209" t="n"/>
      <c r="C2289" s="207" t="n"/>
      <c r="D2289" s="949" t="n"/>
      <c r="E2289" s="214" t="n"/>
      <c r="F2289" s="267" t="n">
        <v>590123</v>
      </c>
      <c r="G2289" s="263" t="inlineStr">
        <is>
          <t>Piantana telescopica 800-1450</t>
        </is>
      </c>
      <c r="H2289" s="264" t="n">
        <v>10</v>
      </c>
      <c r="I2289" s="265" t="n">
        <v>12.524</v>
      </c>
      <c r="J2289" s="214" t="n"/>
      <c r="K2289" s="208" t="n"/>
      <c r="L2289" s="424" t="n"/>
      <c r="M2289" s="961" t="n"/>
      <c r="N2289" s="214" t="n"/>
    </row>
    <row r="2290">
      <c r="A2290" s="207" t="n"/>
      <c r="B2290" s="209" t="n"/>
      <c r="C2290" s="207" t="n"/>
      <c r="D2290" s="949" t="n"/>
      <c r="E2290" s="214" t="n"/>
      <c r="F2290" s="267" t="n">
        <v>590300</v>
      </c>
      <c r="G2290" s="263" t="inlineStr">
        <is>
          <t>Kit elimina code 1</t>
        </is>
      </c>
      <c r="H2290" s="264" t="n">
        <v>10</v>
      </c>
      <c r="I2290" s="265" t="n">
        <v>270.27</v>
      </c>
      <c r="J2290" s="214" t="n"/>
      <c r="K2290" s="208" t="n"/>
      <c r="L2290" s="424" t="n"/>
      <c r="M2290" s="961" t="n"/>
      <c r="N2290" s="214" t="n"/>
    </row>
    <row r="2291" ht="12.75" customHeight="1">
      <c r="A2291" s="207" t="n"/>
      <c r="B2291" s="209" t="n"/>
      <c r="C2291" s="207" t="n"/>
      <c r="D2291" s="949" t="n"/>
      <c r="E2291" s="214" t="n"/>
      <c r="F2291" s="267" t="n">
        <v>590301</v>
      </c>
      <c r="G2291" s="263" t="inlineStr">
        <is>
          <t>Kit elimina code 2</t>
        </is>
      </c>
      <c r="H2291" s="264" t="n">
        <v>10</v>
      </c>
      <c r="I2291" s="265" t="n">
        <v>224.91</v>
      </c>
      <c r="J2291" s="214" t="n"/>
      <c r="K2291" s="208" t="n"/>
      <c r="L2291" s="424" t="n"/>
      <c r="M2291" s="961" t="n"/>
      <c r="N2291" s="214" t="n"/>
    </row>
    <row r="2292" ht="12.75" customHeight="1">
      <c r="A2292" s="207" t="n"/>
      <c r="B2292" s="209" t="n"/>
      <c r="C2292" s="207" t="n"/>
      <c r="D2292" s="949" t="n"/>
      <c r="E2292" s="214" t="n"/>
      <c r="F2292" s="267" t="n">
        <v>590305</v>
      </c>
      <c r="G2292" s="263" t="inlineStr">
        <is>
          <t>Console da banco per display TD4 con tastiera numerica</t>
        </is>
      </c>
      <c r="H2292" s="264" t="n">
        <v>10</v>
      </c>
      <c r="I2292" s="265" t="n">
        <v>131.22</v>
      </c>
      <c r="J2292" s="214" t="n"/>
      <c r="K2292" s="208" t="n"/>
      <c r="L2292" s="424" t="n"/>
      <c r="M2292" s="961" t="n"/>
      <c r="N2292" s="214" t="n"/>
    </row>
    <row r="2293">
      <c r="A2293" s="207" t="n"/>
      <c r="B2293" s="209" t="n"/>
      <c r="C2293" s="207" t="n"/>
      <c r="D2293" s="949" t="n"/>
      <c r="E2293" s="214" t="n"/>
      <c r="F2293" s="267" t="n">
        <v>590306</v>
      </c>
      <c r="G2293" s="263" t="inlineStr">
        <is>
          <t>Voice kit per kit elimina code 1</t>
        </is>
      </c>
      <c r="H2293" s="264" t="n">
        <v>10</v>
      </c>
      <c r="I2293" s="265" t="n">
        <v>275.4</v>
      </c>
      <c r="J2293" s="214" t="n"/>
      <c r="K2293" s="208" t="n"/>
      <c r="L2293" s="424" t="n"/>
      <c r="M2293" s="961" t="n"/>
      <c r="N2293" s="214" t="n"/>
    </row>
    <row r="2294" ht="12.75" customHeight="1">
      <c r="A2294" s="207" t="n"/>
      <c r="B2294" s="209" t="n"/>
      <c r="C2294" s="207" t="n"/>
      <c r="D2294" s="949" t="n"/>
      <c r="E2294" s="214" t="n"/>
      <c r="F2294" s="267" t="n">
        <v>590307</v>
      </c>
      <c r="G2294" s="263" t="inlineStr">
        <is>
          <t>Voice kit per kit elimina code 2</t>
        </is>
      </c>
      <c r="H2294" s="264" t="n">
        <v>10</v>
      </c>
      <c r="I2294" s="265" t="n">
        <v>291.6</v>
      </c>
      <c r="J2294" s="214" t="n"/>
      <c r="K2294" s="208" t="n"/>
      <c r="L2294" s="424" t="n"/>
      <c r="M2294" s="961" t="n"/>
      <c r="N2294" s="214" t="n"/>
    </row>
    <row r="2295">
      <c r="A2295" s="207" t="n"/>
      <c r="B2295" s="209" t="n"/>
      <c r="C2295" s="207" t="n"/>
      <c r="D2295" s="949" t="n"/>
      <c r="E2295" s="214" t="n"/>
      <c r="F2295" s="267" t="n">
        <v>590310</v>
      </c>
      <c r="G2295" s="263" t="inlineStr">
        <is>
          <t>Radiocomando elimina code per kit 2</t>
        </is>
      </c>
      <c r="H2295" s="264" t="n">
        <v>10</v>
      </c>
      <c r="I2295" s="265" t="n">
        <v>43.2</v>
      </c>
      <c r="J2295" s="214" t="n"/>
      <c r="K2295" s="208" t="n"/>
      <c r="L2295" s="424" t="n"/>
      <c r="M2295" s="961" t="n"/>
      <c r="N2295" s="214" t="n"/>
    </row>
    <row r="2296">
      <c r="A2296" s="207" t="n"/>
      <c r="B2296" s="209" t="n"/>
      <c r="C2296" s="207" t="n"/>
      <c r="D2296" s="949" t="n"/>
      <c r="E2296" s="214" t="n"/>
      <c r="F2296" s="267" t="n">
        <v>590320</v>
      </c>
      <c r="G2296" s="263" t="inlineStr">
        <is>
          <t>Distributore a leva</t>
        </is>
      </c>
      <c r="H2296" s="264" t="n">
        <v>10</v>
      </c>
      <c r="I2296" s="265" t="n">
        <v>84.23999999999999</v>
      </c>
      <c r="J2296" s="214" t="n"/>
      <c r="K2296" s="208" t="n"/>
      <c r="L2296" s="424" t="n"/>
      <c r="M2296" s="961" t="n"/>
      <c r="N2296" s="214" t="n"/>
    </row>
    <row r="2297">
      <c r="A2297" s="207" t="n"/>
      <c r="B2297" s="209" t="n"/>
      <c r="C2297" s="207" t="n"/>
      <c r="D2297" s="949" t="n"/>
      <c r="E2297" s="214" t="n"/>
      <c r="F2297" s="267" t="n">
        <v>590326</v>
      </c>
      <c r="G2297" s="263" t="inlineStr">
        <is>
          <t>Colonnina di supporto per chiocciola</t>
        </is>
      </c>
      <c r="H2297" s="264" t="n">
        <v>10</v>
      </c>
      <c r="I2297" s="265" t="n">
        <v>78.3</v>
      </c>
      <c r="J2297" s="214" t="n"/>
      <c r="K2297" s="208" t="n"/>
      <c r="L2297" s="424" t="n"/>
      <c r="M2297" s="961" t="n"/>
      <c r="N2297" s="214" t="n"/>
    </row>
    <row r="2298">
      <c r="A2298" s="207" t="n"/>
      <c r="B2298" s="209" t="n"/>
      <c r="C2298" s="207" t="n"/>
      <c r="D2298" s="949" t="n"/>
      <c r="E2298" s="214" t="n"/>
      <c r="F2298" s="267" t="n">
        <v>660000</v>
      </c>
      <c r="G2298" s="263" t="inlineStr">
        <is>
          <t>Colonnina basic in acciaio spazzolato - nastro rosso</t>
        </is>
      </c>
      <c r="H2298" s="264" t="n">
        <v>2</v>
      </c>
      <c r="I2298" s="265" t="n">
        <v>95.23</v>
      </c>
      <c r="J2298" s="214" t="n"/>
      <c r="K2298" s="208" t="n"/>
      <c r="L2298" s="424" t="n"/>
      <c r="M2298" s="961" t="n"/>
      <c r="N2298" s="214" t="n"/>
    </row>
    <row r="2299">
      <c r="A2299" s="207" t="n"/>
      <c r="B2299" s="209" t="n"/>
      <c r="C2299" s="207" t="n"/>
      <c r="D2299" s="949" t="n"/>
      <c r="E2299" s="214" t="n"/>
      <c r="F2299" s="267" t="n">
        <v>660001</v>
      </c>
      <c r="G2299" s="263" t="inlineStr">
        <is>
          <t>Colonnina basic in acciaio spazzolato - nastro blu</t>
        </is>
      </c>
      <c r="H2299" s="264" t="n">
        <v>2</v>
      </c>
      <c r="I2299" s="265" t="n">
        <v>95.23</v>
      </c>
      <c r="J2299" s="214" t="n"/>
      <c r="K2299" s="209" t="n"/>
      <c r="L2299" s="425" t="n"/>
      <c r="M2299" s="961" t="n"/>
      <c r="N2299" s="214" t="n"/>
    </row>
    <row r="2300">
      <c r="A2300" s="207" t="n"/>
      <c r="B2300" s="209" t="n"/>
      <c r="C2300" s="207" t="n"/>
      <c r="D2300" s="949" t="n"/>
      <c r="E2300" s="214" t="n"/>
      <c r="F2300" s="267" t="n">
        <v>660002</v>
      </c>
      <c r="G2300" s="263" t="inlineStr">
        <is>
          <t>Colonnina basic in acciaio spazzolato - nastro nero</t>
        </is>
      </c>
      <c r="H2300" s="264" t="n">
        <v>2</v>
      </c>
      <c r="I2300" s="265" t="n">
        <v>95.23</v>
      </c>
      <c r="J2300" s="214" t="n"/>
      <c r="K2300" s="209" t="n"/>
      <c r="L2300" s="425" t="n"/>
      <c r="M2300" s="961" t="n"/>
      <c r="N2300" s="214" t="n"/>
    </row>
    <row r="2301">
      <c r="A2301" s="207" t="n"/>
      <c r="B2301" s="209" t="n"/>
      <c r="C2301" s="207" t="n"/>
      <c r="D2301" s="949" t="n"/>
      <c r="E2301" s="214" t="n"/>
      <c r="F2301" s="267" t="n">
        <v>660003</v>
      </c>
      <c r="G2301" s="263" t="inlineStr">
        <is>
          <t>Colonnina basic in acciaio spazzolato - nastro giallo/nero</t>
        </is>
      </c>
      <c r="H2301" s="264" t="n">
        <v>2</v>
      </c>
      <c r="I2301" s="265" t="n">
        <v>95.23</v>
      </c>
      <c r="J2301" s="214" t="n"/>
      <c r="K2301" s="208" t="n"/>
      <c r="L2301" s="424" t="n"/>
      <c r="M2301" s="961" t="n"/>
      <c r="N2301" s="214" t="n"/>
    </row>
    <row r="2302">
      <c r="A2302" s="207" t="n"/>
      <c r="B2302" s="209" t="n"/>
      <c r="C2302" s="207" t="n"/>
      <c r="D2302" s="949" t="n"/>
      <c r="E2302" s="214" t="n"/>
      <c r="F2302" s="267" t="n">
        <v>660004</v>
      </c>
      <c r="G2302" s="263" t="inlineStr">
        <is>
          <t>Colonnina basic in acciaio spazzolato - nastro bianco/rosso</t>
        </is>
      </c>
      <c r="H2302" s="264" t="n">
        <v>2</v>
      </c>
      <c r="I2302" s="265" t="n">
        <v>95.23</v>
      </c>
      <c r="J2302" s="214" t="n"/>
      <c r="K2302" s="208" t="n"/>
      <c r="L2302" s="424" t="n"/>
      <c r="M2302" s="961" t="n"/>
      <c r="N2302" s="214" t="n"/>
    </row>
    <row r="2303">
      <c r="A2303" s="207" t="n"/>
      <c r="B2303" s="209" t="n"/>
      <c r="C2303" s="207" t="n"/>
      <c r="D2303" s="949" t="n"/>
      <c r="E2303" s="214" t="n"/>
      <c r="F2303" s="267" t="n">
        <v>660005</v>
      </c>
      <c r="G2303" s="263" t="inlineStr">
        <is>
          <t>Colonnina basic in acciaio spazzolato - nastro bianco</t>
        </is>
      </c>
      <c r="H2303" s="264" t="n">
        <v>2</v>
      </c>
      <c r="I2303" s="265" t="n">
        <v>95.23</v>
      </c>
      <c r="J2303" s="214" t="n"/>
      <c r="K2303" s="208" t="n"/>
      <c r="L2303" s="424" t="n"/>
      <c r="M2303" s="961" t="n"/>
      <c r="N2303" s="214" t="n"/>
    </row>
    <row r="2304">
      <c r="A2304" s="207" t="n"/>
      <c r="B2304" s="209" t="n"/>
      <c r="C2304" s="207" t="n"/>
      <c r="D2304" s="963" t="n"/>
      <c r="E2304" s="214" t="n"/>
      <c r="F2304" s="267" t="n">
        <v>660006</v>
      </c>
      <c r="G2304" s="263" t="inlineStr">
        <is>
          <t>Colonnina basic in acciaio spazzolato - nastro verde</t>
        </is>
      </c>
      <c r="H2304" s="264" t="n">
        <v>2</v>
      </c>
      <c r="I2304" s="265" t="n">
        <v>95.23</v>
      </c>
      <c r="J2304" s="214" t="n"/>
      <c r="K2304" s="208" t="n"/>
      <c r="L2304" s="424" t="n"/>
      <c r="M2304" s="961" t="n"/>
      <c r="N2304" s="214" t="n"/>
    </row>
    <row r="2305">
      <c r="A2305" s="207" t="n"/>
      <c r="B2305" s="209" t="n"/>
      <c r="C2305" s="207" t="n"/>
      <c r="D2305" s="963" t="n"/>
      <c r="E2305" s="214" t="n"/>
      <c r="F2305" s="267" t="n">
        <v>660007</v>
      </c>
      <c r="G2305" s="263" t="inlineStr">
        <is>
          <t>Colonnina basic in acciaio spazzolato - nastro arancione</t>
        </is>
      </c>
      <c r="H2305" s="264" t="n">
        <v>2</v>
      </c>
      <c r="I2305" s="265" t="n">
        <v>95.23</v>
      </c>
      <c r="J2305" s="214" t="n"/>
      <c r="K2305" s="208" t="n"/>
      <c r="L2305" s="424" t="n"/>
      <c r="M2305" s="961" t="n"/>
      <c r="N2305" s="214" t="n"/>
    </row>
    <row r="2306">
      <c r="A2306" s="207" t="n"/>
      <c r="B2306" s="209" t="n"/>
      <c r="C2306" s="207" t="n"/>
      <c r="D2306" s="963" t="n"/>
      <c r="E2306" s="214" t="n"/>
      <c r="F2306" s="267" t="n">
        <v>660008</v>
      </c>
      <c r="G2306" s="263" t="inlineStr">
        <is>
          <t>Colonnina basic in acciaio spazzolato - nastro giallo</t>
        </is>
      </c>
      <c r="H2306" s="264" t="n">
        <v>2</v>
      </c>
      <c r="I2306" s="265" t="n">
        <v>95.23</v>
      </c>
      <c r="J2306" s="214" t="n"/>
      <c r="K2306" s="208" t="n"/>
      <c r="L2306" s="424" t="n"/>
      <c r="M2306" s="961" t="n"/>
      <c r="N2306" s="214" t="n"/>
    </row>
    <row r="2307">
      <c r="A2307" s="207" t="n"/>
      <c r="B2307" s="209" t="n"/>
      <c r="C2307" s="207" t="n"/>
      <c r="D2307" s="963" t="n"/>
      <c r="E2307" s="214" t="n"/>
      <c r="F2307" s="267" t="n">
        <v>660010</v>
      </c>
      <c r="G2307" s="263" t="inlineStr">
        <is>
          <t>Colonnina basic in acciaio nero opaco - nastro rosso</t>
        </is>
      </c>
      <c r="H2307" s="264" t="n">
        <v>2</v>
      </c>
      <c r="I2307" s="265" t="n">
        <v>80.782</v>
      </c>
      <c r="J2307" s="214" t="n"/>
      <c r="K2307" s="208" t="n"/>
      <c r="L2307" s="424" t="n"/>
      <c r="M2307" s="961" t="n"/>
      <c r="N2307" s="214" t="n"/>
    </row>
    <row r="2308">
      <c r="A2308" s="207" t="n"/>
      <c r="B2308" s="209" t="n"/>
      <c r="C2308" s="207" t="n"/>
      <c r="D2308" s="963" t="n"/>
      <c r="E2308" s="214" t="n"/>
      <c r="F2308" s="267" t="n">
        <v>660011</v>
      </c>
      <c r="G2308" s="263" t="inlineStr">
        <is>
          <t>Colonnina basic in acciaio nero opaco - nastro blu</t>
        </is>
      </c>
      <c r="H2308" s="264" t="n">
        <v>2</v>
      </c>
      <c r="I2308" s="265" t="n">
        <v>80.782</v>
      </c>
      <c r="J2308" s="214" t="n"/>
      <c r="K2308" s="209" t="n"/>
      <c r="L2308" s="425" t="n"/>
      <c r="M2308" s="961" t="n"/>
      <c r="N2308" s="214" t="n"/>
    </row>
    <row r="2309">
      <c r="A2309" s="207" t="n"/>
      <c r="B2309" s="209" t="n"/>
      <c r="C2309" s="207" t="n"/>
      <c r="D2309" s="963" t="n"/>
      <c r="E2309" s="214" t="n"/>
      <c r="F2309" s="267" t="n">
        <v>660012</v>
      </c>
      <c r="G2309" s="263" t="inlineStr">
        <is>
          <t>Colonnina basic in acciaio nero opaco - nastro nero</t>
        </is>
      </c>
      <c r="H2309" s="264" t="n">
        <v>2</v>
      </c>
      <c r="I2309" s="265" t="n">
        <v>80.782</v>
      </c>
      <c r="J2309" s="214" t="n"/>
      <c r="K2309" s="209" t="n"/>
      <c r="L2309" s="425" t="n"/>
      <c r="M2309" s="964" t="n"/>
      <c r="N2309" s="214" t="n"/>
    </row>
    <row r="2310">
      <c r="A2310" s="207" t="n"/>
      <c r="B2310" s="209" t="n"/>
      <c r="C2310" s="207" t="n"/>
      <c r="D2310" s="963" t="n"/>
      <c r="E2310" s="214" t="n"/>
      <c r="F2310" s="267" t="n">
        <v>660013</v>
      </c>
      <c r="G2310" s="263" t="inlineStr">
        <is>
          <t>Colonnina basic in acciaio nero opaco - nastro giallo/nero</t>
        </is>
      </c>
      <c r="H2310" s="264" t="n">
        <v>2</v>
      </c>
      <c r="I2310" s="265" t="n">
        <v>80.782</v>
      </c>
      <c r="J2310" s="214" t="n"/>
      <c r="K2310" s="209" t="n"/>
      <c r="L2310" s="425" t="n"/>
      <c r="M2310" s="964" t="n"/>
      <c r="N2310" s="214" t="n"/>
    </row>
    <row r="2311">
      <c r="A2311" s="207" t="n"/>
      <c r="B2311" s="209" t="n"/>
      <c r="C2311" s="207" t="n"/>
      <c r="D2311" s="963" t="n"/>
      <c r="E2311" s="214" t="n"/>
      <c r="F2311" s="267" t="n">
        <v>660014</v>
      </c>
      <c r="G2311" s="263" t="inlineStr">
        <is>
          <t>Colonnina basic in acciaio nero opaco - nastro bianco/rosso</t>
        </is>
      </c>
      <c r="H2311" s="264" t="n">
        <v>2</v>
      </c>
      <c r="I2311" s="265" t="n">
        <v>80.782</v>
      </c>
      <c r="J2311" s="214" t="n"/>
      <c r="K2311" s="209" t="n"/>
      <c r="L2311" s="425" t="n"/>
      <c r="M2311" s="964" t="n"/>
      <c r="N2311" s="214" t="n"/>
    </row>
    <row r="2312">
      <c r="A2312" s="207" t="n"/>
      <c r="B2312" s="209" t="n"/>
      <c r="C2312" s="207" t="n"/>
      <c r="D2312" s="963" t="n"/>
      <c r="E2312" s="214" t="n"/>
      <c r="F2312" s="267" t="n">
        <v>660015</v>
      </c>
      <c r="G2312" s="263" t="inlineStr">
        <is>
          <t>Colonnina basic in acciaio nero opaco - nastro bianco</t>
        </is>
      </c>
      <c r="H2312" s="264" t="n">
        <v>2</v>
      </c>
      <c r="I2312" s="265" t="n">
        <v>80.782</v>
      </c>
      <c r="J2312" s="214" t="n"/>
      <c r="K2312" s="209" t="n"/>
      <c r="L2312" s="425" t="n"/>
      <c r="M2312" s="964" t="n"/>
      <c r="N2312" s="214" t="n"/>
    </row>
    <row r="2313">
      <c r="A2313" s="207" t="n"/>
      <c r="B2313" s="209" t="n"/>
      <c r="C2313" s="207" t="n"/>
      <c r="D2313" s="963" t="n"/>
      <c r="E2313" s="214" t="n"/>
      <c r="F2313" s="267" t="n">
        <v>660016</v>
      </c>
      <c r="G2313" s="263" t="inlineStr">
        <is>
          <t>Colonnina basic in acciaio nero opaco - nastro verde</t>
        </is>
      </c>
      <c r="H2313" s="264" t="n">
        <v>2</v>
      </c>
      <c r="I2313" s="265" t="n">
        <v>80.782</v>
      </c>
      <c r="J2313" s="214" t="n"/>
      <c r="K2313" s="209" t="n"/>
      <c r="L2313" s="425" t="n"/>
      <c r="M2313" s="964" t="n"/>
      <c r="N2313" s="214" t="n"/>
    </row>
    <row r="2314">
      <c r="A2314" s="207" t="n"/>
      <c r="B2314" s="209" t="n"/>
      <c r="C2314" s="207" t="n"/>
      <c r="D2314" s="963" t="n"/>
      <c r="E2314" s="214" t="n"/>
      <c r="F2314" s="267" t="n">
        <v>660017</v>
      </c>
      <c r="G2314" s="263" t="inlineStr">
        <is>
          <t>Colonnina basic in acciaio nero opaco - nastro arancione</t>
        </is>
      </c>
      <c r="H2314" s="264" t="n">
        <v>2</v>
      </c>
      <c r="I2314" s="265" t="n">
        <v>80.782</v>
      </c>
      <c r="J2314" s="214" t="n"/>
      <c r="K2314" s="208" t="n"/>
      <c r="L2314" s="424" t="n"/>
      <c r="M2314" s="961" t="n"/>
      <c r="N2314" s="214" t="n"/>
    </row>
    <row r="2315">
      <c r="A2315" s="207" t="n"/>
      <c r="B2315" s="209" t="n"/>
      <c r="C2315" s="207" t="n"/>
      <c r="D2315" s="963" t="n"/>
      <c r="E2315" s="214" t="n"/>
      <c r="F2315" s="267" t="n">
        <v>660018</v>
      </c>
      <c r="G2315" s="263" t="inlineStr">
        <is>
          <t>Colonnina basic in acciaio nero opaco - nastro giallo</t>
        </is>
      </c>
      <c r="H2315" s="264" t="n">
        <v>2</v>
      </c>
      <c r="I2315" s="265" t="n">
        <v>80.782</v>
      </c>
      <c r="J2315" s="214" t="n"/>
      <c r="K2315" s="209" t="n"/>
      <c r="L2315" s="425" t="n"/>
      <c r="M2315" s="964" t="n"/>
      <c r="N2315" s="214" t="n"/>
    </row>
    <row r="2316">
      <c r="A2316" s="207" t="n"/>
      <c r="B2316" s="209" t="n"/>
      <c r="C2316" s="207" t="n"/>
      <c r="D2316" s="963" t="n"/>
      <c r="E2316" s="214" t="n"/>
      <c r="F2316" s="267" t="n">
        <v>660020</v>
      </c>
      <c r="G2316" s="263" t="inlineStr">
        <is>
          <t>Colonnina in acciaio spazzolato con base piatta - nastro rosso</t>
        </is>
      </c>
      <c r="H2316" s="264" t="n">
        <v>2</v>
      </c>
      <c r="I2316" s="265" t="n">
        <v>127.22</v>
      </c>
      <c r="J2316" s="214" t="n"/>
      <c r="K2316" s="209" t="n"/>
      <c r="L2316" s="425" t="n"/>
      <c r="M2316" s="964" t="n"/>
      <c r="N2316" s="214" t="n"/>
    </row>
    <row r="2317">
      <c r="A2317" s="207" t="n"/>
      <c r="B2317" s="209" t="n"/>
      <c r="C2317" s="207" t="n"/>
      <c r="D2317" s="963" t="n"/>
      <c r="E2317" s="214" t="n"/>
      <c r="F2317" s="267" t="n">
        <v>660021</v>
      </c>
      <c r="G2317" s="263" t="inlineStr">
        <is>
          <t>Colonnina in acciaio spazzolato con base piatta - nastro blu</t>
        </is>
      </c>
      <c r="H2317" s="264" t="n">
        <v>2</v>
      </c>
      <c r="I2317" s="265" t="n">
        <v>127.22</v>
      </c>
      <c r="J2317" s="214" t="n"/>
      <c r="K2317" s="209" t="n"/>
      <c r="L2317" s="425" t="n"/>
      <c r="M2317" s="964" t="n"/>
      <c r="N2317" s="214" t="n"/>
    </row>
    <row r="2318">
      <c r="A2318" s="207" t="n"/>
      <c r="B2318" s="209" t="n"/>
      <c r="C2318" s="207" t="n"/>
      <c r="D2318" s="963" t="n"/>
      <c r="E2318" s="214" t="n"/>
      <c r="F2318" s="267" t="n">
        <v>660022</v>
      </c>
      <c r="G2318" s="263" t="inlineStr">
        <is>
          <t>Colonnina in acciaio spazzolato con base piatta - nastro nero</t>
        </is>
      </c>
      <c r="H2318" s="264" t="n">
        <v>2</v>
      </c>
      <c r="I2318" s="265" t="n">
        <v>127.22</v>
      </c>
      <c r="J2318" s="214" t="n"/>
      <c r="K2318" s="209" t="n"/>
      <c r="L2318" s="425" t="n"/>
      <c r="M2318" s="964" t="n"/>
      <c r="N2318" s="214" t="n"/>
    </row>
    <row r="2319">
      <c r="A2319" s="207" t="n"/>
      <c r="B2319" s="209" t="n"/>
      <c r="C2319" s="207" t="n"/>
      <c r="D2319" s="963" t="n"/>
      <c r="E2319" s="214" t="n"/>
      <c r="F2319" s="267" t="n">
        <v>660023</v>
      </c>
      <c r="G2319" s="263" t="inlineStr">
        <is>
          <t>Colonnina in acciaio spazzolato con base piatta - nastro giallo/nero</t>
        </is>
      </c>
      <c r="H2319" s="264" t="n">
        <v>2</v>
      </c>
      <c r="I2319" s="265" t="n">
        <v>127.22</v>
      </c>
      <c r="J2319" s="214" t="n"/>
      <c r="K2319" s="209" t="n"/>
      <c r="L2319" s="425" t="n"/>
      <c r="M2319" s="964" t="n"/>
      <c r="N2319" s="214" t="n"/>
    </row>
    <row r="2320">
      <c r="A2320" s="207" t="n"/>
      <c r="B2320" s="209" t="n"/>
      <c r="C2320" s="207" t="n"/>
      <c r="D2320" s="963" t="n"/>
      <c r="E2320" s="214" t="n"/>
      <c r="F2320" s="267" t="n">
        <v>660024</v>
      </c>
      <c r="G2320" s="263" t="inlineStr">
        <is>
          <t>Colonnina in acciaio spazzolato con base piatta - nastro bianco/rosso</t>
        </is>
      </c>
      <c r="H2320" s="264" t="n">
        <v>2</v>
      </c>
      <c r="I2320" s="265" t="n">
        <v>127.22</v>
      </c>
      <c r="J2320" s="214" t="n"/>
      <c r="K2320" s="209" t="n"/>
      <c r="L2320" s="425" t="n"/>
      <c r="M2320" s="964" t="n"/>
      <c r="N2320" s="214" t="n"/>
    </row>
    <row r="2321">
      <c r="A2321" s="207" t="n"/>
      <c r="B2321" s="209" t="n"/>
      <c r="C2321" s="207" t="n"/>
      <c r="D2321" s="963" t="n"/>
      <c r="E2321" s="214" t="n"/>
      <c r="F2321" s="267" t="n">
        <v>660025</v>
      </c>
      <c r="G2321" s="263" t="inlineStr">
        <is>
          <t>Colonnina in acciaio spazzolato con base piatta - nastro bianco</t>
        </is>
      </c>
      <c r="H2321" s="264" t="n">
        <v>2</v>
      </c>
      <c r="I2321" s="265" t="n">
        <v>127.22</v>
      </c>
      <c r="J2321" s="214" t="n"/>
      <c r="K2321" s="209" t="n"/>
      <c r="L2321" s="425" t="n"/>
      <c r="M2321" s="964" t="n"/>
      <c r="N2321" s="214" t="n"/>
    </row>
    <row r="2322">
      <c r="A2322" s="207" t="n"/>
      <c r="B2322" s="209" t="n"/>
      <c r="C2322" s="207" t="n"/>
      <c r="D2322" s="963" t="n"/>
      <c r="E2322" s="214" t="n"/>
      <c r="F2322" s="267" t="n">
        <v>660026</v>
      </c>
      <c r="G2322" s="263" t="inlineStr">
        <is>
          <t>Colonnina in acciaio spazzolato con base piatta - nastro verde</t>
        </is>
      </c>
      <c r="H2322" s="264" t="n">
        <v>2</v>
      </c>
      <c r="I2322" s="265" t="n">
        <v>127.22</v>
      </c>
      <c r="J2322" s="214" t="n"/>
      <c r="K2322" s="209" t="n"/>
      <c r="L2322" s="425" t="n"/>
      <c r="M2322" s="964" t="n"/>
      <c r="N2322" s="214" t="n"/>
    </row>
    <row r="2323">
      <c r="A2323" s="207" t="n"/>
      <c r="B2323" s="209" t="n"/>
      <c r="C2323" s="207" t="n"/>
      <c r="D2323" s="963" t="n"/>
      <c r="E2323" s="214" t="n"/>
      <c r="F2323" s="267" t="n">
        <v>660027</v>
      </c>
      <c r="G2323" s="263" t="inlineStr">
        <is>
          <t>Colonnina in acciaio spazzolato con base piatta - nastro arancione</t>
        </is>
      </c>
      <c r="H2323" s="264" t="n">
        <v>2</v>
      </c>
      <c r="I2323" s="265" t="n">
        <v>127.22</v>
      </c>
      <c r="J2323" s="214" t="n"/>
      <c r="K2323" s="209" t="n"/>
      <c r="L2323" s="425" t="n"/>
      <c r="M2323" s="964" t="n"/>
      <c r="N2323" s="214" t="n"/>
    </row>
    <row r="2324">
      <c r="A2324" s="207" t="n"/>
      <c r="B2324" s="209" t="n"/>
      <c r="C2324" s="207" t="n"/>
      <c r="D2324" s="963" t="n"/>
      <c r="E2324" s="214" t="n"/>
      <c r="F2324" s="267" t="n">
        <v>660028</v>
      </c>
      <c r="G2324" s="263" t="inlineStr">
        <is>
          <t>Colonnina in acciaio spazzolato con base piatta - nastro giallo</t>
        </is>
      </c>
      <c r="H2324" s="264" t="n">
        <v>2</v>
      </c>
      <c r="I2324" s="265" t="n">
        <v>127.22</v>
      </c>
      <c r="J2324" s="214" t="n"/>
      <c r="K2324" s="209" t="n"/>
      <c r="L2324" s="425" t="n"/>
      <c r="M2324" s="964" t="n"/>
      <c r="N2324" s="214" t="n"/>
    </row>
    <row r="2325">
      <c r="A2325" s="207" t="n"/>
      <c r="B2325" s="209" t="n"/>
      <c r="C2325" s="207" t="n"/>
      <c r="D2325" s="963" t="n"/>
      <c r="E2325" s="214" t="n"/>
      <c r="F2325" s="267" t="n">
        <v>660030</v>
      </c>
      <c r="G2325" s="263" t="inlineStr">
        <is>
          <t>Colonnina in acciaio cromato lucido con base piatta - nastro rosso</t>
        </is>
      </c>
      <c r="H2325" s="264" t="n">
        <v>2</v>
      </c>
      <c r="I2325" s="265" t="n">
        <v>127.22</v>
      </c>
      <c r="J2325" s="214" t="n"/>
      <c r="K2325" s="208" t="n"/>
      <c r="L2325" s="424" t="n"/>
      <c r="M2325" s="961" t="n"/>
      <c r="N2325" s="214" t="n"/>
    </row>
    <row r="2326">
      <c r="A2326" s="207" t="n"/>
      <c r="B2326" s="209" t="n"/>
      <c r="C2326" s="207" t="n"/>
      <c r="D2326" s="963" t="n"/>
      <c r="E2326" s="214" t="n"/>
      <c r="F2326" s="267" t="n">
        <v>660031</v>
      </c>
      <c r="G2326" s="263" t="inlineStr">
        <is>
          <t>Colonnina in acciaio cromato lucido con base piatta - nastro blu</t>
        </is>
      </c>
      <c r="H2326" s="264" t="n">
        <v>2</v>
      </c>
      <c r="I2326" s="265" t="n">
        <v>127.22</v>
      </c>
      <c r="J2326" s="214" t="n"/>
      <c r="K2326" s="209" t="n"/>
      <c r="L2326" s="425" t="n"/>
      <c r="M2326" s="964" t="n"/>
      <c r="N2326" s="214" t="n"/>
    </row>
    <row r="2327">
      <c r="A2327" s="207" t="n"/>
      <c r="B2327" s="209" t="n"/>
      <c r="C2327" s="207" t="n"/>
      <c r="D2327" s="963" t="n"/>
      <c r="E2327" s="214" t="n"/>
      <c r="F2327" s="267" t="n">
        <v>660032</v>
      </c>
      <c r="G2327" s="263" t="inlineStr">
        <is>
          <t>Colonnina in acciaio cromato lucido con base piatta - nastro nero</t>
        </is>
      </c>
      <c r="H2327" s="264" t="n">
        <v>2</v>
      </c>
      <c r="I2327" s="265" t="n">
        <v>127.22</v>
      </c>
      <c r="J2327" s="214" t="n"/>
      <c r="K2327" s="209" t="n"/>
      <c r="L2327" s="425" t="n"/>
      <c r="M2327" s="964" t="n"/>
      <c r="N2327" s="214" t="n"/>
    </row>
    <row r="2328">
      <c r="A2328" s="207" t="n"/>
      <c r="B2328" s="209" t="n"/>
      <c r="C2328" s="207" t="n"/>
      <c r="D2328" s="963" t="n"/>
      <c r="E2328" s="214" t="n"/>
      <c r="F2328" s="267" t="n">
        <v>660033</v>
      </c>
      <c r="G2328" s="263" t="inlineStr">
        <is>
          <t>Colonnina in acciaio cromato lucido con base piatta - nastro giallo/nero</t>
        </is>
      </c>
      <c r="H2328" s="264" t="n">
        <v>2</v>
      </c>
      <c r="I2328" s="265" t="n">
        <v>127.22</v>
      </c>
      <c r="J2328" s="214" t="n"/>
      <c r="K2328" s="209" t="n"/>
      <c r="L2328" s="425" t="n"/>
      <c r="M2328" s="964" t="n"/>
      <c r="N2328" s="214" t="n"/>
    </row>
    <row r="2329">
      <c r="A2329" s="207" t="n"/>
      <c r="B2329" s="209" t="n"/>
      <c r="C2329" s="207" t="n"/>
      <c r="D2329" s="963" t="n"/>
      <c r="E2329" s="214" t="n"/>
      <c r="F2329" s="267" t="n">
        <v>660034</v>
      </c>
      <c r="G2329" s="263" t="inlineStr">
        <is>
          <t>Colonnina in acciaio cromato lucido con base piatta - nastro bianco/rosso</t>
        </is>
      </c>
      <c r="H2329" s="264" t="n">
        <v>2</v>
      </c>
      <c r="I2329" s="265" t="n">
        <v>127.22</v>
      </c>
      <c r="J2329" s="214" t="n"/>
      <c r="K2329" s="209" t="n"/>
      <c r="L2329" s="425" t="n"/>
      <c r="M2329" s="964" t="n"/>
      <c r="N2329" s="214" t="n"/>
    </row>
    <row r="2330">
      <c r="A2330" s="207" t="n"/>
      <c r="B2330" s="209" t="n"/>
      <c r="C2330" s="207" t="n"/>
      <c r="D2330" s="963" t="n"/>
      <c r="E2330" s="214" t="n"/>
      <c r="F2330" s="267" t="n">
        <v>660035</v>
      </c>
      <c r="G2330" s="263" t="inlineStr">
        <is>
          <t>Colonnina in acciaio cromato lucido con base piatta - nastro bianco</t>
        </is>
      </c>
      <c r="H2330" s="264" t="n">
        <v>2</v>
      </c>
      <c r="I2330" s="265" t="n">
        <v>127.22</v>
      </c>
      <c r="J2330" s="214" t="n"/>
      <c r="K2330" s="209" t="n"/>
      <c r="L2330" s="425" t="n"/>
      <c r="M2330" s="964" t="n"/>
      <c r="N2330" s="214" t="n"/>
    </row>
    <row r="2331">
      <c r="A2331" s="207" t="n"/>
      <c r="B2331" s="209" t="n"/>
      <c r="C2331" s="207" t="n"/>
      <c r="D2331" s="963" t="n"/>
      <c r="E2331" s="214" t="n"/>
      <c r="F2331" s="267" t="n">
        <v>660036</v>
      </c>
      <c r="G2331" s="263" t="inlineStr">
        <is>
          <t>Colonnina in acciaio cromato lucido con base piatta - nastro verde</t>
        </is>
      </c>
      <c r="H2331" s="264" t="n">
        <v>2</v>
      </c>
      <c r="I2331" s="265" t="n">
        <v>127.22</v>
      </c>
      <c r="J2331" s="214" t="n"/>
      <c r="K2331" s="209" t="n"/>
      <c r="L2331" s="425" t="n"/>
      <c r="M2331" s="964" t="n"/>
      <c r="N2331" s="214" t="n"/>
    </row>
    <row r="2332">
      <c r="A2332" s="207" t="n"/>
      <c r="B2332" s="209" t="n"/>
      <c r="C2332" s="207" t="n"/>
      <c r="D2332" s="963" t="n"/>
      <c r="E2332" s="214" t="n"/>
      <c r="F2332" s="267" t="n">
        <v>660037</v>
      </c>
      <c r="G2332" s="263" t="inlineStr">
        <is>
          <t>Colonnina in acciaio cromato lucido con base piatta - nastro arancione</t>
        </is>
      </c>
      <c r="H2332" s="264" t="n">
        <v>2</v>
      </c>
      <c r="I2332" s="265" t="n">
        <v>127.22</v>
      </c>
      <c r="J2332" s="214" t="n"/>
      <c r="K2332" s="209" t="n"/>
      <c r="L2332" s="425" t="n"/>
      <c r="M2332" s="964" t="n"/>
      <c r="N2332" s="214" t="n"/>
    </row>
    <row r="2333">
      <c r="A2333" s="207" t="n"/>
      <c r="B2333" s="209" t="n"/>
      <c r="C2333" s="207" t="n"/>
      <c r="D2333" s="963" t="n"/>
      <c r="E2333" s="214" t="n"/>
      <c r="F2333" s="267" t="n">
        <v>660038</v>
      </c>
      <c r="G2333" s="263" t="inlineStr">
        <is>
          <t>Colonnina in acciaio cromato lucido con base piatta - nastro giallo</t>
        </is>
      </c>
      <c r="H2333" s="264" t="n">
        <v>2</v>
      </c>
      <c r="I2333" s="265" t="n">
        <v>127.22</v>
      </c>
      <c r="J2333" s="214" t="n"/>
      <c r="K2333" s="209" t="n"/>
      <c r="L2333" s="425" t="n"/>
      <c r="M2333" s="964" t="n"/>
      <c r="N2333" s="214" t="n"/>
    </row>
    <row r="2334">
      <c r="A2334" s="207" t="n"/>
      <c r="B2334" s="209" t="n"/>
      <c r="C2334" s="207" t="n"/>
      <c r="D2334" s="963" t="n"/>
      <c r="E2334" s="214" t="n"/>
      <c r="F2334" s="267" t="n">
        <v>660040</v>
      </c>
      <c r="G2334" s="263" t="inlineStr">
        <is>
          <t>Colonnina doppio nastro in acciaio spazzolato</t>
        </is>
      </c>
      <c r="H2334" s="264" t="n">
        <v>2</v>
      </c>
      <c r="I2334" s="265" t="n">
        <v>125.659</v>
      </c>
      <c r="J2334" s="214" t="n"/>
      <c r="K2334" s="208" t="n"/>
      <c r="L2334" s="424" t="n"/>
      <c r="M2334" s="961" t="n"/>
      <c r="N2334" s="214" t="n"/>
    </row>
    <row r="2335">
      <c r="A2335" s="207" t="n"/>
      <c r="B2335" s="209" t="n"/>
      <c r="C2335" s="207" t="n"/>
      <c r="D2335" s="963" t="n"/>
      <c r="E2335" s="214" t="n"/>
      <c r="F2335" s="267" t="n">
        <v>660050</v>
      </c>
      <c r="G2335" s="263" t="inlineStr">
        <is>
          <t>Colonnina da esterno rossa</t>
        </is>
      </c>
      <c r="H2335" s="264" t="n">
        <v>2</v>
      </c>
      <c r="I2335" s="265" t="n">
        <v>102.982</v>
      </c>
      <c r="J2335" s="214" t="n"/>
      <c r="K2335" s="209" t="n"/>
      <c r="L2335" s="425" t="n"/>
      <c r="M2335" s="964" t="n"/>
      <c r="N2335" s="214" t="n"/>
    </row>
    <row r="2336">
      <c r="A2336" s="207" t="n"/>
      <c r="B2336" s="209" t="n"/>
      <c r="C2336" s="207" t="n"/>
      <c r="D2336" s="963" t="n"/>
      <c r="E2336" s="214" t="n"/>
      <c r="F2336" s="267" t="n">
        <v>660051</v>
      </c>
      <c r="G2336" s="263" t="inlineStr">
        <is>
          <t>Colonnina da esterno gialla</t>
        </is>
      </c>
      <c r="H2336" s="264" t="n">
        <v>2</v>
      </c>
      <c r="I2336" s="265" t="n">
        <v>102.982</v>
      </c>
      <c r="J2336" s="214" t="n"/>
      <c r="K2336" s="209" t="n"/>
      <c r="L2336" s="425" t="n"/>
      <c r="M2336" s="964" t="n"/>
      <c r="N2336" s="214" t="n"/>
    </row>
    <row r="2337">
      <c r="A2337" s="207" t="n"/>
      <c r="B2337" s="209" t="n"/>
      <c r="C2337" s="207" t="n"/>
      <c r="D2337" s="963" t="n"/>
      <c r="E2337" s="214" t="n"/>
      <c r="F2337" s="267" t="n">
        <v>660100</v>
      </c>
      <c r="G2337" s="263" t="inlineStr">
        <is>
          <t>Supporto per porta messaggio verticale - A4</t>
        </is>
      </c>
      <c r="H2337" s="264" t="n">
        <v>2</v>
      </c>
      <c r="I2337" s="265" t="n">
        <v>52.92</v>
      </c>
      <c r="J2337" s="214" t="n"/>
      <c r="K2337" s="209" t="n"/>
      <c r="L2337" s="425" t="n"/>
      <c r="M2337" s="964" t="n"/>
      <c r="N2337" s="214" t="n"/>
    </row>
    <row r="2338">
      <c r="A2338" s="207" t="n"/>
      <c r="B2338" s="209" t="n"/>
      <c r="C2338" s="207" t="n"/>
      <c r="D2338" s="963" t="n"/>
      <c r="E2338" s="214" t="n"/>
      <c r="F2338" s="267" t="n">
        <v>660101</v>
      </c>
      <c r="G2338" s="263" t="inlineStr">
        <is>
          <t>Supporto per porta messaggio orizzontale - A4</t>
        </is>
      </c>
      <c r="H2338" s="264" t="n">
        <v>2</v>
      </c>
      <c r="I2338" s="265" t="n">
        <v>52.92</v>
      </c>
      <c r="J2338" s="214" t="n"/>
      <c r="K2338" s="209" t="n"/>
      <c r="L2338" s="425" t="n"/>
      <c r="M2338" s="964" t="n"/>
      <c r="N2338" s="214" t="n"/>
    </row>
    <row r="2339">
      <c r="A2339" s="207" t="n"/>
      <c r="B2339" s="209" t="n"/>
      <c r="C2339" s="207" t="n"/>
      <c r="D2339" s="963" t="n"/>
      <c r="E2339" s="214" t="n"/>
      <c r="F2339" s="267" t="n">
        <v>660102</v>
      </c>
      <c r="G2339" s="263" t="inlineStr">
        <is>
          <t>Supporto per porta messaggio verticale - A3</t>
        </is>
      </c>
      <c r="H2339" s="264" t="n">
        <v>2</v>
      </c>
      <c r="I2339" s="265" t="n">
        <v>67.155</v>
      </c>
      <c r="J2339" s="214" t="n"/>
      <c r="K2339" s="209" t="n"/>
      <c r="L2339" s="425" t="n"/>
      <c r="M2339" s="964" t="n"/>
      <c r="N2339" s="214" t="n"/>
    </row>
    <row r="2340">
      <c r="A2340" s="207" t="n"/>
      <c r="B2340" s="209" t="n"/>
      <c r="C2340" s="207" t="n"/>
      <c r="D2340" s="963" t="n"/>
      <c r="E2340" s="214" t="n"/>
      <c r="F2340" s="267" t="n">
        <v>660103</v>
      </c>
      <c r="G2340" s="263" t="inlineStr">
        <is>
          <t>Supporto per porta messaggio orizzontale - A3</t>
        </is>
      </c>
      <c r="H2340" s="264" t="n">
        <v>2</v>
      </c>
      <c r="I2340" s="265" t="n">
        <v>71.23</v>
      </c>
      <c r="J2340" s="214" t="n"/>
      <c r="K2340" s="209" t="n"/>
      <c r="L2340" s="425" t="n"/>
      <c r="M2340" s="964" t="n"/>
      <c r="N2340" s="214" t="n"/>
    </row>
    <row r="2341">
      <c r="A2341" s="207" t="n"/>
      <c r="B2341" s="209" t="n"/>
      <c r="C2341" s="207" t="n"/>
      <c r="D2341" s="963" t="n"/>
      <c r="E2341" s="214" t="n"/>
      <c r="F2341" s="267" t="n">
        <v>660110</v>
      </c>
      <c r="G2341" s="263" t="inlineStr">
        <is>
          <t>Supporto con porta brochures 4 tasche - A4</t>
        </is>
      </c>
      <c r="H2341" s="264" t="n">
        <v>2</v>
      </c>
      <c r="I2341" s="265" t="n">
        <v>72.447</v>
      </c>
      <c r="J2341" s="214" t="n"/>
      <c r="K2341" s="209" t="n"/>
      <c r="L2341" s="425" t="n"/>
      <c r="M2341" s="964" t="n"/>
      <c r="N2341" s="214" t="n"/>
    </row>
    <row r="2342">
      <c r="A2342" s="207" t="n"/>
      <c r="B2342" s="209" t="n"/>
      <c r="C2342" s="207" t="n"/>
      <c r="D2342" s="963" t="n"/>
      <c r="E2342" s="214" t="n"/>
      <c r="F2342" s="267" t="n">
        <v>660111</v>
      </c>
      <c r="G2342" s="263" t="inlineStr">
        <is>
          <t>Supporto con porta brochures 3 tasche - A4</t>
        </is>
      </c>
      <c r="H2342" s="264" t="n">
        <v>2</v>
      </c>
      <c r="I2342" s="265" t="n">
        <v>72.051</v>
      </c>
      <c r="J2342" s="214" t="n"/>
      <c r="K2342" s="209" t="n"/>
      <c r="L2342" s="425" t="n"/>
      <c r="M2342" s="964" t="n"/>
      <c r="N2342" s="214" t="n"/>
    </row>
    <row r="2343">
      <c r="A2343" s="207" t="n"/>
      <c r="B2343" s="209" t="n"/>
      <c r="C2343" s="207" t="n"/>
      <c r="D2343" s="963" t="n"/>
      <c r="E2343" s="214" t="n"/>
      <c r="F2343" s="267" t="n">
        <v>660112</v>
      </c>
      <c r="G2343" s="263" t="inlineStr">
        <is>
          <t>Supporto con porta brochures 2 tasche - A4</t>
        </is>
      </c>
      <c r="H2343" s="264" t="n">
        <v>2</v>
      </c>
      <c r="I2343" s="265" t="n">
        <v>53.74</v>
      </c>
      <c r="J2343" s="214" t="n"/>
      <c r="K2343" s="209" t="n"/>
      <c r="L2343" s="425" t="n"/>
      <c r="M2343" s="964" t="n"/>
      <c r="N2343" s="214" t="n"/>
    </row>
    <row r="2344">
      <c r="A2344" s="207" t="n"/>
      <c r="B2344" s="209" t="n"/>
      <c r="C2344" s="207" t="n"/>
      <c r="D2344" s="963" t="n"/>
      <c r="E2344" s="214" t="n"/>
      <c r="F2344" s="267" t="n">
        <v>660113</v>
      </c>
      <c r="G2344" s="263" t="inlineStr">
        <is>
          <t>Supporto con porta brochures 1 tasca - A4</t>
        </is>
      </c>
      <c r="H2344" s="264" t="n">
        <v>2</v>
      </c>
      <c r="I2344" s="265" t="n">
        <v>48.845</v>
      </c>
      <c r="J2344" s="214" t="n"/>
      <c r="K2344" s="209" t="n"/>
      <c r="L2344" s="425" t="n"/>
      <c r="M2344" s="964" t="n"/>
      <c r="N2344" s="214" t="n"/>
    </row>
    <row r="2345">
      <c r="A2345" s="207" t="n"/>
      <c r="B2345" s="209" t="n"/>
      <c r="C2345" s="207" t="n"/>
      <c r="D2345" s="963" t="n"/>
      <c r="E2345" s="214" t="n"/>
      <c r="F2345" s="267" t="n">
        <v>660114</v>
      </c>
      <c r="G2345" s="263" t="inlineStr">
        <is>
          <t>Supporto con porta brochures 4 tasche - A5</t>
        </is>
      </c>
      <c r="H2345" s="264" t="n">
        <v>2</v>
      </c>
      <c r="I2345" s="265" t="n">
        <v>53.317</v>
      </c>
      <c r="J2345" s="214" t="n"/>
      <c r="K2345" s="209" t="n"/>
      <c r="L2345" s="425" t="n"/>
      <c r="M2345" s="964" t="n"/>
      <c r="N2345" s="214" t="n"/>
    </row>
    <row r="2346">
      <c r="A2346" s="207" t="n"/>
      <c r="B2346" s="209" t="n"/>
      <c r="C2346" s="207" t="n"/>
      <c r="D2346" s="963" t="n"/>
      <c r="E2346" s="214" t="n"/>
      <c r="F2346" s="267" t="n">
        <v>660115</v>
      </c>
      <c r="G2346" s="263" t="inlineStr">
        <is>
          <t>Supporto con porta brochures 3 tasche - A5</t>
        </is>
      </c>
      <c r="H2346" s="264" t="n">
        <v>2</v>
      </c>
      <c r="I2346" s="265" t="n">
        <v>52.1</v>
      </c>
      <c r="J2346" s="214" t="n"/>
      <c r="K2346" s="209" t="n"/>
      <c r="L2346" s="425" t="n"/>
      <c r="M2346" s="964" t="n"/>
      <c r="N2346" s="214" t="n"/>
    </row>
    <row r="2347">
      <c r="A2347" s="207" t="n"/>
      <c r="B2347" s="209" t="n"/>
      <c r="C2347" s="207" t="n"/>
      <c r="D2347" s="963" t="n"/>
      <c r="E2347" s="214" t="n"/>
      <c r="F2347" s="267" t="n">
        <v>660116</v>
      </c>
      <c r="G2347" s="263" t="inlineStr">
        <is>
          <t>Supporto con porta brochures 1 tasca - A5</t>
        </is>
      </c>
      <c r="H2347" s="264" t="n">
        <v>2</v>
      </c>
      <c r="I2347" s="265" t="n">
        <v>42.733</v>
      </c>
      <c r="J2347" s="214" t="n"/>
      <c r="K2347" s="208" t="n"/>
      <c r="L2347" s="424" t="n"/>
      <c r="M2347" s="961" t="n"/>
      <c r="N2347" s="214" t="n"/>
    </row>
    <row r="2348">
      <c r="A2348" s="207" t="n"/>
      <c r="B2348" s="209" t="n"/>
      <c r="C2348" s="207" t="n"/>
      <c r="D2348" s="963" t="n"/>
      <c r="E2348" s="214" t="n"/>
      <c r="F2348" s="267" t="n">
        <v>660117</v>
      </c>
      <c r="G2348" s="263" t="inlineStr">
        <is>
          <t>Supporto con porta brochures 12 tasche - 1/3 A4</t>
        </is>
      </c>
      <c r="H2348" s="264" t="n">
        <v>2</v>
      </c>
      <c r="I2348" s="265" t="n">
        <v>100.945</v>
      </c>
      <c r="J2348" s="214" t="n"/>
      <c r="K2348" s="208" t="n"/>
      <c r="L2348" s="424" t="n"/>
      <c r="M2348" s="961" t="n"/>
      <c r="N2348" s="214" t="n"/>
    </row>
    <row r="2349">
      <c r="A2349" s="207" t="n"/>
      <c r="B2349" s="209" t="n"/>
      <c r="C2349" s="207" t="n"/>
      <c r="D2349" s="963" t="n"/>
      <c r="E2349" s="214" t="n"/>
      <c r="F2349" s="267" t="n">
        <v>660118</v>
      </c>
      <c r="G2349" s="263" t="inlineStr">
        <is>
          <t>Supporto con porta brochures 3 tasche - 1/3 A4</t>
        </is>
      </c>
      <c r="H2349" s="264" t="n">
        <v>2</v>
      </c>
      <c r="I2349" s="265" t="n">
        <v>50.883</v>
      </c>
      <c r="J2349" s="214" t="n"/>
      <c r="K2349" s="208" t="n"/>
      <c r="L2349" s="424" t="n"/>
      <c r="M2349" s="961" t="n"/>
      <c r="N2349" s="214" t="n"/>
    </row>
    <row r="2350">
      <c r="A2350" s="207" t="n"/>
      <c r="B2350" s="209" t="n"/>
      <c r="C2350" s="207" t="n"/>
      <c r="D2350" s="963" t="n"/>
      <c r="E2350" s="214" t="n"/>
      <c r="F2350" s="267" t="n">
        <v>660119</v>
      </c>
      <c r="G2350" s="263" t="inlineStr">
        <is>
          <t>Supporto con porta oggetti in metacrilato mm 350x350x165</t>
        </is>
      </c>
      <c r="H2350" s="264" t="n">
        <v>2</v>
      </c>
      <c r="I2350" s="265" t="n">
        <v>107.877</v>
      </c>
      <c r="J2350" s="214" t="n"/>
      <c r="K2350" s="208" t="n"/>
      <c r="L2350" s="424" t="n"/>
      <c r="M2350" s="961" t="n"/>
      <c r="N2350" s="214" t="n"/>
    </row>
    <row r="2351">
      <c r="A2351" s="207" t="n"/>
      <c r="B2351" s="209" t="n"/>
      <c r="C2351" s="207" t="n"/>
      <c r="D2351" s="963" t="n"/>
      <c r="E2351" s="214" t="n"/>
      <c r="F2351" s="267" t="n">
        <v>660130</v>
      </c>
      <c r="G2351" s="263" t="inlineStr">
        <is>
          <t>Attacchi a muro nastro m 3</t>
        </is>
      </c>
      <c r="H2351" s="264" t="n">
        <v>2</v>
      </c>
      <c r="I2351" s="265" t="n">
        <v>47.152</v>
      </c>
      <c r="J2351" s="214" t="n"/>
      <c r="K2351" s="208" t="n"/>
      <c r="L2351" s="424" t="n"/>
      <c r="M2351" s="961" t="n"/>
      <c r="N2351" s="214" t="n"/>
    </row>
    <row r="2352">
      <c r="A2352" s="207" t="n"/>
      <c r="B2352" s="209" t="n"/>
      <c r="C2352" s="207" t="n"/>
      <c r="D2352" s="963" t="n"/>
      <c r="E2352" s="214" t="n"/>
      <c r="F2352" s="262" t="n">
        <v>660132</v>
      </c>
      <c r="G2352" s="263" t="inlineStr">
        <is>
          <t>Clip ricevente a muro</t>
        </is>
      </c>
      <c r="H2352" s="264" t="n">
        <v>2</v>
      </c>
      <c r="I2352" s="265" t="n">
        <v>6.721</v>
      </c>
      <c r="J2352" s="214" t="n"/>
      <c r="K2352" s="208" t="n"/>
      <c r="L2352" s="424" t="n"/>
      <c r="M2352" s="961" t="n"/>
      <c r="N2352" s="214" t="n"/>
    </row>
    <row r="2353">
      <c r="A2353" s="207" t="n"/>
      <c r="B2353" s="209" t="n"/>
      <c r="C2353" s="207" t="n"/>
      <c r="D2353" s="963" t="n"/>
      <c r="E2353" s="214" t="n"/>
      <c r="F2353" s="262" t="n">
        <v>660135</v>
      </c>
      <c r="G2353" s="263" t="inlineStr">
        <is>
          <t>Attacco magnetico con nastro nero</t>
        </is>
      </c>
      <c r="H2353" s="264" t="n">
        <v>2</v>
      </c>
      <c r="I2353" s="265" t="n">
        <v>67.05</v>
      </c>
      <c r="J2353" s="214" t="n"/>
      <c r="K2353" s="208" t="n"/>
      <c r="L2353" s="424" t="n"/>
      <c r="M2353" s="961" t="n"/>
      <c r="N2353" s="214" t="n"/>
    </row>
    <row r="2354">
      <c r="A2354" s="207" t="n"/>
      <c r="B2354" s="209" t="n"/>
      <c r="C2354" s="207" t="n"/>
      <c r="D2354" s="963" t="n"/>
      <c r="E2354" s="214" t="n"/>
      <c r="F2354" s="262" t="n">
        <v>660136</v>
      </c>
      <c r="G2354" s="263" t="inlineStr">
        <is>
          <t>Kit antipanico magnetico per nastro</t>
        </is>
      </c>
      <c r="H2354" s="264" t="n">
        <v>2</v>
      </c>
      <c r="I2354" s="265" t="n">
        <v>15.453</v>
      </c>
      <c r="J2354" s="214" t="n"/>
      <c r="K2354" s="208" t="n"/>
      <c r="L2354" s="424" t="n"/>
      <c r="M2354" s="961" t="n"/>
      <c r="N2354" s="214" t="n"/>
    </row>
    <row r="2355" ht="25.5" customHeight="1">
      <c r="A2355" s="207" t="n"/>
      <c r="B2355" s="209" t="n"/>
      <c r="C2355" s="207" t="n"/>
      <c r="D2355" s="963" t="n"/>
      <c r="E2355" s="214" t="n"/>
      <c r="F2355" s="269" t="inlineStr">
        <is>
          <t>350031/370</t>
        </is>
      </c>
      <c r="G2355" s="263" t="inlineStr">
        <is>
          <t>Profilo porta prezzo per ripiano tondo</t>
        </is>
      </c>
      <c r="H2355" s="264" t="n">
        <v>10</v>
      </c>
      <c r="I2355" s="265" t="n">
        <v>3.294</v>
      </c>
      <c r="J2355" s="214" t="n"/>
      <c r="K2355" s="208" t="n"/>
      <c r="L2355" s="424" t="n"/>
      <c r="M2355" s="961" t="n"/>
      <c r="N2355" s="214" t="n"/>
    </row>
    <row r="2356" ht="25.5" customHeight="1">
      <c r="A2356" s="207" t="n"/>
      <c r="B2356" s="209" t="n"/>
      <c r="C2356" s="207" t="n"/>
      <c r="D2356" s="963" t="n"/>
      <c r="E2356" s="214" t="n"/>
      <c r="F2356" s="269" t="inlineStr">
        <is>
          <t>350031/370</t>
        </is>
      </c>
      <c r="G2356" s="263" t="inlineStr">
        <is>
          <t>Profilo porta prezzo per ripiano tondo</t>
        </is>
      </c>
      <c r="H2356" s="264" t="n">
        <v>10</v>
      </c>
      <c r="I2356" s="265" t="n">
        <v>3.294</v>
      </c>
      <c r="J2356" s="214" t="n"/>
      <c r="K2356" s="208" t="n"/>
      <c r="L2356" s="424" t="n"/>
      <c r="M2356" s="961" t="n"/>
      <c r="N2356" s="214" t="n"/>
    </row>
    <row r="2357" ht="25.5" customHeight="1">
      <c r="A2357" s="207" t="n"/>
      <c r="B2357" s="209" t="n"/>
      <c r="C2357" s="207" t="n"/>
      <c r="D2357" s="963" t="n"/>
      <c r="E2357" s="214" t="n"/>
      <c r="F2357" s="269" t="inlineStr">
        <is>
          <t>350031/540</t>
        </is>
      </c>
      <c r="G2357" s="263" t="inlineStr">
        <is>
          <t>Profilo porta prezzo per ripiano a semicerchio</t>
        </is>
      </c>
      <c r="H2357" s="264" t="n">
        <v>10</v>
      </c>
      <c r="I2357" s="265" t="n">
        <v>3.294</v>
      </c>
      <c r="J2357" s="214" t="n"/>
      <c r="K2357" s="208" t="n"/>
      <c r="L2357" s="424" t="n"/>
      <c r="M2357" s="961" t="n"/>
      <c r="N2357" s="214" t="n"/>
    </row>
    <row r="2358" ht="25.5" customHeight="1">
      <c r="A2358" s="207" t="n"/>
      <c r="B2358" s="209" t="n"/>
      <c r="C2358" s="207" t="n"/>
      <c r="D2358" s="963" t="n"/>
      <c r="E2358" s="214" t="n"/>
      <c r="F2358" s="269" t="inlineStr">
        <is>
          <t>350041/300</t>
        </is>
      </c>
      <c r="G2358" s="263" t="inlineStr">
        <is>
          <t>Profilo porta prezzo per ripiano quadrato</t>
        </is>
      </c>
      <c r="H2358" s="264" t="n">
        <v>10</v>
      </c>
      <c r="I2358" s="265" t="n">
        <v>0.551</v>
      </c>
      <c r="J2358" s="214" t="n"/>
      <c r="K2358" s="208" t="n"/>
      <c r="L2358" s="424" t="n"/>
      <c r="M2358" s="961" t="n"/>
      <c r="N2358" s="214" t="n"/>
    </row>
    <row r="2359" ht="25.5" customHeight="1">
      <c r="A2359" s="207" t="n"/>
      <c r="B2359" s="209" t="n"/>
      <c r="C2359" s="207" t="n"/>
      <c r="D2359" s="963" t="n"/>
      <c r="E2359" s="214" t="n"/>
      <c r="F2359" s="269" t="inlineStr">
        <is>
          <t>350041/300</t>
        </is>
      </c>
      <c r="G2359" s="263" t="inlineStr">
        <is>
          <t>Profilo porta prezzo per ripiano quadrato</t>
        </is>
      </c>
      <c r="H2359" s="264" t="n">
        <v>10</v>
      </c>
      <c r="I2359" s="265" t="n">
        <v>0.551</v>
      </c>
      <c r="J2359" s="214" t="n"/>
      <c r="K2359" s="208" t="n"/>
      <c r="L2359" s="424" t="n"/>
      <c r="M2359" s="961" t="n"/>
      <c r="N2359" s="214" t="n"/>
    </row>
    <row r="2360" ht="25.5" customHeight="1">
      <c r="A2360" s="207" t="n"/>
      <c r="B2360" s="209" t="n"/>
      <c r="C2360" s="207" t="n"/>
      <c r="D2360" s="963" t="n"/>
      <c r="E2360" s="214" t="n"/>
      <c r="F2360" s="269" t="inlineStr">
        <is>
          <t>350041/490</t>
        </is>
      </c>
      <c r="G2360" s="263" t="inlineStr">
        <is>
          <t>Profilo porta prezzo per ripiano rettangolare</t>
        </is>
      </c>
      <c r="H2360" s="264" t="n">
        <v>10</v>
      </c>
      <c r="I2360" s="265" t="n">
        <v>1.092</v>
      </c>
      <c r="J2360" s="214" t="n"/>
      <c r="K2360" s="208" t="n"/>
      <c r="L2360" s="424" t="n"/>
      <c r="M2360" s="961" t="n"/>
      <c r="N2360" s="214" t="n"/>
    </row>
    <row r="2361" ht="25.5" customHeight="1">
      <c r="A2361" s="207" t="n"/>
      <c r="B2361" s="209" t="n"/>
      <c r="C2361" s="207" t="n"/>
      <c r="D2361" s="963" t="n"/>
      <c r="E2361" s="214" t="n"/>
      <c r="F2361" s="269" t="inlineStr">
        <is>
          <t>350041/490</t>
        </is>
      </c>
      <c r="G2361" s="263" t="inlineStr">
        <is>
          <t>Profilo porta prezzo per ripiano rettangolare</t>
        </is>
      </c>
      <c r="H2361" s="264" t="n">
        <v>10</v>
      </c>
      <c r="I2361" s="265" t="n">
        <v>1.092</v>
      </c>
      <c r="J2361" s="214" t="n"/>
      <c r="K2361" s="208" t="n"/>
      <c r="L2361" s="424" t="n"/>
      <c r="M2361" s="961" t="n"/>
      <c r="N2361" s="214" t="n"/>
    </row>
    <row r="2362" ht="25.5" customHeight="1">
      <c r="A2362" s="207" t="n"/>
      <c r="B2362" s="209" t="n"/>
      <c r="C2362" s="207" t="n"/>
      <c r="D2362" s="963" t="n"/>
      <c r="E2362" s="214" t="n"/>
      <c r="F2362" s="269" t="inlineStr">
        <is>
          <t>350060/720</t>
        </is>
      </c>
      <c r="G2362" s="263" t="inlineStr">
        <is>
          <t>Profilo porta prezzo per ripiano maxi</t>
        </is>
      </c>
      <c r="H2362" s="264" t="n">
        <v>10</v>
      </c>
      <c r="I2362" s="265" t="n">
        <v>3.262</v>
      </c>
      <c r="J2362" s="214" t="n"/>
      <c r="K2362" s="208" t="n"/>
      <c r="L2362" s="424" t="n"/>
      <c r="M2362" s="961" t="n"/>
      <c r="N2362" s="214" t="n"/>
    </row>
    <row r="2363" ht="25.5" customHeight="1">
      <c r="A2363" s="207" t="n"/>
      <c r="B2363" s="209" t="n"/>
      <c r="C2363" s="207" t="n"/>
      <c r="D2363" s="963" t="n"/>
      <c r="E2363" s="214" t="n"/>
      <c r="F2363" s="269" t="inlineStr">
        <is>
          <t>350060/720</t>
        </is>
      </c>
      <c r="G2363" s="263" t="inlineStr">
        <is>
          <t>Profilo porta prezzo per ripiano maxi</t>
        </is>
      </c>
      <c r="H2363" s="264" t="n">
        <v>10</v>
      </c>
      <c r="I2363" s="265" t="n">
        <v>3.262</v>
      </c>
      <c r="J2363" s="214" t="n"/>
      <c r="K2363" s="208" t="n"/>
      <c r="L2363" s="424" t="n"/>
      <c r="M2363" s="961" t="n"/>
      <c r="N2363" s="214" t="n"/>
    </row>
    <row r="2364" ht="25.5" customHeight="1">
      <c r="A2364" s="207" t="n"/>
      <c r="B2364" s="209" t="n"/>
      <c r="C2364" s="207" t="n"/>
      <c r="D2364" s="963" t="n"/>
      <c r="E2364" s="214" t="n"/>
      <c r="F2364" s="269" t="inlineStr">
        <is>
          <t>350450/530</t>
        </is>
      </c>
      <c r="G2364" s="263" t="inlineStr">
        <is>
          <t>Profilo pvc per frontale ripiano</t>
        </is>
      </c>
      <c r="H2364" s="264" t="n">
        <v>100</v>
      </c>
      <c r="I2364" s="265" t="n">
        <v>1.263</v>
      </c>
      <c r="J2364" s="214" t="n"/>
      <c r="K2364" s="208" t="n"/>
      <c r="L2364" s="424" t="n"/>
      <c r="M2364" s="961" t="n"/>
      <c r="N2364" s="214" t="n"/>
    </row>
    <row r="2365">
      <c r="A2365" s="207" t="n"/>
      <c r="B2365" s="209" t="n"/>
      <c r="C2365" s="207" t="n"/>
      <c r="D2365" s="963" t="n"/>
      <c r="E2365" s="214" t="n"/>
      <c r="F2365" s="269" t="inlineStr">
        <is>
          <t>NOTTO1</t>
        </is>
      </c>
      <c r="G2365" s="263" t="inlineStr">
        <is>
          <t>NOTTOLINO</t>
        </is>
      </c>
      <c r="H2365" s="264" t="n">
        <v>100</v>
      </c>
      <c r="I2365" s="265" t="n">
        <v>0.034</v>
      </c>
      <c r="J2365" s="214" t="n"/>
      <c r="K2365" s="208" t="n"/>
      <c r="L2365" s="424" t="n"/>
      <c r="M2365" s="961" t="n"/>
      <c r="N2365" s="214" t="n"/>
    </row>
    <row r="2366">
      <c r="A2366" s="207" t="n"/>
      <c r="B2366" s="209" t="n"/>
      <c r="C2366" s="207" t="n"/>
      <c r="D2366" s="963" t="n"/>
      <c r="E2366" s="214" t="n"/>
      <c r="F2366" s="269" t="inlineStr">
        <is>
          <t>P10A10</t>
        </is>
      </c>
      <c r="G2366" s="263" t="inlineStr">
        <is>
          <t>Doppia pinza</t>
        </is>
      </c>
      <c r="H2366" s="264" t="n">
        <v>100</v>
      </c>
      <c r="I2366" s="265" t="n">
        <v>1.016</v>
      </c>
      <c r="J2366" s="214" t="n"/>
      <c r="K2366" s="208" t="n"/>
      <c r="L2366" s="424" t="n"/>
      <c r="M2366" s="961" t="n"/>
      <c r="N2366" s="214" t="n"/>
    </row>
    <row r="2367">
      <c r="A2367" s="207" t="n"/>
      <c r="B2367" s="209" t="n"/>
      <c r="C2367" s="207" t="n"/>
      <c r="D2367" s="963" t="n"/>
      <c r="E2367" s="214" t="n"/>
      <c r="F2367" s="269" t="inlineStr">
        <is>
          <t>P10A11</t>
        </is>
      </c>
      <c r="G2367" s="263" t="inlineStr">
        <is>
          <t>Pinza e mini pinza</t>
        </is>
      </c>
      <c r="H2367" s="264" t="n">
        <v>100</v>
      </c>
      <c r="I2367" s="265" t="n">
        <v>0.754</v>
      </c>
      <c r="J2367" s="214" t="n"/>
      <c r="K2367" s="208" t="n"/>
      <c r="L2367" s="424" t="n"/>
      <c r="M2367" s="961" t="n"/>
      <c r="N2367" s="214" t="n"/>
    </row>
    <row r="2368">
      <c r="A2368" s="207" t="n"/>
      <c r="B2368" s="209" t="n"/>
      <c r="C2368" s="207" t="n"/>
      <c r="D2368" s="963" t="n"/>
      <c r="E2368" s="214" t="n"/>
      <c r="F2368" s="269" t="inlineStr">
        <is>
          <t>P10A31</t>
        </is>
      </c>
      <c r="G2368" s="263" t="inlineStr">
        <is>
          <t>Pinza con porta messaggio mm. 50</t>
        </is>
      </c>
      <c r="H2368" s="264" t="n">
        <v>100</v>
      </c>
      <c r="I2368" s="265" t="n">
        <v>0.754</v>
      </c>
      <c r="J2368" s="214" t="n"/>
      <c r="K2368" s="208" t="n"/>
      <c r="L2368" s="424" t="n"/>
      <c r="M2368" s="961" t="n"/>
      <c r="N2368" s="214" t="n"/>
    </row>
    <row r="2369">
      <c r="A2369" s="207" t="n"/>
      <c r="B2369" s="209" t="n"/>
      <c r="C2369" s="207" t="n"/>
      <c r="D2369" s="963" t="n"/>
      <c r="E2369" s="214" t="n"/>
      <c r="F2369" s="269" t="inlineStr">
        <is>
          <t>P10A32</t>
        </is>
      </c>
      <c r="G2369" s="263" t="inlineStr">
        <is>
          <t>Pinza con porta messaggio mm. 27</t>
        </is>
      </c>
      <c r="H2369" s="264" t="n">
        <v>100</v>
      </c>
      <c r="I2369" s="265" t="n">
        <v>0.634</v>
      </c>
      <c r="J2369" s="214" t="n"/>
      <c r="K2369" s="208" t="n"/>
      <c r="L2369" s="424" t="n"/>
      <c r="M2369" s="961" t="n"/>
      <c r="N2369" s="214" t="n"/>
    </row>
    <row r="2370">
      <c r="A2370" s="207" t="n"/>
      <c r="B2370" s="209" t="n"/>
      <c r="C2370" s="207" t="n"/>
      <c r="D2370" s="963" t="n"/>
      <c r="E2370" s="214" t="n"/>
      <c r="F2370" s="269" t="inlineStr">
        <is>
          <t>P10A33</t>
        </is>
      </c>
      <c r="G2370" s="263" t="inlineStr">
        <is>
          <t>Pinza con porta messaggio a pinza mm. 80</t>
        </is>
      </c>
      <c r="H2370" s="264" t="n">
        <v>100</v>
      </c>
      <c r="I2370" s="265" t="n">
        <v>1.068</v>
      </c>
      <c r="J2370" s="214" t="n"/>
      <c r="K2370" s="208" t="n"/>
      <c r="L2370" s="424" t="n"/>
      <c r="M2370" s="961" t="n"/>
      <c r="N2370" s="214" t="n"/>
    </row>
    <row r="2371">
      <c r="A2371" s="207" t="n"/>
      <c r="B2371" s="209" t="n"/>
      <c r="C2371" s="207" t="n"/>
      <c r="D2371" s="963" t="n"/>
      <c r="E2371" s="214" t="n"/>
      <c r="F2371" s="269" t="inlineStr">
        <is>
          <t>P10A34</t>
        </is>
      </c>
      <c r="G2371" s="263" t="inlineStr">
        <is>
          <t>Pinza con porta messaggio a pinza mm. 56</t>
        </is>
      </c>
      <c r="H2371" s="264" t="n">
        <v>100</v>
      </c>
      <c r="I2371" s="265" t="n">
        <v>0.905</v>
      </c>
      <c r="J2371" s="214" t="n"/>
      <c r="K2371" s="208" t="n"/>
      <c r="L2371" s="424" t="n"/>
      <c r="M2371" s="961" t="n"/>
      <c r="N2371" s="214" t="n"/>
    </row>
    <row r="2372">
      <c r="A2372" s="207" t="n"/>
      <c r="B2372" s="209" t="n"/>
      <c r="C2372" s="207" t="n"/>
      <c r="D2372" s="963" t="n"/>
      <c r="E2372" s="214" t="n"/>
      <c r="F2372" s="269" t="inlineStr">
        <is>
          <t>P10B10</t>
        </is>
      </c>
      <c r="G2372" s="263" t="inlineStr">
        <is>
          <t>Doppia pinza con asta mm. 15</t>
        </is>
      </c>
      <c r="H2372" s="264" t="n">
        <v>100</v>
      </c>
      <c r="I2372" s="265" t="n">
        <v>1.245</v>
      </c>
      <c r="J2372" s="214" t="n"/>
      <c r="K2372" s="208" t="n"/>
      <c r="L2372" s="424" t="n"/>
      <c r="M2372" s="961" t="n"/>
      <c r="N2372" s="214" t="n"/>
    </row>
    <row r="2373">
      <c r="A2373" s="207" t="n"/>
      <c r="B2373" s="209" t="n"/>
      <c r="C2373" s="207" t="n"/>
      <c r="D2373" s="963" t="n"/>
      <c r="E2373" s="214" t="n"/>
      <c r="F2373" s="269" t="inlineStr">
        <is>
          <t>P10B11</t>
        </is>
      </c>
      <c r="G2373" s="263" t="inlineStr">
        <is>
          <t>Pinza con asta mm. 15 e mini pinza</t>
        </is>
      </c>
      <c r="H2373" s="264" t="n">
        <v>100</v>
      </c>
      <c r="I2373" s="265" t="n">
        <v>0.856</v>
      </c>
      <c r="J2373" s="214" t="n"/>
      <c r="K2373" s="208" t="n"/>
      <c r="L2373" s="424" t="n"/>
      <c r="M2373" s="961" t="n"/>
      <c r="N2373" s="214" t="n"/>
    </row>
    <row r="2374">
      <c r="A2374" s="207" t="n"/>
      <c r="B2374" s="209" t="n"/>
      <c r="C2374" s="207" t="n"/>
      <c r="D2374" s="963" t="n"/>
      <c r="E2374" s="214" t="n"/>
      <c r="F2374" s="269" t="inlineStr">
        <is>
          <t>P10B31</t>
        </is>
      </c>
      <c r="G2374" s="263" t="inlineStr">
        <is>
          <t>Pinza con asta mm. 15 e porta messaggio mm. 50</t>
        </is>
      </c>
      <c r="H2374" s="264" t="n">
        <v>100</v>
      </c>
      <c r="I2374" s="265" t="n">
        <v>0.849</v>
      </c>
      <c r="J2374" s="214" t="n"/>
      <c r="K2374" s="208" t="n"/>
      <c r="L2374" s="424" t="n"/>
      <c r="M2374" s="961" t="n"/>
      <c r="N2374" s="214" t="n"/>
    </row>
    <row r="2375">
      <c r="A2375" s="207" t="n"/>
      <c r="B2375" s="209" t="n"/>
      <c r="C2375" s="207" t="n"/>
      <c r="D2375" s="963" t="n"/>
      <c r="E2375" s="214" t="n"/>
      <c r="F2375" s="269" t="inlineStr">
        <is>
          <t>P10B32</t>
        </is>
      </c>
      <c r="G2375" s="263" t="inlineStr">
        <is>
          <t>Pinza con asta mm. 15 e porta messaggio mm. 27</t>
        </is>
      </c>
      <c r="H2375" s="264" t="n">
        <v>100</v>
      </c>
      <c r="I2375" s="265" t="n">
        <v>0.797</v>
      </c>
      <c r="J2375" s="214" t="n"/>
      <c r="K2375" s="208" t="n"/>
      <c r="L2375" s="424" t="n"/>
      <c r="M2375" s="961" t="n"/>
      <c r="N2375" s="214" t="n"/>
    </row>
    <row r="2376">
      <c r="A2376" s="207" t="n"/>
      <c r="B2376" s="209" t="n"/>
      <c r="C2376" s="207" t="n"/>
      <c r="D2376" s="963" t="n"/>
      <c r="E2376" s="214" t="n"/>
      <c r="F2376" s="269" t="inlineStr">
        <is>
          <t>P10B33</t>
        </is>
      </c>
      <c r="G2376" s="263" t="inlineStr">
        <is>
          <t>Pinza con asta mm. 15 e porta messaggio a pinza mm. 80</t>
        </is>
      </c>
      <c r="H2376" s="264" t="n">
        <v>100</v>
      </c>
      <c r="I2376" s="265" t="n">
        <v>1.194</v>
      </c>
      <c r="J2376" s="214" t="n"/>
      <c r="K2376" s="208" t="n"/>
      <c r="L2376" s="424" t="n"/>
      <c r="M2376" s="961" t="n"/>
      <c r="N2376" s="214" t="n"/>
    </row>
    <row r="2377">
      <c r="A2377" s="207" t="n"/>
      <c r="B2377" s="209" t="n"/>
      <c r="C2377" s="207" t="n"/>
      <c r="D2377" s="963" t="n"/>
      <c r="E2377" s="214" t="n"/>
      <c r="F2377" s="269" t="inlineStr">
        <is>
          <t>P10B34</t>
        </is>
      </c>
      <c r="G2377" s="263" t="inlineStr">
        <is>
          <t>Pinza con asta mm. 15 e porta messaggio a pinza mm. 56</t>
        </is>
      </c>
      <c r="H2377" s="264" t="n">
        <v>100</v>
      </c>
      <c r="I2377" s="265" t="n">
        <v>1.113</v>
      </c>
      <c r="J2377" s="214" t="n"/>
      <c r="K2377" s="208" t="n"/>
      <c r="L2377" s="424" t="n"/>
      <c r="M2377" s="961" t="n"/>
      <c r="N2377" s="214" t="n"/>
    </row>
    <row r="2378">
      <c r="A2378" s="207" t="n"/>
      <c r="B2378" s="209" t="n"/>
      <c r="C2378" s="207" t="n"/>
      <c r="D2378" s="963" t="n"/>
      <c r="E2378" s="214" t="n"/>
      <c r="F2378" s="269" t="inlineStr">
        <is>
          <t>P10C10</t>
        </is>
      </c>
      <c r="G2378" s="263" t="inlineStr">
        <is>
          <t>Doppia pinza con asta mm. 50</t>
        </is>
      </c>
      <c r="H2378" s="264" t="n">
        <v>100</v>
      </c>
      <c r="I2378" s="265" t="n">
        <v>1.254</v>
      </c>
      <c r="J2378" s="214" t="n"/>
      <c r="K2378" s="208" t="n"/>
      <c r="L2378" s="424" t="n"/>
      <c r="M2378" s="961" t="n"/>
      <c r="N2378" s="214" t="n"/>
    </row>
    <row r="2379">
      <c r="A2379" s="207" t="n"/>
      <c r="B2379" s="209" t="n"/>
      <c r="C2379" s="207" t="n"/>
      <c r="D2379" s="963" t="n"/>
      <c r="E2379" s="214" t="n"/>
      <c r="F2379" s="269" t="inlineStr">
        <is>
          <t>P10C11</t>
        </is>
      </c>
      <c r="G2379" s="263" t="inlineStr">
        <is>
          <t>Pinza con asta mm. 50 e mini pinza</t>
        </is>
      </c>
      <c r="H2379" s="264" t="n">
        <v>100</v>
      </c>
      <c r="I2379" s="265" t="n">
        <v>0.863</v>
      </c>
      <c r="J2379" s="214" t="n"/>
      <c r="K2379" s="208" t="n"/>
      <c r="L2379" s="424" t="n"/>
      <c r="M2379" s="961" t="n"/>
      <c r="N2379" s="214" t="n"/>
    </row>
    <row r="2380">
      <c r="A2380" s="207" t="n"/>
      <c r="B2380" s="209" t="n"/>
      <c r="C2380" s="207" t="n"/>
      <c r="D2380" s="963" t="n"/>
      <c r="E2380" s="214" t="n"/>
      <c r="F2380" s="269" t="inlineStr">
        <is>
          <t>P10C31</t>
        </is>
      </c>
      <c r="G2380" s="263" t="inlineStr">
        <is>
          <t>Pinza con asta mm. 50 e porta messaggio mm. 50</t>
        </is>
      </c>
      <c r="H2380" s="264" t="n">
        <v>100</v>
      </c>
      <c r="I2380" s="265" t="n">
        <v>0.904</v>
      </c>
      <c r="J2380" s="214" t="n"/>
      <c r="K2380" s="208" t="n"/>
      <c r="L2380" s="424" t="n"/>
      <c r="M2380" s="961" t="n"/>
      <c r="N2380" s="214" t="n"/>
    </row>
    <row r="2381">
      <c r="A2381" s="207" t="n"/>
      <c r="B2381" s="209" t="n"/>
      <c r="C2381" s="207" t="n"/>
      <c r="D2381" s="963" t="n"/>
      <c r="E2381" s="214" t="n"/>
      <c r="F2381" s="269" t="inlineStr">
        <is>
          <t>P10C32</t>
        </is>
      </c>
      <c r="G2381" s="263" t="inlineStr">
        <is>
          <t>Pinza con asta mm. 50 e porta messaggio mm. 27</t>
        </is>
      </c>
      <c r="H2381" s="264" t="n">
        <v>100</v>
      </c>
      <c r="I2381" s="265" t="n">
        <v>0.805</v>
      </c>
      <c r="J2381" s="214" t="n"/>
      <c r="K2381" s="208" t="n"/>
      <c r="L2381" s="424" t="n"/>
      <c r="M2381" s="961" t="n"/>
      <c r="N2381" s="214" t="n"/>
    </row>
    <row r="2382">
      <c r="A2382" s="207" t="n"/>
      <c r="B2382" s="209" t="n"/>
      <c r="C2382" s="207" t="n"/>
      <c r="D2382" s="963" t="n"/>
      <c r="E2382" s="214" t="n"/>
      <c r="F2382" s="269" t="inlineStr">
        <is>
          <t>P10C33</t>
        </is>
      </c>
      <c r="G2382" s="263" t="inlineStr">
        <is>
          <t>Pinza con asta mm. 50 e porta messaggio a pinza mm. 80</t>
        </is>
      </c>
      <c r="H2382" s="264" t="n">
        <v>100</v>
      </c>
      <c r="I2382" s="265" t="n">
        <v>1.202</v>
      </c>
      <c r="J2382" s="214" t="n"/>
      <c r="K2382" s="208" t="n"/>
      <c r="L2382" s="424" t="n"/>
      <c r="M2382" s="961" t="n"/>
      <c r="N2382" s="214" t="n"/>
    </row>
    <row r="2383">
      <c r="A2383" s="207" t="n"/>
      <c r="B2383" s="209" t="n"/>
      <c r="C2383" s="207" t="n"/>
      <c r="D2383" s="963" t="n"/>
      <c r="E2383" s="214" t="n"/>
      <c r="F2383" s="269" t="inlineStr">
        <is>
          <t>P10C34</t>
        </is>
      </c>
      <c r="G2383" s="263" t="inlineStr">
        <is>
          <t>Pinza con asta mm. 50 e porta messaggio a pinza mm. 56</t>
        </is>
      </c>
      <c r="H2383" s="264" t="n">
        <v>100</v>
      </c>
      <c r="I2383" s="265" t="n">
        <v>1.121</v>
      </c>
      <c r="J2383" s="214" t="n"/>
      <c r="K2383" s="208" t="n"/>
      <c r="L2383" s="424" t="n"/>
      <c r="M2383" s="961" t="n"/>
      <c r="N2383" s="214" t="n"/>
    </row>
    <row r="2384">
      <c r="A2384" s="207" t="n"/>
      <c r="B2384" s="209" t="n"/>
      <c r="C2384" s="207" t="n"/>
      <c r="D2384" s="963" t="n"/>
      <c r="E2384" s="214" t="n"/>
      <c r="F2384" s="269" t="inlineStr">
        <is>
          <t>P10D10</t>
        </is>
      </c>
      <c r="G2384" s="263" t="inlineStr">
        <is>
          <t>Doppia pinza con asta mm. 100</t>
        </is>
      </c>
      <c r="H2384" s="264" t="n">
        <v>100</v>
      </c>
      <c r="I2384" s="265" t="n">
        <v>1.264</v>
      </c>
      <c r="J2384" s="214" t="n"/>
      <c r="K2384" s="208" t="n"/>
      <c r="L2384" s="424" t="n"/>
      <c r="M2384" s="961" t="n"/>
      <c r="N2384" s="214" t="n"/>
    </row>
    <row r="2385">
      <c r="A2385" s="207" t="n"/>
      <c r="B2385" s="209" t="n"/>
      <c r="C2385" s="207" t="n"/>
      <c r="D2385" s="963" t="n"/>
      <c r="E2385" s="214" t="n"/>
      <c r="F2385" s="269" t="inlineStr">
        <is>
          <t>P10D11</t>
        </is>
      </c>
      <c r="G2385" s="263" t="inlineStr">
        <is>
          <t>Pinza con asta mm. 100 e mini pinza</t>
        </is>
      </c>
      <c r="H2385" s="264" t="n">
        <v>100</v>
      </c>
      <c r="I2385" s="265" t="n">
        <v>0.917</v>
      </c>
      <c r="J2385" s="214" t="n"/>
      <c r="K2385" s="208" t="n"/>
      <c r="L2385" s="424" t="n"/>
      <c r="M2385" s="961" t="n"/>
      <c r="N2385" s="214" t="n"/>
    </row>
    <row r="2386">
      <c r="A2386" s="207" t="n"/>
      <c r="B2386" s="209" t="n"/>
      <c r="C2386" s="207" t="n"/>
      <c r="D2386" s="963" t="n"/>
      <c r="E2386" s="214" t="n"/>
      <c r="F2386" s="269" t="inlineStr">
        <is>
          <t>P10D31</t>
        </is>
      </c>
      <c r="G2386" s="263" t="inlineStr">
        <is>
          <t>Pinza con asta mm. 100 e porta messaggio mm. 50</t>
        </is>
      </c>
      <c r="H2386" s="264" t="n">
        <v>100</v>
      </c>
      <c r="I2386" s="265" t="n">
        <v>0.961</v>
      </c>
      <c r="J2386" s="214" t="n"/>
      <c r="K2386" s="208" t="n"/>
      <c r="L2386" s="424" t="n"/>
      <c r="M2386" s="961" t="n"/>
      <c r="N2386" s="214" t="n"/>
    </row>
    <row r="2387">
      <c r="A2387" s="207" t="n"/>
      <c r="B2387" s="209" t="n"/>
      <c r="C2387" s="207" t="n"/>
      <c r="D2387" s="963" t="n"/>
      <c r="E2387" s="214" t="n"/>
      <c r="F2387" s="269" t="inlineStr">
        <is>
          <t>P10D32</t>
        </is>
      </c>
      <c r="G2387" s="263" t="inlineStr">
        <is>
          <t>Pinza con asta mm. 100 e porta messaggio mm. 27</t>
        </is>
      </c>
      <c r="H2387" s="264" t="n">
        <v>100</v>
      </c>
      <c r="I2387" s="265" t="n">
        <v>0.8139999999999999</v>
      </c>
      <c r="J2387" s="214" t="n"/>
      <c r="K2387" s="208" t="n"/>
      <c r="L2387" s="424" t="n"/>
      <c r="M2387" s="961" t="n"/>
      <c r="N2387" s="214" t="n"/>
    </row>
    <row r="2388">
      <c r="A2388" s="207" t="n"/>
      <c r="B2388" s="209" t="n"/>
      <c r="C2388" s="207" t="n"/>
      <c r="D2388" s="963" t="n"/>
      <c r="E2388" s="214" t="n"/>
      <c r="F2388" s="269" t="inlineStr">
        <is>
          <t>P10D33</t>
        </is>
      </c>
      <c r="G2388" s="263" t="inlineStr">
        <is>
          <t>Pinza con asta mm. 100 e porta messaggio a pinza mm. 80</t>
        </is>
      </c>
      <c r="H2388" s="264" t="n">
        <v>100</v>
      </c>
      <c r="I2388" s="265" t="n">
        <v>1.212</v>
      </c>
      <c r="J2388" s="214" t="n"/>
      <c r="K2388" s="208" t="n"/>
      <c r="L2388" s="424" t="n"/>
      <c r="M2388" s="961" t="n"/>
      <c r="N2388" s="214" t="n"/>
    </row>
    <row r="2389">
      <c r="A2389" s="207" t="n"/>
      <c r="B2389" s="209" t="n"/>
      <c r="C2389" s="207" t="n"/>
      <c r="D2389" s="963" t="n"/>
      <c r="E2389" s="214" t="n"/>
      <c r="F2389" s="269" t="inlineStr">
        <is>
          <t>P10D34</t>
        </is>
      </c>
      <c r="G2389" s="263" t="inlineStr">
        <is>
          <t>Pinza con asta mm. 100 e porta messaggio a pinza mm. 56</t>
        </is>
      </c>
      <c r="H2389" s="264" t="n">
        <v>100</v>
      </c>
      <c r="I2389" s="265" t="n">
        <v>1.131</v>
      </c>
      <c r="J2389" s="214" t="n"/>
      <c r="K2389" s="208" t="n"/>
      <c r="L2389" s="424" t="n"/>
      <c r="M2389" s="961" t="n"/>
      <c r="N2389" s="214" t="n"/>
    </row>
    <row r="2390">
      <c r="A2390" s="207" t="n"/>
      <c r="B2390" s="209" t="n"/>
      <c r="C2390" s="207" t="n"/>
      <c r="D2390" s="963" t="n"/>
      <c r="E2390" s="214" t="n"/>
      <c r="F2390" s="269" t="inlineStr">
        <is>
          <t>P10E10</t>
        </is>
      </c>
      <c r="G2390" s="263" t="inlineStr">
        <is>
          <t>Doppia pinza con asta mm. 150</t>
        </is>
      </c>
      <c r="H2390" s="264" t="n">
        <v>100</v>
      </c>
      <c r="I2390" s="265" t="n">
        <v>1.276</v>
      </c>
      <c r="J2390" s="214" t="n"/>
      <c r="K2390" s="208" t="n"/>
      <c r="L2390" s="424" t="n"/>
      <c r="M2390" s="961" t="n"/>
      <c r="N2390" s="214" t="n"/>
    </row>
    <row r="2391">
      <c r="A2391" s="207" t="n"/>
      <c r="B2391" s="209" t="n"/>
      <c r="C2391" s="207" t="n"/>
      <c r="D2391" s="963" t="n"/>
      <c r="E2391" s="214" t="n"/>
      <c r="F2391" s="269" t="inlineStr">
        <is>
          <t>P10E11</t>
        </is>
      </c>
      <c r="G2391" s="263" t="inlineStr">
        <is>
          <t>Pinza con asta mm. 150 e mini pinza</t>
        </is>
      </c>
      <c r="H2391" s="264" t="n">
        <v>100</v>
      </c>
      <c r="I2391" s="265" t="n">
        <v>0.926</v>
      </c>
      <c r="J2391" s="214" t="n"/>
      <c r="K2391" s="208" t="n"/>
      <c r="L2391" s="424" t="n"/>
      <c r="M2391" s="961" t="n"/>
      <c r="N2391" s="214" t="n"/>
    </row>
    <row r="2392">
      <c r="A2392" s="207" t="n"/>
      <c r="B2392" s="209" t="n"/>
      <c r="C2392" s="207" t="n"/>
      <c r="D2392" s="963" t="n"/>
      <c r="E2392" s="214" t="n"/>
      <c r="F2392" s="269" t="inlineStr">
        <is>
          <t>P10E31</t>
        </is>
      </c>
      <c r="G2392" s="263" t="inlineStr">
        <is>
          <t>Pinza con asta mm. 150 e porta messaggio mm. 50</t>
        </is>
      </c>
      <c r="H2392" s="264" t="n">
        <v>100</v>
      </c>
      <c r="I2392" s="265" t="n">
        <v>0.972</v>
      </c>
      <c r="J2392" s="214" t="n"/>
      <c r="K2392" s="208" t="n"/>
      <c r="L2392" s="424" t="n"/>
      <c r="M2392" s="961" t="n"/>
      <c r="N2392" s="214" t="n"/>
    </row>
    <row r="2393">
      <c r="A2393" s="207" t="n"/>
      <c r="B2393" s="209" t="n"/>
      <c r="C2393" s="207" t="n"/>
      <c r="D2393" s="963" t="n"/>
      <c r="E2393" s="214" t="n"/>
      <c r="F2393" s="269" t="inlineStr">
        <is>
          <t>P10E32</t>
        </is>
      </c>
      <c r="G2393" s="263" t="inlineStr">
        <is>
          <t>Pinza con asta mm. 150 e porta messaggio mm. 27</t>
        </is>
      </c>
      <c r="H2393" s="264" t="n">
        <v>100</v>
      </c>
      <c r="I2393" s="265" t="n">
        <v>0.824</v>
      </c>
      <c r="J2393" s="214" t="n"/>
      <c r="K2393" s="208" t="n"/>
      <c r="L2393" s="424" t="n"/>
      <c r="M2393" s="961" t="n"/>
      <c r="N2393" s="214" t="n"/>
    </row>
    <row r="2394">
      <c r="A2394" s="207" t="n"/>
      <c r="B2394" s="209" t="n"/>
      <c r="C2394" s="207" t="n"/>
      <c r="D2394" s="963" t="n"/>
      <c r="E2394" s="214" t="n"/>
      <c r="F2394" s="269" t="inlineStr">
        <is>
          <t>P10E33</t>
        </is>
      </c>
      <c r="G2394" s="263" t="inlineStr">
        <is>
          <t>Pinza con asta mm. 150 e porta messaggio a pinza mm. 80</t>
        </is>
      </c>
      <c r="H2394" s="264" t="n">
        <v>100</v>
      </c>
      <c r="I2394" s="265" t="n">
        <v>1.223</v>
      </c>
      <c r="J2394" s="214" t="n"/>
      <c r="K2394" s="208" t="n"/>
      <c r="L2394" s="424" t="n"/>
      <c r="M2394" s="961" t="n"/>
      <c r="N2394" s="214" t="n"/>
    </row>
    <row r="2395">
      <c r="A2395" s="207" t="n"/>
      <c r="B2395" s="209" t="n"/>
      <c r="C2395" s="207" t="n"/>
      <c r="D2395" s="963" t="n"/>
      <c r="E2395" s="214" t="n"/>
      <c r="F2395" s="269" t="inlineStr">
        <is>
          <t>P10E34</t>
        </is>
      </c>
      <c r="G2395" s="263" t="inlineStr">
        <is>
          <t>Pinza con asta mm. 150 e porta messaggio a pinza mm. 56</t>
        </is>
      </c>
      <c r="H2395" s="264" t="n">
        <v>100</v>
      </c>
      <c r="I2395" s="265" t="n">
        <v>1.141</v>
      </c>
      <c r="J2395" s="214" t="n"/>
      <c r="K2395" s="208" t="n"/>
      <c r="L2395" s="424" t="n"/>
      <c r="M2395" s="961" t="n"/>
      <c r="N2395" s="214" t="n"/>
    </row>
    <row r="2396">
      <c r="A2396" s="207" t="n"/>
      <c r="B2396" s="209" t="n"/>
      <c r="C2396" s="207" t="n"/>
      <c r="D2396" s="963" t="n"/>
      <c r="E2396" s="214" t="n"/>
      <c r="F2396" s="269" t="inlineStr">
        <is>
          <t>P10F10</t>
        </is>
      </c>
      <c r="G2396" s="263" t="inlineStr">
        <is>
          <t>Doppia pinza con asta mm. 200</t>
        </is>
      </c>
      <c r="H2396" s="264" t="n">
        <v>100</v>
      </c>
      <c r="I2396" s="265" t="n">
        <v>1.285</v>
      </c>
      <c r="J2396" s="214" t="n"/>
      <c r="K2396" s="208" t="n"/>
      <c r="L2396" s="424" t="n"/>
      <c r="M2396" s="961" t="n"/>
      <c r="N2396" s="214" t="n"/>
    </row>
    <row r="2397">
      <c r="A2397" s="207" t="n"/>
      <c r="B2397" s="209" t="n"/>
      <c r="C2397" s="207" t="n"/>
      <c r="D2397" s="963" t="n"/>
      <c r="E2397" s="214" t="n"/>
      <c r="F2397" s="269" t="inlineStr">
        <is>
          <t>P10F11</t>
        </is>
      </c>
      <c r="G2397" s="263" t="inlineStr">
        <is>
          <t>Pinza con asta mm. 200 e mini pinza</t>
        </is>
      </c>
      <c r="H2397" s="264" t="n">
        <v>100</v>
      </c>
      <c r="I2397" s="265" t="n">
        <v>0.9340000000000001</v>
      </c>
      <c r="J2397" s="214" t="n"/>
      <c r="K2397" s="208" t="n"/>
      <c r="L2397" s="424" t="n"/>
      <c r="M2397" s="961" t="n"/>
      <c r="N2397" s="214" t="n"/>
    </row>
    <row r="2398">
      <c r="A2398" s="207" t="n"/>
      <c r="B2398" s="209" t="n"/>
      <c r="C2398" s="207" t="n"/>
      <c r="D2398" s="963" t="n"/>
      <c r="E2398" s="214" t="n"/>
      <c r="F2398" s="269" t="inlineStr">
        <is>
          <t>P10F31</t>
        </is>
      </c>
      <c r="G2398" s="263" t="inlineStr">
        <is>
          <t>Pinza con asta mm. 200 e porta messaggio mm. 50</t>
        </is>
      </c>
      <c r="H2398" s="264" t="n">
        <v>100</v>
      </c>
      <c r="I2398" s="265" t="n">
        <v>0.98</v>
      </c>
      <c r="J2398" s="214" t="n"/>
      <c r="K2398" s="208" t="n"/>
      <c r="L2398" s="424" t="n"/>
      <c r="M2398" s="961" t="n"/>
      <c r="N2398" s="214" t="n"/>
    </row>
    <row r="2399">
      <c r="A2399" s="207" t="n"/>
      <c r="B2399" s="209" t="n"/>
      <c r="C2399" s="207" t="n"/>
      <c r="D2399" s="963" t="n"/>
      <c r="E2399" s="214" t="n"/>
      <c r="F2399" s="269" t="inlineStr">
        <is>
          <t>P10F32</t>
        </is>
      </c>
      <c r="G2399" s="263" t="inlineStr">
        <is>
          <t>Pinza con asta mm. 200 e porta messaggio mm. 27</t>
        </is>
      </c>
      <c r="H2399" s="264" t="n">
        <v>100</v>
      </c>
      <c r="I2399" s="265" t="n">
        <v>0.832</v>
      </c>
      <c r="J2399" s="214" t="n"/>
      <c r="K2399" s="208" t="n"/>
      <c r="L2399" s="424" t="n"/>
      <c r="M2399" s="961" t="n"/>
      <c r="N2399" s="214" t="n"/>
    </row>
    <row r="2400">
      <c r="A2400" s="207" t="n"/>
      <c r="B2400" s="209" t="n"/>
      <c r="C2400" s="207" t="n"/>
      <c r="D2400" s="963" t="n"/>
      <c r="E2400" s="214" t="n"/>
      <c r="F2400" s="269" t="inlineStr">
        <is>
          <t>P10F33</t>
        </is>
      </c>
      <c r="G2400" s="263" t="inlineStr">
        <is>
          <t>Pinza con asta mm. 200 e porta messaggio a pinza mm. 80</t>
        </is>
      </c>
      <c r="H2400" s="264" t="n">
        <v>100</v>
      </c>
      <c r="I2400" s="265" t="n">
        <v>1.232</v>
      </c>
      <c r="J2400" s="214" t="n"/>
      <c r="K2400" s="208" t="n"/>
      <c r="L2400" s="424" t="n"/>
      <c r="M2400" s="961" t="n"/>
      <c r="N2400" s="214" t="n"/>
    </row>
    <row r="2401">
      <c r="A2401" s="207" t="n"/>
      <c r="B2401" s="209" t="n"/>
      <c r="C2401" s="207" t="n"/>
      <c r="D2401" s="963" t="n"/>
      <c r="E2401" s="214" t="n"/>
      <c r="F2401" s="269" t="inlineStr">
        <is>
          <t>P10F34</t>
        </is>
      </c>
      <c r="G2401" s="263" t="inlineStr">
        <is>
          <t>Pinza con asta mm. 200 e porta messaggio a pinza mm. 56</t>
        </is>
      </c>
      <c r="H2401" s="264" t="n">
        <v>100</v>
      </c>
      <c r="I2401" s="265" t="n">
        <v>1.15</v>
      </c>
      <c r="J2401" s="214" t="n"/>
      <c r="K2401" s="208" t="n"/>
      <c r="L2401" s="424" t="n"/>
      <c r="M2401" s="961" t="n"/>
      <c r="N2401" s="214" t="n"/>
    </row>
    <row r="2402">
      <c r="A2402" s="207" t="n"/>
      <c r="B2402" s="209" t="n"/>
      <c r="C2402" s="207" t="n"/>
      <c r="D2402" s="963" t="n"/>
      <c r="E2402" s="214" t="n"/>
      <c r="F2402" s="269" t="inlineStr">
        <is>
          <t>P10P40</t>
        </is>
      </c>
      <c r="G2402" s="263" t="inlineStr">
        <is>
          <t>Pinza con asta a "T" mm. 50 e porta prezzi</t>
        </is>
      </c>
      <c r="H2402" s="264" t="n">
        <v>100</v>
      </c>
      <c r="I2402" s="265" t="n">
        <v>0.6840000000000001</v>
      </c>
      <c r="J2402" s="214" t="n"/>
      <c r="K2402" s="208" t="n"/>
      <c r="L2402" s="424" t="n"/>
      <c r="M2402" s="961" t="n"/>
      <c r="N2402" s="214" t="n"/>
    </row>
    <row r="2403">
      <c r="A2403" s="209" t="n"/>
      <c r="B2403" s="209" t="n"/>
      <c r="C2403" s="209" t="n"/>
      <c r="D2403" s="960" t="n"/>
      <c r="E2403" s="215" t="n"/>
      <c r="F2403" s="269" t="inlineStr">
        <is>
          <t>P10Q40</t>
        </is>
      </c>
      <c r="G2403" s="263" t="inlineStr">
        <is>
          <t>Pinza con asta a "T" mm. 100 e porta prezzi</t>
        </is>
      </c>
      <c r="H2403" s="264" t="n">
        <v>100</v>
      </c>
      <c r="I2403" s="265" t="n">
        <v>0.694</v>
      </c>
      <c r="J2403" s="215" t="n"/>
      <c r="K2403" s="209" t="n"/>
      <c r="L2403" s="425" t="n"/>
      <c r="M2403" s="962" t="n"/>
      <c r="N2403" s="215" t="n"/>
    </row>
    <row r="2404">
      <c r="A2404" s="207" t="n"/>
      <c r="B2404" s="209" t="n"/>
      <c r="C2404" s="207" t="n"/>
      <c r="D2404" s="963" t="n"/>
      <c r="E2404" s="214" t="n"/>
      <c r="F2404" s="269" t="inlineStr">
        <is>
          <t>P10R40</t>
        </is>
      </c>
      <c r="G2404" s="263" t="inlineStr">
        <is>
          <t>Pinza con asta a "T" mm. 150 e porta prezzi</t>
        </is>
      </c>
      <c r="H2404" s="264" t="n">
        <v>100</v>
      </c>
      <c r="I2404" s="265" t="n">
        <v>0.703</v>
      </c>
      <c r="J2404" s="214" t="n"/>
      <c r="K2404" s="208" t="n"/>
      <c r="L2404" s="424" t="n"/>
      <c r="M2404" s="961" t="n"/>
      <c r="N2404" s="214" t="n"/>
    </row>
    <row r="2405">
      <c r="A2405" s="207" t="n"/>
      <c r="B2405" s="209" t="n"/>
      <c r="C2405" s="207" t="n"/>
      <c r="D2405" s="963" t="n"/>
      <c r="E2405" s="214" t="n"/>
      <c r="F2405" s="269" t="inlineStr">
        <is>
          <t>P10S40</t>
        </is>
      </c>
      <c r="G2405" s="263" t="inlineStr">
        <is>
          <t>Pinza con asta a "T" mm. 200 e porta prezzi</t>
        </is>
      </c>
      <c r="H2405" s="264" t="n">
        <v>100</v>
      </c>
      <c r="I2405" s="265" t="n">
        <v>0.712</v>
      </c>
      <c r="J2405" s="214" t="n"/>
      <c r="K2405" s="208" t="n"/>
      <c r="L2405" s="424" t="n"/>
      <c r="M2405" s="961" t="n"/>
      <c r="N2405" s="214" t="n"/>
    </row>
    <row r="2406">
      <c r="A2406" s="207" t="n"/>
      <c r="B2406" s="209" t="n"/>
      <c r="C2406" s="207" t="n"/>
      <c r="D2406" s="963" t="n"/>
      <c r="E2406" s="214" t="n"/>
      <c r="F2406" s="269" t="inlineStr">
        <is>
          <t>P11A10</t>
        </is>
      </c>
      <c r="G2406" s="263" t="inlineStr">
        <is>
          <t>Mini pinza e pinza</t>
        </is>
      </c>
      <c r="H2406" s="264" t="n">
        <v>100</v>
      </c>
      <c r="I2406" s="265" t="n">
        <v>0.702</v>
      </c>
      <c r="J2406" s="214" t="n"/>
      <c r="K2406" s="209" t="n"/>
      <c r="L2406" s="425" t="n"/>
      <c r="M2406" s="961" t="n"/>
      <c r="N2406" s="214" t="n"/>
    </row>
    <row r="2407">
      <c r="A2407" s="207" t="n"/>
      <c r="B2407" s="209" t="n"/>
      <c r="C2407" s="207" t="n"/>
      <c r="D2407" s="963" t="n"/>
      <c r="E2407" s="214" t="n"/>
      <c r="F2407" s="269" t="inlineStr">
        <is>
          <t>P11A11</t>
        </is>
      </c>
      <c r="G2407" s="263" t="inlineStr">
        <is>
          <t>Doppia mini pinza</t>
        </is>
      </c>
      <c r="H2407" s="264" t="n">
        <v>100</v>
      </c>
      <c r="I2407" s="265" t="n">
        <v>0.464</v>
      </c>
      <c r="J2407" s="214" t="n"/>
      <c r="K2407" s="208" t="n"/>
      <c r="L2407" s="424" t="n"/>
      <c r="M2407" s="961" t="n"/>
      <c r="N2407" s="214" t="n"/>
    </row>
    <row r="2408">
      <c r="A2408" s="207" t="n"/>
      <c r="B2408" s="209" t="n"/>
      <c r="C2408" s="207" t="n"/>
      <c r="D2408" s="963" t="n"/>
      <c r="E2408" s="214" t="n"/>
      <c r="F2408" s="269" t="inlineStr">
        <is>
          <t>P11A31</t>
        </is>
      </c>
      <c r="G2408" s="263" t="inlineStr">
        <is>
          <t>Mini pinza e porta messaggio mm. 50</t>
        </is>
      </c>
      <c r="H2408" s="264" t="n">
        <v>100</v>
      </c>
      <c r="I2408" s="265" t="n">
        <v>0.454</v>
      </c>
      <c r="J2408" s="214" t="n"/>
      <c r="K2408" s="209" t="n"/>
      <c r="L2408" s="425" t="n"/>
      <c r="M2408" s="961" t="n"/>
      <c r="N2408" s="214" t="n"/>
    </row>
    <row r="2409">
      <c r="A2409" s="207" t="n"/>
      <c r="B2409" s="209" t="n"/>
      <c r="C2409" s="207" t="n"/>
      <c r="D2409" s="963" t="n"/>
      <c r="E2409" s="214" t="n"/>
      <c r="F2409" s="269" t="inlineStr">
        <is>
          <t>P11A32</t>
        </is>
      </c>
      <c r="G2409" s="263" t="inlineStr">
        <is>
          <t>Mini pinza e porta messaggio mm. 27</t>
        </is>
      </c>
      <c r="H2409" s="264" t="n">
        <v>100</v>
      </c>
      <c r="I2409" s="265" t="n">
        <v>0.382</v>
      </c>
      <c r="J2409" s="214" t="n"/>
      <c r="K2409" s="208" t="n"/>
      <c r="L2409" s="424" t="n"/>
      <c r="M2409" s="961" t="n"/>
      <c r="N2409" s="214" t="n"/>
    </row>
    <row r="2410">
      <c r="A2410" s="207" t="n"/>
      <c r="B2410" s="209" t="n"/>
      <c r="C2410" s="207" t="n"/>
      <c r="D2410" s="963" t="n"/>
      <c r="E2410" s="214" t="n"/>
      <c r="F2410" s="269" t="inlineStr">
        <is>
          <t>P11A33</t>
        </is>
      </c>
      <c r="G2410" s="263" t="inlineStr">
        <is>
          <t>Mini pinza e porta messaggio a pinza mm. 80</t>
        </is>
      </c>
      <c r="H2410" s="264" t="n">
        <v>100</v>
      </c>
      <c r="I2410" s="265" t="n">
        <v>0.679</v>
      </c>
      <c r="J2410" s="214" t="n"/>
      <c r="K2410" s="208" t="n"/>
      <c r="L2410" s="424" t="n"/>
      <c r="M2410" s="961" t="n"/>
      <c r="N2410" s="214" t="n"/>
    </row>
    <row r="2411">
      <c r="A2411" s="207" t="n"/>
      <c r="B2411" s="209" t="n"/>
      <c r="C2411" s="207" t="n"/>
      <c r="D2411" s="963" t="n"/>
      <c r="E2411" s="214" t="n"/>
      <c r="F2411" s="269" t="inlineStr">
        <is>
          <t>P11A34</t>
        </is>
      </c>
      <c r="G2411" s="263" t="inlineStr">
        <is>
          <t>Mini pinza e porta messaggio a pinza mm. 56</t>
        </is>
      </c>
      <c r="H2411" s="264" t="n">
        <v>100</v>
      </c>
      <c r="I2411" s="265" t="n">
        <v>0.659</v>
      </c>
      <c r="J2411" s="214" t="n"/>
      <c r="K2411" s="208" t="n"/>
      <c r="L2411" s="424" t="n"/>
      <c r="M2411" s="961" t="n"/>
      <c r="N2411" s="214" t="n"/>
    </row>
    <row r="2412">
      <c r="A2412" s="207" t="n"/>
      <c r="B2412" s="209" t="n"/>
      <c r="C2412" s="207" t="n"/>
      <c r="D2412" s="963" t="n"/>
      <c r="E2412" s="214" t="n"/>
      <c r="F2412" s="269" t="inlineStr">
        <is>
          <t>P11B10</t>
        </is>
      </c>
      <c r="G2412" s="263" t="inlineStr">
        <is>
          <t>Mini pinza con asta mm. 15 e pinza</t>
        </is>
      </c>
      <c r="H2412" s="264" t="n">
        <v>100</v>
      </c>
      <c r="I2412" s="265" t="n">
        <v>0.886</v>
      </c>
      <c r="J2412" s="214" t="n"/>
      <c r="K2412" s="208" t="n"/>
      <c r="L2412" s="424" t="n"/>
      <c r="M2412" s="961" t="n"/>
      <c r="N2412" s="214" t="n"/>
    </row>
    <row r="2413">
      <c r="A2413" s="209" t="n"/>
      <c r="B2413" s="209" t="n"/>
      <c r="C2413" s="209" t="n"/>
      <c r="D2413" s="960" t="n"/>
      <c r="E2413" s="215" t="n"/>
      <c r="F2413" s="269" t="inlineStr">
        <is>
          <t>P11B11</t>
        </is>
      </c>
      <c r="G2413" s="263" t="inlineStr">
        <is>
          <t>Doppia mini pinza con asta mm. 15</t>
        </is>
      </c>
      <c r="H2413" s="264" t="n">
        <v>100</v>
      </c>
      <c r="I2413" s="265" t="n">
        <v>0.609</v>
      </c>
      <c r="J2413" s="215" t="n"/>
      <c r="K2413" s="209" t="n"/>
      <c r="L2413" s="425" t="n"/>
      <c r="M2413" s="962" t="n"/>
      <c r="N2413" s="215" t="n"/>
    </row>
    <row r="2414">
      <c r="A2414" s="207" t="n"/>
      <c r="B2414" s="209" t="n"/>
      <c r="C2414" s="207" t="n"/>
      <c r="D2414" s="963" t="n"/>
      <c r="E2414" s="214" t="n"/>
      <c r="F2414" s="269" t="inlineStr">
        <is>
          <t>P11B31</t>
        </is>
      </c>
      <c r="G2414" s="263" t="inlineStr">
        <is>
          <t>Mini pinza con asta mm. 15 e porta messaggio mm. 50</t>
        </is>
      </c>
      <c r="H2414" s="264" t="n">
        <v>100</v>
      </c>
      <c r="I2414" s="265" t="n">
        <v>0.61</v>
      </c>
      <c r="J2414" s="214" t="n"/>
      <c r="K2414" s="208" t="n"/>
      <c r="L2414" s="424" t="n"/>
      <c r="M2414" s="961" t="n"/>
      <c r="N2414" s="214" t="n"/>
    </row>
    <row r="2415">
      <c r="A2415" s="207" t="n"/>
      <c r="B2415" s="209" t="n"/>
      <c r="C2415" s="207" t="n"/>
      <c r="D2415" s="963" t="n"/>
      <c r="E2415" s="214" t="n"/>
      <c r="F2415" s="269" t="inlineStr">
        <is>
          <t>P11B32</t>
        </is>
      </c>
      <c r="G2415" s="263" t="inlineStr">
        <is>
          <t>Mini pinza con asta mm. 15 e porta messaggio mm. 27</t>
        </is>
      </c>
      <c r="H2415" s="264" t="n">
        <v>100</v>
      </c>
      <c r="I2415" s="265" t="n">
        <v>0.538</v>
      </c>
      <c r="J2415" s="214" t="n"/>
      <c r="K2415" s="208" t="n"/>
      <c r="L2415" s="424" t="n"/>
      <c r="M2415" s="961" t="n"/>
      <c r="N2415" s="214" t="n"/>
    </row>
    <row r="2416">
      <c r="A2416" s="207" t="n"/>
      <c r="B2416" s="209" t="n"/>
      <c r="C2416" s="207" t="n"/>
      <c r="D2416" s="963" t="n"/>
      <c r="E2416" s="214" t="n"/>
      <c r="F2416" s="269" t="inlineStr">
        <is>
          <t>P11B33</t>
        </is>
      </c>
      <c r="G2416" s="263" t="inlineStr">
        <is>
          <t>Mini pinza con asta mm. 15 e porta messaggio a pinza mm. 80</t>
        </is>
      </c>
      <c r="H2416" s="264" t="n">
        <v>100</v>
      </c>
      <c r="I2416" s="265" t="n">
        <v>0.855</v>
      </c>
      <c r="J2416" s="214" t="n"/>
      <c r="K2416" s="208" t="n"/>
      <c r="L2416" s="424" t="n"/>
      <c r="M2416" s="961" t="n"/>
      <c r="N2416" s="214" t="n"/>
    </row>
    <row r="2417">
      <c r="A2417" s="207" t="n"/>
      <c r="B2417" s="209" t="n"/>
      <c r="C2417" s="207" t="n"/>
      <c r="D2417" s="963" t="n"/>
      <c r="E2417" s="214" t="n"/>
      <c r="F2417" s="269" t="inlineStr">
        <is>
          <t>P11B34</t>
        </is>
      </c>
      <c r="G2417" s="263" t="inlineStr">
        <is>
          <t>Mini pinza con asta mm. 15 e porta messaggio a pinza mm. 56</t>
        </is>
      </c>
      <c r="H2417" s="264" t="n">
        <v>100</v>
      </c>
      <c r="I2417" s="265" t="n">
        <v>0.835</v>
      </c>
      <c r="J2417" s="214" t="n"/>
      <c r="K2417" s="208" t="n"/>
      <c r="L2417" s="424" t="n"/>
      <c r="M2417" s="961" t="n"/>
      <c r="N2417" s="214" t="n"/>
    </row>
    <row r="2418">
      <c r="A2418" s="207" t="n"/>
      <c r="B2418" s="209" t="n"/>
      <c r="C2418" s="207" t="n"/>
      <c r="D2418" s="963" t="n"/>
      <c r="E2418" s="214" t="n"/>
      <c r="F2418" s="269" t="inlineStr">
        <is>
          <t>P11C10</t>
        </is>
      </c>
      <c r="G2418" s="263" t="inlineStr">
        <is>
          <t>Mini pinza con asta mm. 50 e pinza</t>
        </is>
      </c>
      <c r="H2418" s="264" t="n">
        <v>100</v>
      </c>
      <c r="I2418" s="265" t="n">
        <v>0.893</v>
      </c>
      <c r="J2418" s="214" t="n"/>
      <c r="K2418" s="208" t="n"/>
      <c r="L2418" s="424" t="n"/>
      <c r="M2418" s="961" t="n"/>
      <c r="N2418" s="214" t="n"/>
    </row>
    <row r="2419">
      <c r="A2419" s="207" t="n"/>
      <c r="B2419" s="209" t="n"/>
      <c r="C2419" s="207" t="n"/>
      <c r="D2419" s="963" t="n"/>
      <c r="E2419" s="214" t="n"/>
      <c r="F2419" s="269" t="inlineStr">
        <is>
          <t>P11C11</t>
        </is>
      </c>
      <c r="G2419" s="263" t="inlineStr">
        <is>
          <t>Doppia mini pinza con asta mm. 50</t>
        </is>
      </c>
      <c r="H2419" s="264" t="n">
        <v>100</v>
      </c>
      <c r="I2419" s="265" t="n">
        <v>0.615</v>
      </c>
      <c r="J2419" s="214" t="n"/>
      <c r="K2419" s="208" t="n"/>
      <c r="L2419" s="424" t="n"/>
      <c r="M2419" s="961" t="n"/>
      <c r="N2419" s="214" t="n"/>
    </row>
    <row r="2420">
      <c r="A2420" s="207" t="n"/>
      <c r="B2420" s="209" t="n"/>
      <c r="C2420" s="207" t="n"/>
      <c r="D2420" s="963" t="n"/>
      <c r="E2420" s="214" t="n"/>
      <c r="F2420" s="269" t="inlineStr">
        <is>
          <t>P11C31</t>
        </is>
      </c>
      <c r="G2420" s="263" t="inlineStr">
        <is>
          <t>Mini pinza con asta mm. 50 e porta messaggio mm. 50</t>
        </is>
      </c>
      <c r="H2420" s="264" t="n">
        <v>100</v>
      </c>
      <c r="I2420" s="265" t="n">
        <v>0.616</v>
      </c>
      <c r="J2420" s="214" t="n"/>
      <c r="K2420" s="208" t="n"/>
      <c r="L2420" s="424" t="n"/>
      <c r="M2420" s="961" t="n"/>
      <c r="N2420" s="214" t="n"/>
    </row>
    <row r="2421">
      <c r="A2421" s="207" t="n"/>
      <c r="B2421" s="209" t="n"/>
      <c r="C2421" s="207" t="n"/>
      <c r="D2421" s="963" t="n"/>
      <c r="E2421" s="214" t="n"/>
      <c r="F2421" s="269" t="inlineStr">
        <is>
          <t>P11C32</t>
        </is>
      </c>
      <c r="G2421" s="263" t="inlineStr">
        <is>
          <t>Mini pinza con asta mm. 50 e porta messaggio mm. 27</t>
        </is>
      </c>
      <c r="H2421" s="264" t="n">
        <v>100</v>
      </c>
      <c r="I2421" s="265" t="n">
        <v>0.544</v>
      </c>
      <c r="J2421" s="214" t="n"/>
      <c r="K2421" s="208" t="n"/>
      <c r="L2421" s="424" t="n"/>
      <c r="M2421" s="961" t="n"/>
      <c r="N2421" s="214" t="n"/>
    </row>
    <row r="2422">
      <c r="A2422" s="207" t="n"/>
      <c r="B2422" s="209" t="n"/>
      <c r="C2422" s="207" t="n"/>
      <c r="D2422" s="963" t="n"/>
      <c r="E2422" s="214" t="n"/>
      <c r="F2422" s="269" t="inlineStr">
        <is>
          <t>P11C33</t>
        </is>
      </c>
      <c r="G2422" s="263" t="inlineStr">
        <is>
          <t>Mini pinza con asta mm. 50 e porta messaggio a pinza mm. 80</t>
        </is>
      </c>
      <c r="H2422" s="264" t="n">
        <v>100</v>
      </c>
      <c r="I2422" s="265" t="n">
        <v>0.862</v>
      </c>
      <c r="J2422" s="214" t="n"/>
      <c r="K2422" s="208" t="n"/>
      <c r="L2422" s="424" t="n"/>
      <c r="M2422" s="961" t="n"/>
      <c r="N2422" s="214" t="n"/>
    </row>
    <row r="2423">
      <c r="A2423" s="207" t="n"/>
      <c r="B2423" s="209" t="n"/>
      <c r="C2423" s="207" t="n"/>
      <c r="D2423" s="963" t="n"/>
      <c r="E2423" s="214" t="n"/>
      <c r="F2423" s="269" t="inlineStr">
        <is>
          <t>P11C34</t>
        </is>
      </c>
      <c r="G2423" s="263" t="inlineStr">
        <is>
          <t>Mini pinza con asta mm. 50 e porta messaggio a pinza mm. 56</t>
        </is>
      </c>
      <c r="H2423" s="264" t="n">
        <v>100</v>
      </c>
      <c r="I2423" s="265" t="n">
        <v>0.842</v>
      </c>
      <c r="J2423" s="214" t="n"/>
      <c r="K2423" s="208" t="n"/>
      <c r="L2423" s="424" t="n"/>
      <c r="M2423" s="961" t="n"/>
      <c r="N2423" s="214" t="n"/>
    </row>
    <row r="2424">
      <c r="A2424" s="207" t="n"/>
      <c r="B2424" s="209" t="n"/>
      <c r="C2424" s="207" t="n"/>
      <c r="D2424" s="963" t="n"/>
      <c r="E2424" s="214" t="n"/>
      <c r="F2424" s="269" t="inlineStr">
        <is>
          <t>P11D10</t>
        </is>
      </c>
      <c r="G2424" s="263" t="inlineStr">
        <is>
          <t>Mini pinza con asta mm. 100 e pinza</t>
        </is>
      </c>
      <c r="H2424" s="264" t="n">
        <v>100</v>
      </c>
      <c r="I2424" s="265" t="n">
        <v>0.902</v>
      </c>
      <c r="J2424" s="214" t="n"/>
      <c r="K2424" s="208" t="n"/>
      <c r="L2424" s="424" t="n"/>
      <c r="M2424" s="961" t="n"/>
      <c r="N2424" s="214" t="n"/>
    </row>
    <row r="2425">
      <c r="A2425" s="207" t="n"/>
      <c r="B2425" s="209" t="n"/>
      <c r="C2425" s="207" t="n"/>
      <c r="D2425" s="963" t="n"/>
      <c r="E2425" s="214" t="n"/>
      <c r="F2425" s="269" t="inlineStr">
        <is>
          <t>P11D11</t>
        </is>
      </c>
      <c r="G2425" s="263" t="inlineStr">
        <is>
          <t>Doppia mini pinza con asta mm. 100</t>
        </is>
      </c>
      <c r="H2425" s="264" t="n">
        <v>100</v>
      </c>
      <c r="I2425" s="265" t="n">
        <v>0.622</v>
      </c>
      <c r="J2425" s="214" t="n"/>
      <c r="K2425" s="208" t="n"/>
      <c r="L2425" s="424" t="n"/>
      <c r="M2425" s="961" t="n"/>
      <c r="N2425" s="214" t="n"/>
    </row>
    <row r="2426">
      <c r="A2426" s="207" t="n"/>
      <c r="B2426" s="209" t="n"/>
      <c r="C2426" s="207" t="n"/>
      <c r="D2426" s="963" t="n"/>
      <c r="E2426" s="214" t="n"/>
      <c r="F2426" s="269" t="inlineStr">
        <is>
          <t>P11D31</t>
        </is>
      </c>
      <c r="G2426" s="263" t="inlineStr">
        <is>
          <t>Mini pinza con asta mm. 100 e porta messaggio mm. 50</t>
        </is>
      </c>
      <c r="H2426" s="264" t="n">
        <v>100</v>
      </c>
      <c r="I2426" s="265" t="n">
        <v>0.623</v>
      </c>
      <c r="J2426" s="214" t="n"/>
      <c r="K2426" s="208" t="n"/>
      <c r="L2426" s="424" t="n"/>
      <c r="M2426" s="961" t="n"/>
      <c r="N2426" s="214" t="n"/>
    </row>
    <row r="2427">
      <c r="A2427" s="207" t="n"/>
      <c r="B2427" s="209" t="n"/>
      <c r="C2427" s="207" t="n"/>
      <c r="D2427" s="963" t="n"/>
      <c r="E2427" s="214" t="n"/>
      <c r="F2427" s="269" t="inlineStr">
        <is>
          <t>P11D32</t>
        </is>
      </c>
      <c r="G2427" s="263" t="inlineStr">
        <is>
          <t>Mini pinza con asta mm. 100 e porta messaggio mm. 27</t>
        </is>
      </c>
      <c r="H2427" s="264" t="n">
        <v>100</v>
      </c>
      <c r="I2427" s="265" t="n">
        <v>0.551</v>
      </c>
      <c r="J2427" s="214" t="n"/>
      <c r="K2427" s="208" t="n"/>
      <c r="L2427" s="424" t="n"/>
      <c r="M2427" s="961" t="n"/>
      <c r="N2427" s="214" t="n"/>
    </row>
    <row r="2428">
      <c r="A2428" s="207" t="n"/>
      <c r="B2428" s="209" t="n"/>
      <c r="C2428" s="207" t="n"/>
      <c r="D2428" s="963" t="n"/>
      <c r="E2428" s="214" t="n"/>
      <c r="F2428" s="269" t="inlineStr">
        <is>
          <t>P11D33</t>
        </is>
      </c>
      <c r="G2428" s="263" t="inlineStr">
        <is>
          <t>Mini pinza con asta mm. 100 e porta messaggio a pinza mm. 80</t>
        </is>
      </c>
      <c r="H2428" s="264" t="n">
        <v>100</v>
      </c>
      <c r="I2428" s="265" t="n">
        <v>0.87</v>
      </c>
      <c r="J2428" s="214" t="n"/>
      <c r="K2428" s="208" t="n"/>
      <c r="L2428" s="424" t="n"/>
      <c r="M2428" s="961" t="n"/>
      <c r="N2428" s="214" t="n"/>
    </row>
    <row r="2429">
      <c r="A2429" s="207" t="n"/>
      <c r="B2429" s="209" t="n"/>
      <c r="C2429" s="207" t="n"/>
      <c r="D2429" s="963" t="n"/>
      <c r="E2429" s="214" t="n"/>
      <c r="F2429" s="269" t="inlineStr">
        <is>
          <t>P11D34</t>
        </is>
      </c>
      <c r="G2429" s="263" t="inlineStr">
        <is>
          <t>Mini pinza con asta mm. 100 e porta messaggio a pinza mm. 56</t>
        </is>
      </c>
      <c r="H2429" s="264" t="n">
        <v>100</v>
      </c>
      <c r="I2429" s="265" t="n">
        <v>0.85</v>
      </c>
      <c r="J2429" s="214" t="n"/>
      <c r="K2429" s="208" t="n"/>
      <c r="L2429" s="424" t="n"/>
      <c r="M2429" s="961" t="n"/>
      <c r="N2429" s="214" t="n"/>
    </row>
    <row r="2430">
      <c r="A2430" s="207" t="n"/>
      <c r="B2430" s="209" t="n"/>
      <c r="C2430" s="207" t="n"/>
      <c r="D2430" s="963" t="n"/>
      <c r="E2430" s="214" t="n"/>
      <c r="F2430" s="269" t="inlineStr">
        <is>
          <t>P11E10</t>
        </is>
      </c>
      <c r="G2430" s="263" t="inlineStr">
        <is>
          <t>Mini pinza con asta mm. 150 e pinza</t>
        </is>
      </c>
      <c r="H2430" s="264" t="n">
        <v>100</v>
      </c>
      <c r="I2430" s="265" t="n">
        <v>0.911</v>
      </c>
      <c r="J2430" s="214" t="n"/>
      <c r="K2430" s="208" t="n"/>
      <c r="L2430" s="424" t="n"/>
      <c r="M2430" s="961" t="n"/>
      <c r="N2430" s="214" t="n"/>
    </row>
    <row r="2431">
      <c r="A2431" s="207" t="n"/>
      <c r="B2431" s="209" t="n"/>
      <c r="C2431" s="207" t="n"/>
      <c r="D2431" s="963" t="n"/>
      <c r="E2431" s="214" t="n"/>
      <c r="F2431" s="269" t="inlineStr">
        <is>
          <t>P11E11</t>
        </is>
      </c>
      <c r="G2431" s="263" t="inlineStr">
        <is>
          <t>Doppia mini pinza con asta mm. 150</t>
        </is>
      </c>
      <c r="H2431" s="264" t="n">
        <v>100</v>
      </c>
      <c r="I2431" s="265" t="n">
        <v>0.629</v>
      </c>
      <c r="J2431" s="214" t="n"/>
      <c r="K2431" s="208" t="n"/>
      <c r="L2431" s="424" t="n"/>
      <c r="M2431" s="961" t="n"/>
      <c r="N2431" s="214" t="n"/>
    </row>
    <row r="2432">
      <c r="A2432" s="207" t="n"/>
      <c r="B2432" s="209" t="n"/>
      <c r="C2432" s="207" t="n"/>
      <c r="D2432" s="963" t="n"/>
      <c r="E2432" s="214" t="n"/>
      <c r="F2432" s="269" t="inlineStr">
        <is>
          <t>P11E31</t>
        </is>
      </c>
      <c r="G2432" s="263" t="inlineStr">
        <is>
          <t>Mini pinza con asta mm. 150 e porta messaggio mm. 50</t>
        </is>
      </c>
      <c r="H2432" s="264" t="n">
        <v>100</v>
      </c>
      <c r="I2432" s="265" t="n">
        <v>0.631</v>
      </c>
      <c r="J2432" s="214" t="n"/>
      <c r="K2432" s="208" t="n"/>
      <c r="L2432" s="424" t="n"/>
      <c r="M2432" s="961" t="n"/>
      <c r="N2432" s="214" t="n"/>
    </row>
    <row r="2433">
      <c r="A2433" s="207" t="n"/>
      <c r="B2433" s="209" t="n"/>
      <c r="C2433" s="207" t="n"/>
      <c r="D2433" s="963" t="n"/>
      <c r="E2433" s="214" t="n"/>
      <c r="F2433" s="269" t="inlineStr">
        <is>
          <t>P11E32</t>
        </is>
      </c>
      <c r="G2433" s="263" t="inlineStr">
        <is>
          <t>Mini pinza con asta mm. 150 e porta messaggio mm. 27</t>
        </is>
      </c>
      <c r="H2433" s="264" t="n">
        <v>100</v>
      </c>
      <c r="I2433" s="265" t="n">
        <v>0.5590000000000001</v>
      </c>
      <c r="J2433" s="214" t="n"/>
      <c r="K2433" s="208" t="n"/>
      <c r="L2433" s="424" t="n"/>
      <c r="M2433" s="961" t="n"/>
      <c r="N2433" s="214" t="n"/>
    </row>
    <row r="2434">
      <c r="A2434" s="207" t="n"/>
      <c r="B2434" s="209" t="n"/>
      <c r="C2434" s="207" t="n"/>
      <c r="D2434" s="963" t="n"/>
      <c r="E2434" s="214" t="n"/>
      <c r="F2434" s="269" t="inlineStr">
        <is>
          <t>P11E33</t>
        </is>
      </c>
      <c r="G2434" s="263" t="inlineStr">
        <is>
          <t>Mini pinza con asta mm. 150 e porta messaggio a pinza mm. 80</t>
        </is>
      </c>
      <c r="H2434" s="264" t="n">
        <v>100</v>
      </c>
      <c r="I2434" s="265" t="n">
        <v>0.879</v>
      </c>
      <c r="J2434" s="214" t="n"/>
      <c r="K2434" s="208" t="n"/>
      <c r="L2434" s="424" t="n"/>
      <c r="M2434" s="961" t="n"/>
      <c r="N2434" s="214" t="n"/>
    </row>
    <row r="2435">
      <c r="A2435" s="207" t="n"/>
      <c r="B2435" s="209" t="n"/>
      <c r="C2435" s="207" t="n"/>
      <c r="D2435" s="963" t="n"/>
      <c r="E2435" s="214" t="n"/>
      <c r="F2435" s="269" t="inlineStr">
        <is>
          <t>P11E34</t>
        </is>
      </c>
      <c r="G2435" s="263" t="inlineStr">
        <is>
          <t>Mini pinza con asta mm. 150 e porta messaggio a pinza mm. 56</t>
        </is>
      </c>
      <c r="H2435" s="264" t="n">
        <v>100</v>
      </c>
      <c r="I2435" s="265" t="n">
        <v>0.859</v>
      </c>
      <c r="J2435" s="214" t="n"/>
      <c r="K2435" s="208" t="n"/>
      <c r="L2435" s="424" t="n"/>
      <c r="M2435" s="961" t="n"/>
      <c r="N2435" s="214" t="n"/>
    </row>
    <row r="2436">
      <c r="A2436" s="207" t="n"/>
      <c r="B2436" s="209" t="n"/>
      <c r="C2436" s="207" t="n"/>
      <c r="D2436" s="963" t="n"/>
      <c r="E2436" s="214" t="n"/>
      <c r="F2436" s="269" t="inlineStr">
        <is>
          <t>P11F10</t>
        </is>
      </c>
      <c r="G2436" s="263" t="inlineStr">
        <is>
          <t>Mini pinza con asta mm. 200 e pinza</t>
        </is>
      </c>
      <c r="H2436" s="264" t="n">
        <v>100</v>
      </c>
      <c r="I2436" s="265" t="n">
        <v>0.919</v>
      </c>
      <c r="J2436" s="214" t="n"/>
      <c r="K2436" s="208" t="n"/>
      <c r="L2436" s="424" t="n"/>
      <c r="M2436" s="961" t="n"/>
      <c r="N2436" s="214" t="n"/>
    </row>
    <row r="2437">
      <c r="A2437" s="207" t="n"/>
      <c r="B2437" s="209" t="n"/>
      <c r="C2437" s="207" t="n"/>
      <c r="D2437" s="963" t="n"/>
      <c r="E2437" s="214" t="n"/>
      <c r="F2437" s="269" t="inlineStr">
        <is>
          <t>P11F11</t>
        </is>
      </c>
      <c r="G2437" s="263" t="inlineStr">
        <is>
          <t>Doppia mini pinza con asta mm. 200</t>
        </is>
      </c>
      <c r="H2437" s="264" t="n">
        <v>100</v>
      </c>
      <c r="I2437" s="265" t="n">
        <v>0.635</v>
      </c>
      <c r="J2437" s="214" t="n"/>
      <c r="K2437" s="208" t="n"/>
      <c r="L2437" s="424" t="n"/>
      <c r="M2437" s="961" t="n"/>
      <c r="N2437" s="214" t="n"/>
    </row>
    <row r="2438">
      <c r="A2438" s="207" t="n"/>
      <c r="B2438" s="209" t="n"/>
      <c r="C2438" s="207" t="n"/>
      <c r="D2438" s="963" t="n"/>
      <c r="E2438" s="214" t="n"/>
      <c r="F2438" s="269" t="inlineStr">
        <is>
          <t>P11F31</t>
        </is>
      </c>
      <c r="G2438" s="263" t="inlineStr">
        <is>
          <t>Mini pinza con asta mm. 200 e porta messaggio mm. 50</t>
        </is>
      </c>
      <c r="H2438" s="264" t="n">
        <v>100</v>
      </c>
      <c r="I2438" s="265" t="n">
        <v>0.637</v>
      </c>
      <c r="J2438" s="214" t="n"/>
      <c r="K2438" s="208" t="n"/>
      <c r="L2438" s="424" t="n"/>
      <c r="M2438" s="961" t="n"/>
      <c r="N2438" s="214" t="n"/>
    </row>
    <row r="2439">
      <c r="A2439" s="207" t="n"/>
      <c r="B2439" s="209" t="n"/>
      <c r="C2439" s="207" t="n"/>
      <c r="D2439" s="963" t="n"/>
      <c r="E2439" s="214" t="n"/>
      <c r="F2439" s="269" t="inlineStr">
        <is>
          <t>P11F32</t>
        </is>
      </c>
      <c r="G2439" s="263" t="inlineStr">
        <is>
          <t>Mini pinza con asta mm. 200 e porta messaggio mm. 27</t>
        </is>
      </c>
      <c r="H2439" s="264" t="n">
        <v>100</v>
      </c>
      <c r="I2439" s="265" t="n">
        <v>0.5659999999999999</v>
      </c>
      <c r="J2439" s="214" t="n"/>
      <c r="K2439" s="208" t="n"/>
      <c r="L2439" s="424" t="n"/>
      <c r="M2439" s="961" t="n"/>
      <c r="N2439" s="214" t="n"/>
    </row>
    <row r="2440">
      <c r="A2440" s="207" t="n"/>
      <c r="B2440" s="209" t="n"/>
      <c r="C2440" s="207" t="n"/>
      <c r="D2440" s="963" t="n"/>
      <c r="E2440" s="214" t="n"/>
      <c r="F2440" s="269" t="inlineStr">
        <is>
          <t>P11F33</t>
        </is>
      </c>
      <c r="G2440" s="263" t="inlineStr">
        <is>
          <t>Mini pinza con asta mm. 200 e porta messaggio a pinza mm. 80</t>
        </is>
      </c>
      <c r="H2440" s="264" t="n">
        <v>100</v>
      </c>
      <c r="I2440" s="265" t="n">
        <v>0.887</v>
      </c>
      <c r="J2440" s="214" t="n"/>
      <c r="K2440" s="208" t="n"/>
      <c r="L2440" s="424" t="n"/>
      <c r="M2440" s="961" t="n"/>
      <c r="N2440" s="214" t="n"/>
    </row>
    <row r="2441">
      <c r="A2441" s="207" t="n"/>
      <c r="B2441" s="209" t="n"/>
      <c r="C2441" s="207" t="n"/>
      <c r="D2441" s="963" t="n"/>
      <c r="E2441" s="214" t="n"/>
      <c r="F2441" s="269" t="inlineStr">
        <is>
          <t>P11F34</t>
        </is>
      </c>
      <c r="G2441" s="263" t="inlineStr">
        <is>
          <t>Mini pinza con asta mm. 200 e porta messaggio a pinza mm. 56</t>
        </is>
      </c>
      <c r="H2441" s="264" t="n">
        <v>100</v>
      </c>
      <c r="I2441" s="265" t="n">
        <v>0.867</v>
      </c>
      <c r="J2441" s="214" t="n"/>
      <c r="K2441" s="208" t="n"/>
      <c r="L2441" s="424" t="n"/>
      <c r="M2441" s="961" t="n"/>
      <c r="N2441" s="214" t="n"/>
    </row>
    <row r="2442">
      <c r="A2442" s="207" t="n"/>
      <c r="B2442" s="209" t="n"/>
      <c r="C2442" s="207" t="n"/>
      <c r="D2442" s="963" t="n"/>
      <c r="E2442" s="214" t="n"/>
      <c r="F2442" s="269" t="inlineStr">
        <is>
          <t>P11P40</t>
        </is>
      </c>
      <c r="G2442" s="263" t="inlineStr">
        <is>
          <t>Mini pinza con asta a "T" mm. 50 e porta prezzi</t>
        </is>
      </c>
      <c r="H2442" s="264" t="n">
        <v>100</v>
      </c>
      <c r="I2442" s="265" t="n">
        <v>0.5600000000000001</v>
      </c>
      <c r="J2442" s="214" t="n"/>
      <c r="K2442" s="208" t="n"/>
      <c r="L2442" s="424" t="n"/>
      <c r="M2442" s="961" t="n"/>
      <c r="N2442" s="214" t="n"/>
    </row>
    <row r="2443">
      <c r="A2443" s="207" t="n"/>
      <c r="B2443" s="209" t="n"/>
      <c r="C2443" s="207" t="n"/>
      <c r="D2443" s="963" t="n"/>
      <c r="E2443" s="214" t="n"/>
      <c r="F2443" s="269" t="inlineStr">
        <is>
          <t>P11Q40</t>
        </is>
      </c>
      <c r="G2443" s="263" t="inlineStr">
        <is>
          <t>Mini pinza con asta a "T" mm. 100 e porta prezzi</t>
        </is>
      </c>
      <c r="H2443" s="264" t="n">
        <v>100</v>
      </c>
      <c r="I2443" s="265" t="n">
        <v>0.57</v>
      </c>
      <c r="J2443" s="214" t="n"/>
      <c r="K2443" s="208" t="n"/>
      <c r="L2443" s="424" t="n"/>
      <c r="M2443" s="961" t="n"/>
      <c r="N2443" s="214" t="n"/>
    </row>
    <row r="2444">
      <c r="A2444" s="207" t="n"/>
      <c r="B2444" s="209" t="n"/>
      <c r="C2444" s="207" t="n"/>
      <c r="D2444" s="963" t="n"/>
      <c r="E2444" s="214" t="n"/>
      <c r="F2444" s="269" t="inlineStr">
        <is>
          <t>P11R40</t>
        </is>
      </c>
      <c r="G2444" s="263" t="inlineStr">
        <is>
          <t>Mini pinza con asta a "T" mm. 150 e porta prezzi</t>
        </is>
      </c>
      <c r="H2444" s="264" t="n">
        <v>100</v>
      </c>
      <c r="I2444" s="265" t="n">
        <v>0.579</v>
      </c>
      <c r="J2444" s="214" t="n"/>
      <c r="K2444" s="208" t="n"/>
      <c r="L2444" s="424" t="n"/>
      <c r="M2444" s="961" t="n"/>
      <c r="N2444" s="214" t="n"/>
    </row>
    <row r="2445">
      <c r="A2445" s="207" t="n"/>
      <c r="B2445" s="209" t="n"/>
      <c r="C2445" s="207" t="n"/>
      <c r="D2445" s="963" t="n"/>
      <c r="E2445" s="214" t="n"/>
      <c r="F2445" s="269" t="inlineStr">
        <is>
          <t>P11S40</t>
        </is>
      </c>
      <c r="G2445" s="263" t="inlineStr">
        <is>
          <t>Mini pinza con asta a "T" mm. 200 e porta prezzi</t>
        </is>
      </c>
      <c r="H2445" s="264" t="n">
        <v>100</v>
      </c>
      <c r="I2445" s="265" t="n">
        <v>0.588</v>
      </c>
      <c r="J2445" s="214" t="n"/>
      <c r="K2445" s="208" t="n"/>
      <c r="L2445" s="424" t="n"/>
      <c r="M2445" s="961" t="n"/>
      <c r="N2445" s="214" t="n"/>
    </row>
    <row r="2446">
      <c r="A2446" s="207" t="n"/>
      <c r="B2446" s="209" t="n"/>
      <c r="C2446" s="207" t="n"/>
      <c r="D2446" s="963" t="n"/>
      <c r="E2446" s="214" t="n"/>
      <c r="F2446" s="269" t="inlineStr">
        <is>
          <t>P12A10</t>
        </is>
      </c>
      <c r="G2446" s="263" t="inlineStr">
        <is>
          <t>Base diam. mm. 85 con pinza</t>
        </is>
      </c>
      <c r="H2446" s="264" t="n">
        <v>100</v>
      </c>
      <c r="I2446" s="265" t="n">
        <v>0.872</v>
      </c>
      <c r="J2446" s="214" t="n"/>
      <c r="K2446" s="208" t="n"/>
      <c r="L2446" s="424" t="n"/>
      <c r="M2446" s="961" t="n"/>
      <c r="N2446" s="214" t="n"/>
    </row>
    <row r="2447">
      <c r="A2447" s="207" t="n"/>
      <c r="B2447" s="209" t="n"/>
      <c r="C2447" s="207" t="n"/>
      <c r="D2447" s="963" t="n"/>
      <c r="E2447" s="214" t="n"/>
      <c r="F2447" s="269" t="inlineStr">
        <is>
          <t>P12A11</t>
        </is>
      </c>
      <c r="G2447" s="263" t="inlineStr">
        <is>
          <t>Base diam. mm. 85 con mini pinza</t>
        </is>
      </c>
      <c r="H2447" s="264" t="n">
        <v>100</v>
      </c>
      <c r="I2447" s="265" t="n">
        <v>0.578</v>
      </c>
      <c r="J2447" s="214" t="n"/>
      <c r="K2447" s="208" t="n"/>
      <c r="L2447" s="424" t="n"/>
      <c r="M2447" s="961" t="n"/>
      <c r="N2447" s="214" t="n"/>
    </row>
    <row r="2448">
      <c r="A2448" s="207" t="n"/>
      <c r="B2448" s="209" t="n"/>
      <c r="C2448" s="207" t="n"/>
      <c r="D2448" s="963" t="n"/>
      <c r="E2448" s="214" t="n"/>
      <c r="F2448" s="269" t="inlineStr">
        <is>
          <t>P12A31</t>
        </is>
      </c>
      <c r="G2448" s="263" t="inlineStr">
        <is>
          <t>Base diam. mm. 85 con porta messaggio 50 mm.</t>
        </is>
      </c>
      <c r="H2448" s="264" t="n">
        <v>100</v>
      </c>
      <c r="I2448" s="265" t="n">
        <v>0.594</v>
      </c>
      <c r="J2448" s="214" t="n"/>
      <c r="K2448" s="208" t="n"/>
      <c r="L2448" s="424" t="n"/>
      <c r="M2448" s="961" t="n"/>
      <c r="N2448" s="214" t="n"/>
    </row>
    <row r="2449">
      <c r="A2449" s="207" t="n"/>
      <c r="B2449" s="209" t="n"/>
      <c r="C2449" s="207" t="n"/>
      <c r="D2449" s="963" t="n"/>
      <c r="E2449" s="214" t="n"/>
      <c r="F2449" s="269" t="inlineStr">
        <is>
          <t>P12A32</t>
        </is>
      </c>
      <c r="G2449" s="263" t="inlineStr">
        <is>
          <t>Base diam. mm. 85 con porta messaggio 27 mm.</t>
        </is>
      </c>
      <c r="H2449" s="264" t="n">
        <v>100</v>
      </c>
      <c r="I2449" s="265" t="n">
        <v>0.411</v>
      </c>
      <c r="J2449" s="214" t="n"/>
      <c r="K2449" s="208" t="n"/>
      <c r="L2449" s="424" t="n"/>
      <c r="M2449" s="961" t="n"/>
      <c r="N2449" s="214" t="n"/>
    </row>
    <row r="2450">
      <c r="A2450" s="207" t="n"/>
      <c r="B2450" s="209" t="n"/>
      <c r="C2450" s="207" t="n"/>
      <c r="D2450" s="963" t="n"/>
      <c r="E2450" s="215" t="n"/>
      <c r="F2450" s="269" t="inlineStr">
        <is>
          <t>P12A33</t>
        </is>
      </c>
      <c r="G2450" s="263" t="inlineStr">
        <is>
          <t>Base diam. mm. 85 con porta messaggio a pinza 80 mm.</t>
        </is>
      </c>
      <c r="H2450" s="264" t="n">
        <v>100</v>
      </c>
      <c r="I2450" s="265" t="n">
        <v>0.864</v>
      </c>
      <c r="J2450" s="215" t="n"/>
      <c r="K2450" s="209" t="n"/>
      <c r="L2450" s="425" t="n"/>
      <c r="M2450" s="962" t="n"/>
      <c r="N2450" s="215" t="n"/>
    </row>
    <row r="2451">
      <c r="A2451" s="207" t="n"/>
      <c r="B2451" s="209" t="n"/>
      <c r="C2451" s="207" t="n"/>
      <c r="D2451" s="963" t="n"/>
      <c r="E2451" s="214" t="n"/>
      <c r="F2451" s="269" t="inlineStr">
        <is>
          <t>P12A34</t>
        </is>
      </c>
      <c r="G2451" s="263" t="inlineStr">
        <is>
          <t>Base diam. mm. 85 con porta messaggio a pinza 56 mm.</t>
        </is>
      </c>
      <c r="H2451" s="264" t="n">
        <v>100</v>
      </c>
      <c r="I2451" s="265" t="n">
        <v>0.607</v>
      </c>
      <c r="J2451" s="214" t="n"/>
      <c r="K2451" s="208" t="n"/>
      <c r="L2451" s="424" t="n"/>
      <c r="M2451" s="961" t="n"/>
      <c r="N2451" s="214" t="n"/>
    </row>
    <row r="2452">
      <c r="A2452" s="207" t="n"/>
      <c r="B2452" s="209" t="n"/>
      <c r="C2452" s="207" t="n"/>
      <c r="D2452" s="963" t="n"/>
      <c r="E2452" s="214" t="n"/>
      <c r="F2452" s="269" t="inlineStr">
        <is>
          <t>P12B10</t>
        </is>
      </c>
      <c r="G2452" s="263" t="inlineStr">
        <is>
          <t>Base diam. mm. 85 con asta mm. 15 e pinza</t>
        </is>
      </c>
      <c r="H2452" s="264" t="n">
        <v>100</v>
      </c>
      <c r="I2452" s="265" t="n">
        <v>1.025</v>
      </c>
      <c r="J2452" s="214" t="n"/>
      <c r="K2452" s="208" t="n"/>
      <c r="L2452" s="424" t="n"/>
      <c r="M2452" s="961" t="n"/>
      <c r="N2452" s="214" t="n"/>
    </row>
    <row r="2453">
      <c r="A2453" s="207" t="n"/>
      <c r="B2453" s="209" t="n"/>
      <c r="C2453" s="207" t="n"/>
      <c r="D2453" s="963" t="n"/>
      <c r="E2453" s="214" t="n"/>
      <c r="F2453" s="269" t="inlineStr">
        <is>
          <t>P12B11</t>
        </is>
      </c>
      <c r="G2453" s="263" t="inlineStr">
        <is>
          <t>Base diam. mm. 85 con asta mm. 15 e mini pinza</t>
        </is>
      </c>
      <c r="H2453" s="264" t="n">
        <v>100</v>
      </c>
      <c r="I2453" s="265" t="n">
        <v>0.659</v>
      </c>
      <c r="J2453" s="214" t="n"/>
      <c r="K2453" s="208" t="n"/>
      <c r="L2453" s="424" t="n"/>
      <c r="M2453" s="961" t="n"/>
      <c r="N2453" s="214" t="n"/>
    </row>
    <row r="2454">
      <c r="A2454" s="207" t="n"/>
      <c r="B2454" s="209" t="n"/>
      <c r="C2454" s="207" t="n"/>
      <c r="D2454" s="963" t="n"/>
      <c r="E2454" s="214" t="n"/>
      <c r="F2454" s="269" t="inlineStr">
        <is>
          <t>P12B31</t>
        </is>
      </c>
      <c r="G2454" s="263" t="inlineStr">
        <is>
          <t>Base diam. mm. 85 con asta mm. 15 e porta messaggio 50 mm.</t>
        </is>
      </c>
      <c r="H2454" s="264" t="n">
        <v>100</v>
      </c>
      <c r="I2454" s="265" t="n">
        <v>0.695</v>
      </c>
      <c r="J2454" s="214" t="n"/>
      <c r="K2454" s="208" t="n"/>
      <c r="L2454" s="424" t="n"/>
      <c r="M2454" s="961" t="n"/>
      <c r="N2454" s="214" t="n"/>
    </row>
    <row r="2455">
      <c r="A2455" s="207" t="n"/>
      <c r="B2455" s="209" t="n"/>
      <c r="C2455" s="207" t="n"/>
      <c r="D2455" s="963" t="n"/>
      <c r="E2455" s="214" t="n"/>
      <c r="F2455" s="269" t="inlineStr">
        <is>
          <t>P12B32</t>
        </is>
      </c>
      <c r="G2455" s="263" t="inlineStr">
        <is>
          <t>Base diam. mm. 85 con asta mm. 15 e porta messaggio 27 mm.</t>
        </is>
      </c>
      <c r="H2455" s="264" t="n">
        <v>100</v>
      </c>
      <c r="I2455" s="265" t="n">
        <v>0.59</v>
      </c>
      <c r="J2455" s="214" t="n"/>
      <c r="K2455" s="208" t="n"/>
      <c r="L2455" s="424" t="n"/>
      <c r="M2455" s="961" t="n"/>
      <c r="N2455" s="214" t="n"/>
    </row>
    <row r="2456">
      <c r="A2456" s="207" t="n"/>
      <c r="B2456" s="209" t="n"/>
      <c r="C2456" s="207" t="n"/>
      <c r="D2456" s="963" t="n"/>
      <c r="E2456" s="214" t="n"/>
      <c r="F2456" s="269" t="inlineStr">
        <is>
          <t>P12B33</t>
        </is>
      </c>
      <c r="G2456" s="263" t="inlineStr">
        <is>
          <t>Base diam. mm. 85 con asta mm. 15 e porta messaggio a pinza 80 mm.</t>
        </is>
      </c>
      <c r="H2456" s="264" t="n">
        <v>100</v>
      </c>
      <c r="I2456" s="265" t="n">
        <v>0.908</v>
      </c>
      <c r="J2456" s="214" t="n"/>
      <c r="K2456" s="208" t="n"/>
      <c r="L2456" s="424" t="n"/>
      <c r="M2456" s="961" t="n"/>
      <c r="N2456" s="214" t="n"/>
    </row>
    <row r="2457">
      <c r="A2457" s="207" t="n"/>
      <c r="B2457" s="209" t="n"/>
      <c r="C2457" s="207" t="n"/>
      <c r="D2457" s="963" t="n"/>
      <c r="E2457" s="214" t="n"/>
      <c r="F2457" s="269" t="inlineStr">
        <is>
          <t>P12B34</t>
        </is>
      </c>
      <c r="G2457" s="263" t="inlineStr">
        <is>
          <t>Base diam. mm. 85 con asta mm. 15 e porta messaggio a pinza 56 mm.</t>
        </is>
      </c>
      <c r="H2457" s="264" t="n">
        <v>100</v>
      </c>
      <c r="I2457" s="265" t="n">
        <v>0.668</v>
      </c>
      <c r="J2457" s="214" t="n"/>
      <c r="K2457" s="208" t="n"/>
      <c r="L2457" s="424" t="n"/>
      <c r="M2457" s="961" t="n"/>
      <c r="N2457" s="214" t="n"/>
    </row>
    <row r="2458">
      <c r="A2458" s="207" t="n"/>
      <c r="B2458" s="209" t="n"/>
      <c r="C2458" s="207" t="n"/>
      <c r="D2458" s="963" t="n"/>
      <c r="E2458" s="214" t="n"/>
      <c r="F2458" s="269" t="inlineStr">
        <is>
          <t>P12C10</t>
        </is>
      </c>
      <c r="G2458" s="263" t="inlineStr">
        <is>
          <t>Base diam. mm. 85 con asta mm. 50 e pinza</t>
        </is>
      </c>
      <c r="H2458" s="264" t="n">
        <v>100</v>
      </c>
      <c r="I2458" s="265" t="n">
        <v>1.035</v>
      </c>
      <c r="J2458" s="214" t="n"/>
      <c r="K2458" s="208" t="n"/>
      <c r="L2458" s="424" t="n"/>
      <c r="M2458" s="961" t="n"/>
      <c r="N2458" s="214" t="n"/>
    </row>
    <row r="2459">
      <c r="A2459" s="207" t="n"/>
      <c r="B2459" s="209" t="n"/>
      <c r="C2459" s="207" t="n"/>
      <c r="D2459" s="963" t="n"/>
      <c r="E2459" s="214" t="n"/>
      <c r="F2459" s="269" t="inlineStr">
        <is>
          <t>P12C11</t>
        </is>
      </c>
      <c r="G2459" s="263" t="inlineStr">
        <is>
          <t>Base diam. mm. 85 con asta mm. 50 e mini pinza</t>
        </is>
      </c>
      <c r="H2459" s="264" t="n">
        <v>100</v>
      </c>
      <c r="I2459" s="265" t="n">
        <v>0.666</v>
      </c>
      <c r="J2459" s="214" t="n"/>
      <c r="K2459" s="208" t="n"/>
      <c r="L2459" s="424" t="n"/>
      <c r="M2459" s="961" t="n"/>
      <c r="N2459" s="214" t="n"/>
    </row>
    <row r="2460">
      <c r="A2460" s="207" t="n"/>
      <c r="B2460" s="209" t="n"/>
      <c r="C2460" s="207" t="n"/>
      <c r="D2460" s="963" t="n"/>
      <c r="E2460" s="214" t="n"/>
      <c r="F2460" s="269" t="inlineStr">
        <is>
          <t>P12C31</t>
        </is>
      </c>
      <c r="G2460" s="263" t="inlineStr">
        <is>
          <t>Base diam. mm. 85 con asta mm. 50 e porta messaggio 50 mm.</t>
        </is>
      </c>
      <c r="H2460" s="264" t="n">
        <v>100</v>
      </c>
      <c r="I2460" s="265" t="n">
        <v>0.704</v>
      </c>
      <c r="J2460" s="214" t="n"/>
      <c r="K2460" s="209" t="n"/>
      <c r="L2460" s="425" t="n"/>
      <c r="M2460" s="962" t="n"/>
      <c r="N2460" s="214" t="n"/>
    </row>
    <row r="2461">
      <c r="A2461" s="207" t="n"/>
      <c r="B2461" s="209" t="n"/>
      <c r="C2461" s="207" t="n"/>
      <c r="D2461" s="963" t="n"/>
      <c r="E2461" s="214" t="n"/>
      <c r="F2461" s="269" t="inlineStr">
        <is>
          <t>P12C32</t>
        </is>
      </c>
      <c r="G2461" s="263" t="inlineStr">
        <is>
          <t>Base diam. mm. 85 con asta mm. 50 e porta messaggio 27 mm.</t>
        </is>
      </c>
      <c r="H2461" s="264" t="n">
        <v>100</v>
      </c>
      <c r="I2461" s="265" t="n">
        <v>0.599</v>
      </c>
      <c r="J2461" s="214" t="n"/>
      <c r="K2461" s="209" t="n"/>
      <c r="L2461" s="425" t="n"/>
      <c r="M2461" s="962" t="n"/>
      <c r="N2461" s="214" t="n"/>
    </row>
    <row r="2462">
      <c r="A2462" s="207" t="n"/>
      <c r="B2462" s="209" t="n"/>
      <c r="C2462" s="207" t="n"/>
      <c r="D2462" s="963" t="n"/>
      <c r="E2462" s="214" t="n"/>
      <c r="F2462" s="269" t="inlineStr">
        <is>
          <t>P12C33</t>
        </is>
      </c>
      <c r="G2462" s="263" t="inlineStr">
        <is>
          <t>Base diam. mm. 85 con asta mm. 50 e porta messaggio a pinza 80 mm.</t>
        </is>
      </c>
      <c r="H2462" s="264" t="n">
        <v>100</v>
      </c>
      <c r="I2462" s="265" t="n">
        <v>0.916</v>
      </c>
      <c r="J2462" s="214" t="n"/>
      <c r="K2462" s="208" t="n"/>
      <c r="L2462" s="424" t="n"/>
      <c r="M2462" s="961" t="n"/>
      <c r="N2462" s="214" t="n"/>
    </row>
    <row r="2463">
      <c r="A2463" s="207" t="n"/>
      <c r="B2463" s="209" t="n"/>
      <c r="C2463" s="207" t="n"/>
      <c r="D2463" s="963" t="n"/>
      <c r="E2463" s="214" t="n"/>
      <c r="F2463" s="269" t="inlineStr">
        <is>
          <t>P12C34</t>
        </is>
      </c>
      <c r="G2463" s="263" t="inlineStr">
        <is>
          <t>Base diam. mm. 85 con asta mm. 50 e porta messaggio a pinza 56 mm.</t>
        </is>
      </c>
      <c r="H2463" s="264" t="n">
        <v>100</v>
      </c>
      <c r="I2463" s="265" t="n">
        <v>0.674</v>
      </c>
      <c r="J2463" s="214" t="n"/>
      <c r="K2463" s="208" t="n"/>
      <c r="L2463" s="424" t="n"/>
      <c r="M2463" s="961" t="n"/>
      <c r="N2463" s="214" t="n"/>
    </row>
    <row r="2464">
      <c r="A2464" s="207" t="n"/>
      <c r="B2464" s="209" t="n"/>
      <c r="C2464" s="207" t="n"/>
      <c r="D2464" s="963" t="n"/>
      <c r="E2464" s="214" t="n"/>
      <c r="F2464" s="269" t="inlineStr">
        <is>
          <t>P12D10</t>
        </is>
      </c>
      <c r="G2464" s="263" t="inlineStr">
        <is>
          <t>Base diam. mm. 85 con asta mm. 100 e pinza</t>
        </is>
      </c>
      <c r="H2464" s="264" t="n">
        <v>100</v>
      </c>
      <c r="I2464" s="265" t="n">
        <v>1.047</v>
      </c>
      <c r="J2464" s="214" t="n"/>
      <c r="K2464" s="208" t="n"/>
      <c r="L2464" s="424" t="n"/>
      <c r="M2464" s="961" t="n"/>
      <c r="N2464" s="214" t="n"/>
    </row>
    <row r="2465">
      <c r="A2465" s="207" t="n"/>
      <c r="B2465" s="209" t="n"/>
      <c r="C2465" s="207" t="n"/>
      <c r="D2465" s="963" t="n"/>
      <c r="E2465" s="214" t="n"/>
      <c r="F2465" s="269" t="inlineStr">
        <is>
          <t>P12D11</t>
        </is>
      </c>
      <c r="G2465" s="263" t="inlineStr">
        <is>
          <t>Base diam. mm. 85 con asta mm. 100 e mini pinza</t>
        </is>
      </c>
      <c r="H2465" s="264" t="n">
        <v>100</v>
      </c>
      <c r="I2465" s="265" t="n">
        <v>0.675</v>
      </c>
      <c r="J2465" s="214" t="n"/>
      <c r="K2465" s="208" t="n"/>
      <c r="L2465" s="424" t="n"/>
      <c r="M2465" s="961" t="n"/>
      <c r="N2465" s="214" t="n"/>
    </row>
    <row r="2466">
      <c r="A2466" s="207" t="n"/>
      <c r="B2466" s="209" t="n"/>
      <c r="C2466" s="207" t="n"/>
      <c r="D2466" s="963" t="n"/>
      <c r="E2466" s="214" t="n"/>
      <c r="F2466" s="269" t="inlineStr">
        <is>
          <t>P12D31</t>
        </is>
      </c>
      <c r="G2466" s="263" t="inlineStr">
        <is>
          <t>Base diam. mm. 85 con asta mm. 100 e porta messaggio 50 mm.</t>
        </is>
      </c>
      <c r="H2466" s="264" t="n">
        <v>100</v>
      </c>
      <c r="I2466" s="265" t="n">
        <v>0.714</v>
      </c>
      <c r="J2466" s="214" t="n"/>
      <c r="K2466" s="208" t="n"/>
      <c r="L2466" s="424" t="n"/>
      <c r="M2466" s="961" t="n"/>
      <c r="N2466" s="214" t="n"/>
    </row>
    <row r="2467">
      <c r="A2467" s="207" t="n"/>
      <c r="B2467" s="209" t="n"/>
      <c r="C2467" s="207" t="n"/>
      <c r="D2467" s="963" t="n"/>
      <c r="E2467" s="214" t="n"/>
      <c r="F2467" s="269" t="inlineStr">
        <is>
          <t>P12D32</t>
        </is>
      </c>
      <c r="G2467" s="263" t="inlineStr">
        <is>
          <t>Base diam. mm. 85 con asta mm. 100 e porta messaggio 27 mm.</t>
        </is>
      </c>
      <c r="H2467" s="264" t="n">
        <v>100</v>
      </c>
      <c r="I2467" s="265" t="n">
        <v>0.609</v>
      </c>
      <c r="J2467" s="214" t="n"/>
      <c r="K2467" s="208" t="n"/>
      <c r="L2467" s="424" t="n"/>
      <c r="M2467" s="961" t="n"/>
      <c r="N2467" s="214" t="n"/>
    </row>
    <row r="2468">
      <c r="A2468" s="207" t="n"/>
      <c r="B2468" s="209" t="n"/>
      <c r="C2468" s="207" t="n"/>
      <c r="D2468" s="963" t="n"/>
      <c r="E2468" s="214" t="n"/>
      <c r="F2468" s="269" t="inlineStr">
        <is>
          <t>P12D33</t>
        </is>
      </c>
      <c r="G2468" s="263" t="inlineStr">
        <is>
          <t>Base diam. mm. 85 con asta mm. 100 e porta messaggio a pinza 80 mm.</t>
        </is>
      </c>
      <c r="H2468" s="264" t="n">
        <v>100</v>
      </c>
      <c r="I2468" s="265" t="n">
        <v>0.927</v>
      </c>
      <c r="J2468" s="214" t="n"/>
      <c r="K2468" s="208" t="n"/>
      <c r="L2468" s="424" t="n"/>
      <c r="M2468" s="961" t="n"/>
      <c r="N2468" s="214" t="n"/>
    </row>
    <row r="2469">
      <c r="A2469" s="207" t="n"/>
      <c r="B2469" s="209" t="n"/>
      <c r="C2469" s="207" t="n"/>
      <c r="D2469" s="963" t="n"/>
      <c r="E2469" s="214" t="n"/>
      <c r="F2469" s="269" t="inlineStr">
        <is>
          <t>P12D34</t>
        </is>
      </c>
      <c r="G2469" s="263" t="inlineStr">
        <is>
          <t>Base diam. mm. 85 con asta mm. 100 e porta messaggio a pinza 56 mm.</t>
        </is>
      </c>
      <c r="H2469" s="264" t="n">
        <v>100</v>
      </c>
      <c r="I2469" s="265" t="n">
        <v>0.681</v>
      </c>
      <c r="J2469" s="214" t="n"/>
      <c r="K2469" s="208" t="n"/>
      <c r="L2469" s="424" t="n"/>
      <c r="M2469" s="961" t="n"/>
      <c r="N2469" s="214" t="n"/>
    </row>
    <row r="2470">
      <c r="A2470" s="207" t="n"/>
      <c r="B2470" s="209" t="n"/>
      <c r="C2470" s="207" t="n"/>
      <c r="D2470" s="963" t="n"/>
      <c r="E2470" s="214" t="n"/>
      <c r="F2470" s="269" t="inlineStr">
        <is>
          <t>P12E10</t>
        </is>
      </c>
      <c r="G2470" s="263" t="inlineStr">
        <is>
          <t>Base diam. mm. 85 con asta mm. 150 e pinza</t>
        </is>
      </c>
      <c r="H2470" s="264" t="n">
        <v>100</v>
      </c>
      <c r="I2470" s="265" t="n">
        <v>1.06</v>
      </c>
      <c r="J2470" s="214" t="n"/>
      <c r="K2470" s="208" t="n"/>
      <c r="L2470" s="424" t="n"/>
      <c r="M2470" s="961" t="n"/>
      <c r="N2470" s="214" t="n"/>
    </row>
    <row r="2471">
      <c r="A2471" s="207" t="n"/>
      <c r="B2471" s="209" t="n"/>
      <c r="C2471" s="207" t="n"/>
      <c r="D2471" s="963" t="n"/>
      <c r="E2471" s="214" t="n"/>
      <c r="F2471" s="269" t="inlineStr">
        <is>
          <t>P12E11</t>
        </is>
      </c>
      <c r="G2471" s="263" t="inlineStr">
        <is>
          <t>Base diam. mm. 85 con asta mm. 150 e mini pinza</t>
        </is>
      </c>
      <c r="H2471" s="264" t="n">
        <v>100</v>
      </c>
      <c r="I2471" s="265" t="n">
        <v>0.6850000000000001</v>
      </c>
      <c r="J2471" s="214" t="n"/>
      <c r="K2471" s="208" t="n"/>
      <c r="L2471" s="424" t="n"/>
      <c r="M2471" s="961" t="n"/>
      <c r="N2471" s="214" t="n"/>
    </row>
    <row r="2472">
      <c r="A2472" s="207" t="n"/>
      <c r="B2472" s="209" t="n"/>
      <c r="C2472" s="207" t="n"/>
      <c r="D2472" s="963" t="n"/>
      <c r="E2472" s="214" t="n"/>
      <c r="F2472" s="269" t="inlineStr">
        <is>
          <t>P12E31</t>
        </is>
      </c>
      <c r="G2472" s="263" t="inlineStr">
        <is>
          <t>Base diam. mm. 85 con asta mm. 150 e porta messaggio 50 mm.</t>
        </is>
      </c>
      <c r="H2472" s="264" t="n">
        <v>100</v>
      </c>
      <c r="I2472" s="265" t="n">
        <v>0.726</v>
      </c>
      <c r="J2472" s="214" t="n"/>
      <c r="K2472" s="208" t="n"/>
      <c r="L2472" s="424" t="n"/>
      <c r="M2472" s="961" t="n"/>
      <c r="N2472" s="214" t="n"/>
    </row>
    <row r="2473">
      <c r="A2473" s="207" t="n"/>
      <c r="B2473" s="209" t="n"/>
      <c r="C2473" s="207" t="n"/>
      <c r="D2473" s="963" t="n"/>
      <c r="E2473" s="214" t="n"/>
      <c r="F2473" s="269" t="inlineStr">
        <is>
          <t>P12E32</t>
        </is>
      </c>
      <c r="G2473" s="263" t="inlineStr">
        <is>
          <t>Base diam. mm. 85 con asta mm. 150 e porta messaggio 27 mm.</t>
        </is>
      </c>
      <c r="H2473" s="264" t="n">
        <v>100</v>
      </c>
      <c r="I2473" s="265" t="n">
        <v>0.621</v>
      </c>
      <c r="J2473" s="214" t="n"/>
      <c r="K2473" s="208" t="n"/>
      <c r="L2473" s="424" t="n"/>
      <c r="M2473" s="961" t="n"/>
      <c r="N2473" s="214" t="n"/>
    </row>
    <row r="2474">
      <c r="A2474" s="207" t="n"/>
      <c r="B2474" s="209" t="n"/>
      <c r="C2474" s="207" t="n"/>
      <c r="D2474" s="963" t="n"/>
      <c r="E2474" s="214" t="n"/>
      <c r="F2474" s="269" t="inlineStr">
        <is>
          <t>P12E33</t>
        </is>
      </c>
      <c r="G2474" s="263" t="inlineStr">
        <is>
          <t>Base diam. mm. 85 con asta mm. 150 e porta messaggio a pinza 80 mm.</t>
        </is>
      </c>
      <c r="H2474" s="264" t="n">
        <v>100</v>
      </c>
      <c r="I2474" s="265" t="n">
        <v>0.9389999999999999</v>
      </c>
      <c r="J2474" s="214" t="n"/>
      <c r="K2474" s="208" t="n"/>
      <c r="L2474" s="424" t="n"/>
      <c r="M2474" s="961" t="n"/>
      <c r="N2474" s="214" t="n"/>
    </row>
    <row r="2475">
      <c r="A2475" s="207" t="n"/>
      <c r="B2475" s="209" t="n"/>
      <c r="C2475" s="207" t="n"/>
      <c r="D2475" s="963" t="n"/>
      <c r="E2475" s="214" t="n"/>
      <c r="F2475" s="269" t="inlineStr">
        <is>
          <t>P12E34</t>
        </is>
      </c>
      <c r="G2475" s="263" t="inlineStr">
        <is>
          <t>Base diam. mm. 85 con asta mm. 150 e porta messaggio a pinza 56 mm.</t>
        </is>
      </c>
      <c r="H2475" s="264" t="n">
        <v>100</v>
      </c>
      <c r="I2475" s="265" t="n">
        <v>0.6889999999999999</v>
      </c>
      <c r="J2475" s="214" t="n"/>
      <c r="K2475" s="208" t="n"/>
      <c r="L2475" s="424" t="n"/>
      <c r="M2475" s="961" t="n"/>
      <c r="N2475" s="214" t="n"/>
    </row>
    <row r="2476">
      <c r="A2476" s="207" t="n"/>
      <c r="B2476" s="209" t="n"/>
      <c r="C2476" s="207" t="n"/>
      <c r="D2476" s="963" t="n"/>
      <c r="E2476" s="214" t="n"/>
      <c r="F2476" s="269" t="inlineStr">
        <is>
          <t>P12F10</t>
        </is>
      </c>
      <c r="G2476" s="263" t="inlineStr">
        <is>
          <t>Base diam. mm. 85 con asta mm. 200 e pinza</t>
        </is>
      </c>
      <c r="H2476" s="264" t="n">
        <v>100</v>
      </c>
      <c r="I2476" s="265" t="n">
        <v>1.071</v>
      </c>
      <c r="J2476" s="214" t="n"/>
      <c r="K2476" s="208" t="n"/>
      <c r="L2476" s="424" t="n"/>
      <c r="M2476" s="961" t="n"/>
      <c r="N2476" s="214" t="n"/>
    </row>
    <row r="2477">
      <c r="A2477" s="207" t="n"/>
      <c r="B2477" s="209" t="n"/>
      <c r="C2477" s="207" t="n"/>
      <c r="D2477" s="963" t="n"/>
      <c r="E2477" s="214" t="n"/>
      <c r="F2477" s="269" t="inlineStr">
        <is>
          <t>P12F11</t>
        </is>
      </c>
      <c r="G2477" s="263" t="inlineStr">
        <is>
          <t>Base diam. mm. 85 con asta mm. 200 e mini pinza</t>
        </is>
      </c>
      <c r="H2477" s="264" t="n">
        <v>100</v>
      </c>
      <c r="I2477" s="265" t="n">
        <v>0.694</v>
      </c>
      <c r="J2477" s="214" t="n"/>
      <c r="K2477" s="208" t="n"/>
      <c r="L2477" s="424" t="n"/>
      <c r="M2477" s="961" t="n"/>
      <c r="N2477" s="214" t="n"/>
    </row>
    <row r="2478">
      <c r="A2478" s="207" t="n"/>
      <c r="B2478" s="209" t="n"/>
      <c r="C2478" s="207" t="n"/>
      <c r="D2478" s="963" t="n"/>
      <c r="E2478" s="214" t="n"/>
      <c r="F2478" s="269" t="inlineStr">
        <is>
          <t>P12F31</t>
        </is>
      </c>
      <c r="G2478" s="263" t="inlineStr">
        <is>
          <t>Base diam. mm. 85 con asta mm. 200 e porta messaggio 50 mm.</t>
        </is>
      </c>
      <c r="H2478" s="264" t="n">
        <v>100</v>
      </c>
      <c r="I2478" s="265" t="n">
        <v>0.735</v>
      </c>
      <c r="J2478" s="214" t="n"/>
      <c r="K2478" s="208" t="n"/>
      <c r="L2478" s="424" t="n"/>
      <c r="M2478" s="961" t="n"/>
      <c r="N2478" s="214" t="n"/>
    </row>
    <row r="2479">
      <c r="A2479" s="207" t="n"/>
      <c r="B2479" s="209" t="n"/>
      <c r="C2479" s="207" t="n"/>
      <c r="D2479" s="963" t="n"/>
      <c r="E2479" s="214" t="n"/>
      <c r="F2479" s="269" t="inlineStr">
        <is>
          <t>P12F32</t>
        </is>
      </c>
      <c r="G2479" s="263" t="inlineStr">
        <is>
          <t>Base diam. mm. 85 con asta mm. 200 e porta messaggio 27 mm.</t>
        </is>
      </c>
      <c r="H2479" s="264" t="n">
        <v>100</v>
      </c>
      <c r="I2479" s="265" t="n">
        <v>0.631</v>
      </c>
      <c r="J2479" s="214" t="n"/>
      <c r="K2479" s="208" t="n"/>
      <c r="L2479" s="424" t="n"/>
      <c r="M2479" s="961" t="n"/>
      <c r="N2479" s="214" t="n"/>
    </row>
    <row r="2480">
      <c r="A2480" s="207" t="n"/>
      <c r="B2480" s="209" t="n"/>
      <c r="C2480" s="207" t="n"/>
      <c r="D2480" s="963" t="n"/>
      <c r="E2480" s="214" t="n"/>
      <c r="F2480" s="269" t="inlineStr">
        <is>
          <t>P12F33</t>
        </is>
      </c>
      <c r="G2480" s="263" t="inlineStr">
        <is>
          <t>Base diam. mm. 85 con asta mm. 200 e porta messaggio a pinza 80 mm.</t>
        </is>
      </c>
      <c r="H2480" s="264" t="n">
        <v>100</v>
      </c>
      <c r="I2480" s="265" t="n">
        <v>0.948</v>
      </c>
      <c r="J2480" s="214" t="n"/>
      <c r="K2480" s="208" t="n"/>
      <c r="L2480" s="424" t="n"/>
      <c r="M2480" s="961" t="n"/>
      <c r="N2480" s="214" t="n"/>
    </row>
    <row r="2481">
      <c r="A2481" s="207" t="n"/>
      <c r="B2481" s="209" t="n"/>
      <c r="C2481" s="207" t="n"/>
      <c r="D2481" s="963" t="n"/>
      <c r="E2481" s="214" t="n"/>
      <c r="F2481" s="269" t="inlineStr">
        <is>
          <t>P12F34</t>
        </is>
      </c>
      <c r="G2481" s="263" t="inlineStr">
        <is>
          <t>Base diam. mm. 85 con asta mm. 200 e porta messaggio a pinza 56 mm.</t>
        </is>
      </c>
      <c r="H2481" s="264" t="n">
        <v>100</v>
      </c>
      <c r="I2481" s="265" t="n">
        <v>0.696</v>
      </c>
      <c r="J2481" s="214" t="n"/>
      <c r="K2481" s="208" t="n"/>
      <c r="L2481" s="424" t="n"/>
      <c r="M2481" s="961" t="n"/>
      <c r="N2481" s="214" t="n"/>
    </row>
    <row r="2482">
      <c r="A2482" s="207" t="n"/>
      <c r="B2482" s="209" t="n"/>
      <c r="C2482" s="207" t="n"/>
      <c r="D2482" s="963" t="n"/>
      <c r="E2482" s="214" t="n"/>
      <c r="F2482" s="269" t="inlineStr">
        <is>
          <t>P12P40</t>
        </is>
      </c>
      <c r="G2482" s="263" t="inlineStr">
        <is>
          <t>Base diam. 85 mm. con asta a "T" mm. 50 e porta prezzi</t>
        </is>
      </c>
      <c r="H2482" s="264" t="n">
        <v>100</v>
      </c>
      <c r="I2482" s="265" t="n">
        <v>0.502</v>
      </c>
      <c r="J2482" s="214" t="n"/>
      <c r="K2482" s="208" t="n"/>
      <c r="L2482" s="424" t="n"/>
      <c r="M2482" s="961" t="n"/>
      <c r="N2482" s="214" t="n"/>
    </row>
    <row r="2483">
      <c r="A2483" s="207" t="n"/>
      <c r="B2483" s="209" t="n"/>
      <c r="C2483" s="207" t="n"/>
      <c r="D2483" s="963" t="n"/>
      <c r="E2483" s="214" t="n"/>
      <c r="F2483" s="269" t="inlineStr">
        <is>
          <t>P12Q40</t>
        </is>
      </c>
      <c r="G2483" s="263" t="inlineStr">
        <is>
          <t>Base diam. 85 mm. con asta a "T" mm. 100 e porta prezzi</t>
        </is>
      </c>
      <c r="H2483" s="264" t="n">
        <v>100</v>
      </c>
      <c r="I2483" s="265" t="n">
        <v>0.512</v>
      </c>
      <c r="J2483" s="214" t="n"/>
      <c r="K2483" s="208" t="n"/>
      <c r="L2483" s="424" t="n"/>
      <c r="M2483" s="961" t="n"/>
      <c r="N2483" s="214" t="n"/>
    </row>
    <row r="2484">
      <c r="A2484" s="207" t="n"/>
      <c r="B2484" s="209" t="n"/>
      <c r="C2484" s="207" t="n"/>
      <c r="D2484" s="963" t="n"/>
      <c r="E2484" s="214" t="n"/>
      <c r="F2484" s="269" t="inlineStr">
        <is>
          <t>P12R40</t>
        </is>
      </c>
      <c r="G2484" s="263" t="inlineStr">
        <is>
          <t>Base diam. 85 mm. con asta a "T" mm. 150 e porta prezzi</t>
        </is>
      </c>
      <c r="H2484" s="264" t="n">
        <v>100</v>
      </c>
      <c r="I2484" s="265" t="n">
        <v>0.521</v>
      </c>
      <c r="J2484" s="214" t="n"/>
      <c r="K2484" s="208" t="n"/>
      <c r="L2484" s="424" t="n"/>
      <c r="M2484" s="961" t="n"/>
      <c r="N2484" s="214" t="n"/>
    </row>
    <row r="2485">
      <c r="A2485" s="207" t="n"/>
      <c r="B2485" s="209" t="n"/>
      <c r="C2485" s="207" t="n"/>
      <c r="D2485" s="963" t="n"/>
      <c r="E2485" s="214" t="n"/>
      <c r="F2485" s="269" t="inlineStr">
        <is>
          <t>P12S40</t>
        </is>
      </c>
      <c r="G2485" s="263" t="inlineStr">
        <is>
          <t>Base diam. 85 mm. con asta a "T" mm. 200 e porta prezzi</t>
        </is>
      </c>
      <c r="H2485" s="264" t="n">
        <v>100</v>
      </c>
      <c r="I2485" s="265" t="n">
        <v>0.53</v>
      </c>
      <c r="J2485" s="214" t="n"/>
      <c r="K2485" s="208" t="n"/>
      <c r="L2485" s="424" t="n"/>
      <c r="M2485" s="961" t="n"/>
      <c r="N2485" s="214" t="n"/>
    </row>
    <row r="2486">
      <c r="A2486" s="207" t="n"/>
      <c r="B2486" s="209" t="n"/>
      <c r="C2486" s="207" t="n"/>
      <c r="D2486" s="963" t="n"/>
      <c r="E2486" s="214" t="n"/>
      <c r="F2486" s="269" t="inlineStr">
        <is>
          <t>P13A10</t>
        </is>
      </c>
      <c r="G2486" s="263" t="inlineStr">
        <is>
          <t>Base diam. mm. 50 con pinza</t>
        </is>
      </c>
      <c r="H2486" s="264" t="n">
        <v>100</v>
      </c>
      <c r="I2486" s="265" t="n">
        <v>0.676</v>
      </c>
      <c r="J2486" s="214" t="n"/>
      <c r="K2486" s="208" t="n"/>
      <c r="L2486" s="424" t="n"/>
      <c r="M2486" s="961" t="n"/>
      <c r="N2486" s="214" t="n"/>
    </row>
    <row r="2487">
      <c r="A2487" s="207" t="n"/>
      <c r="B2487" s="209" t="n"/>
      <c r="C2487" s="207" t="n"/>
      <c r="D2487" s="963" t="n"/>
      <c r="E2487" s="214" t="n"/>
      <c r="F2487" s="269" t="inlineStr">
        <is>
          <t>P13A11</t>
        </is>
      </c>
      <c r="G2487" s="263" t="inlineStr">
        <is>
          <t>Base diam. mm. 50 con mini pinza</t>
        </is>
      </c>
      <c r="H2487" s="264" t="n">
        <v>100</v>
      </c>
      <c r="I2487" s="265" t="n">
        <v>0.362</v>
      </c>
      <c r="J2487" s="214" t="n"/>
      <c r="K2487" s="208" t="n"/>
      <c r="L2487" s="424" t="n"/>
      <c r="M2487" s="961" t="n"/>
      <c r="N2487" s="214" t="n"/>
    </row>
    <row r="2488">
      <c r="A2488" s="207" t="n"/>
      <c r="B2488" s="209" t="n"/>
      <c r="C2488" s="207" t="n"/>
      <c r="D2488" s="963" t="n"/>
      <c r="E2488" s="214" t="n"/>
      <c r="F2488" s="269" t="inlineStr">
        <is>
          <t>P13A31</t>
        </is>
      </c>
      <c r="G2488" s="263" t="inlineStr">
        <is>
          <t>Base diam. mm. 50 con porta messaggio 50 mm.</t>
        </is>
      </c>
      <c r="H2488" s="264" t="n">
        <v>100</v>
      </c>
      <c r="I2488" s="265" t="n">
        <v>0.379</v>
      </c>
      <c r="J2488" s="214" t="n"/>
      <c r="K2488" s="208" t="n"/>
      <c r="L2488" s="424" t="n"/>
      <c r="M2488" s="961" t="n"/>
      <c r="N2488" s="214" t="n"/>
    </row>
    <row r="2489">
      <c r="A2489" s="207" t="n"/>
      <c r="B2489" s="209" t="n"/>
      <c r="C2489" s="207" t="n"/>
      <c r="D2489" s="963" t="n"/>
      <c r="E2489" s="214" t="n"/>
      <c r="F2489" s="269" t="inlineStr">
        <is>
          <t>P13A32</t>
        </is>
      </c>
      <c r="G2489" s="263" t="inlineStr">
        <is>
          <t>Base diam. mm. 50 con porta messaggio 27 mm.</t>
        </is>
      </c>
      <c r="H2489" s="264" t="n">
        <v>100</v>
      </c>
      <c r="I2489" s="265" t="n">
        <v>0.279</v>
      </c>
      <c r="J2489" s="214" t="n"/>
      <c r="K2489" s="208" t="n"/>
      <c r="L2489" s="424" t="n"/>
      <c r="M2489" s="961" t="n"/>
      <c r="N2489" s="214" t="n"/>
    </row>
    <row r="2490">
      <c r="A2490" s="207" t="n"/>
      <c r="B2490" s="209" t="n"/>
      <c r="C2490" s="207" t="n"/>
      <c r="D2490" s="963" t="n"/>
      <c r="E2490" s="214" t="n"/>
      <c r="F2490" s="269" t="inlineStr">
        <is>
          <t>P13A33</t>
        </is>
      </c>
      <c r="G2490" s="263" t="inlineStr">
        <is>
          <t>Base diam. mm. 50 con porta messaggio a pinza mm. 80</t>
        </is>
      </c>
      <c r="H2490" s="264" t="n">
        <v>100</v>
      </c>
      <c r="I2490" s="265" t="n">
        <v>0.635</v>
      </c>
      <c r="J2490" s="214" t="n"/>
      <c r="K2490" s="208" t="n"/>
      <c r="L2490" s="424" t="n"/>
      <c r="M2490" s="961" t="n"/>
      <c r="N2490" s="214" t="n"/>
    </row>
    <row r="2491">
      <c r="A2491" s="207" t="n"/>
      <c r="B2491" s="209" t="n"/>
      <c r="C2491" s="207" t="n"/>
      <c r="D2491" s="963" t="n"/>
      <c r="E2491" s="214" t="n"/>
      <c r="F2491" s="269" t="inlineStr">
        <is>
          <t>P13A34</t>
        </is>
      </c>
      <c r="G2491" s="263" t="inlineStr">
        <is>
          <t>Base diam. mm. 50 con porta messaggio a pinza mm. 56</t>
        </is>
      </c>
      <c r="H2491" s="264" t="n">
        <v>100</v>
      </c>
      <c r="I2491" s="265" t="n">
        <v>0.607</v>
      </c>
      <c r="J2491" s="214" t="n"/>
      <c r="K2491" s="208" t="n"/>
      <c r="L2491" s="424" t="n"/>
      <c r="M2491" s="961" t="n"/>
      <c r="N2491" s="214" t="n"/>
    </row>
    <row r="2492">
      <c r="A2492" s="207" t="n"/>
      <c r="B2492" s="209" t="n"/>
      <c r="C2492" s="207" t="n"/>
      <c r="D2492" s="963" t="n"/>
      <c r="E2492" s="214" t="n"/>
      <c r="F2492" s="269" t="inlineStr">
        <is>
          <t>P13B10</t>
        </is>
      </c>
      <c r="G2492" s="263" t="inlineStr">
        <is>
          <t>Base diam. mm. 50 con asta mm. 15 e pinza</t>
        </is>
      </c>
      <c r="H2492" s="264" t="n">
        <v>100</v>
      </c>
      <c r="I2492" s="265" t="n">
        <v>0.777</v>
      </c>
      <c r="J2492" s="214" t="n"/>
      <c r="K2492" s="208" t="n"/>
      <c r="L2492" s="424" t="n"/>
      <c r="M2492" s="961" t="n"/>
      <c r="N2492" s="214" t="n"/>
    </row>
    <row r="2493">
      <c r="A2493" s="207" t="n"/>
      <c r="B2493" s="209" t="n"/>
      <c r="C2493" s="207" t="n"/>
      <c r="D2493" s="963" t="n"/>
      <c r="E2493" s="214" t="n"/>
      <c r="F2493" s="269" t="inlineStr">
        <is>
          <t>P13B11</t>
        </is>
      </c>
      <c r="G2493" s="263" t="inlineStr">
        <is>
          <t>Base diam. mm. 50 con asta mm. 15 e mini pinza</t>
        </is>
      </c>
      <c r="H2493" s="264" t="n">
        <v>100</v>
      </c>
      <c r="I2493" s="265" t="n">
        <v>0.457</v>
      </c>
      <c r="J2493" s="214" t="n"/>
      <c r="K2493" s="208" t="n"/>
      <c r="L2493" s="424" t="n"/>
      <c r="M2493" s="961" t="n"/>
      <c r="N2493" s="214" t="n"/>
    </row>
    <row r="2494">
      <c r="A2494" s="207" t="n"/>
      <c r="B2494" s="209" t="n"/>
      <c r="C2494" s="207" t="n"/>
      <c r="D2494" s="963" t="n"/>
      <c r="E2494" s="214" t="n"/>
      <c r="F2494" s="269" t="inlineStr">
        <is>
          <t>P13B31</t>
        </is>
      </c>
      <c r="G2494" s="263" t="inlineStr">
        <is>
          <t>Base diam. mm. 50 con asta mm. 15 e porta messaggio 50 mm.</t>
        </is>
      </c>
      <c r="H2494" s="264" t="n">
        <v>100</v>
      </c>
      <c r="I2494" s="265" t="n">
        <v>0.469</v>
      </c>
      <c r="J2494" s="214" t="n"/>
      <c r="K2494" s="208" t="n"/>
      <c r="L2494" s="424" t="n"/>
      <c r="M2494" s="961" t="n"/>
      <c r="N2494" s="214" t="n"/>
    </row>
    <row r="2495">
      <c r="A2495" s="207" t="n"/>
      <c r="B2495" s="209" t="n"/>
      <c r="C2495" s="209" t="n"/>
      <c r="D2495" s="960" t="n"/>
      <c r="E2495" s="214" t="n"/>
      <c r="F2495" s="269" t="inlineStr">
        <is>
          <t>P13B32</t>
        </is>
      </c>
      <c r="G2495" s="263" t="inlineStr">
        <is>
          <t>Base diam. mm. 50 con asta mm. 15 e porta messaggio 27 mm.</t>
        </is>
      </c>
      <c r="H2495" s="264" t="n">
        <v>100</v>
      </c>
      <c r="I2495" s="265" t="n">
        <v>0.377</v>
      </c>
      <c r="J2495" s="214" t="n"/>
      <c r="K2495" s="208" t="n"/>
      <c r="L2495" s="424" t="n"/>
      <c r="M2495" s="961" t="n"/>
      <c r="N2495" s="214" t="n"/>
    </row>
    <row r="2496">
      <c r="A2496" s="207" t="n"/>
      <c r="B2496" s="209" t="n"/>
      <c r="C2496" s="207" t="n"/>
      <c r="D2496" s="963" t="n"/>
      <c r="E2496" s="214" t="n"/>
      <c r="F2496" s="269" t="inlineStr">
        <is>
          <t>P13B33</t>
        </is>
      </c>
      <c r="G2496" s="263" t="inlineStr">
        <is>
          <t>Base diam. mm. 50 con asta mm. 15 e porta messaggio a pinza mm. 80</t>
        </is>
      </c>
      <c r="H2496" s="264" t="n">
        <v>100</v>
      </c>
      <c r="I2496" s="265" t="n">
        <v>0.746</v>
      </c>
      <c r="J2496" s="214" t="n"/>
      <c r="K2496" s="208" t="n"/>
      <c r="L2496" s="424" t="n"/>
      <c r="M2496" s="961" t="n"/>
      <c r="N2496" s="214" t="n"/>
    </row>
    <row r="2497">
      <c r="A2497" s="207" t="n"/>
      <c r="B2497" s="209" t="n"/>
      <c r="C2497" s="209" t="n"/>
      <c r="D2497" s="960" t="n"/>
      <c r="E2497" s="214" t="n"/>
      <c r="F2497" s="269" t="inlineStr">
        <is>
          <t>P13B34</t>
        </is>
      </c>
      <c r="G2497" s="263" t="inlineStr">
        <is>
          <t>Base diam. mm. 50 con asta mm. 15 e porta messaggio a pinza mm. 56</t>
        </is>
      </c>
      <c r="H2497" s="264" t="n">
        <v>100</v>
      </c>
      <c r="I2497" s="265" t="n">
        <v>0.722</v>
      </c>
      <c r="J2497" s="214" t="n"/>
      <c r="K2497" s="208" t="n"/>
      <c r="L2497" s="424" t="n"/>
      <c r="M2497" s="961" t="n"/>
      <c r="N2497" s="214" t="n"/>
    </row>
    <row r="2498">
      <c r="A2498" s="207" t="n"/>
      <c r="B2498" s="209" t="n"/>
      <c r="C2498" s="207" t="n"/>
      <c r="D2498" s="963" t="n"/>
      <c r="E2498" s="214" t="n"/>
      <c r="F2498" s="269" t="inlineStr">
        <is>
          <t>P13C10</t>
        </is>
      </c>
      <c r="G2498" s="263" t="inlineStr">
        <is>
          <t>Base diam. mm. 50 con asta mm. 50 e pinza</t>
        </is>
      </c>
      <c r="H2498" s="264" t="n">
        <v>100</v>
      </c>
      <c r="I2498" s="265" t="n">
        <v>0.786</v>
      </c>
      <c r="J2498" s="214" t="n"/>
      <c r="K2498" s="208" t="n"/>
      <c r="L2498" s="424" t="n"/>
      <c r="M2498" s="961" t="n"/>
      <c r="N2498" s="214" t="n"/>
    </row>
    <row r="2499">
      <c r="A2499" s="207" t="n"/>
      <c r="B2499" s="209" t="n"/>
      <c r="C2499" s="207" t="n"/>
      <c r="D2499" s="963" t="n"/>
      <c r="E2499" s="214" t="n"/>
      <c r="F2499" s="269" t="inlineStr">
        <is>
          <t>P13C11</t>
        </is>
      </c>
      <c r="G2499" s="263" t="inlineStr">
        <is>
          <t>Base diam. mm. 50 con asta mm. 50 e mini pinza</t>
        </is>
      </c>
      <c r="H2499" s="264" t="n">
        <v>100</v>
      </c>
      <c r="I2499" s="265" t="n">
        <v>0.463</v>
      </c>
      <c r="J2499" s="214" t="n"/>
      <c r="K2499" s="208" t="n"/>
      <c r="L2499" s="424" t="n"/>
      <c r="M2499" s="961" t="n"/>
      <c r="N2499" s="214" t="n"/>
    </row>
    <row r="2500">
      <c r="A2500" s="207" t="n"/>
      <c r="B2500" s="209" t="n"/>
      <c r="C2500" s="207" t="n"/>
      <c r="D2500" s="963" t="n"/>
      <c r="E2500" s="214" t="n"/>
      <c r="F2500" s="269" t="inlineStr">
        <is>
          <t>P13C31</t>
        </is>
      </c>
      <c r="G2500" s="263" t="inlineStr">
        <is>
          <t>Base diam. mm. 50 con asta mm. 50 e porta messaggio 50 mm.</t>
        </is>
      </c>
      <c r="H2500" s="264" t="n">
        <v>100</v>
      </c>
      <c r="I2500" s="265" t="n">
        <v>0.476</v>
      </c>
      <c r="J2500" s="214" t="n"/>
      <c r="K2500" s="208" t="n"/>
      <c r="L2500" s="424" t="n"/>
      <c r="M2500" s="961" t="n"/>
      <c r="N2500" s="214" t="n"/>
    </row>
    <row r="2501">
      <c r="A2501" s="207" t="n"/>
      <c r="B2501" s="209" t="n"/>
      <c r="C2501" s="207" t="n"/>
      <c r="D2501" s="963" t="n"/>
      <c r="E2501" s="214" t="n"/>
      <c r="F2501" s="269" t="inlineStr">
        <is>
          <t>P13C32</t>
        </is>
      </c>
      <c r="G2501" s="263" t="inlineStr">
        <is>
          <t>Base diam. mm. 50 con asta mm. 50 e porta messaggio 27 mm.</t>
        </is>
      </c>
      <c r="H2501" s="264" t="n">
        <v>100</v>
      </c>
      <c r="I2501" s="265" t="n">
        <v>0.383</v>
      </c>
      <c r="J2501" s="214" t="n"/>
      <c r="K2501" s="208" t="n"/>
      <c r="L2501" s="424" t="n"/>
      <c r="M2501" s="961" t="n"/>
      <c r="N2501" s="214" t="n"/>
    </row>
    <row r="2502">
      <c r="A2502" s="207" t="n"/>
      <c r="B2502" s="209" t="n"/>
      <c r="C2502" s="207" t="n"/>
      <c r="D2502" s="963" t="n"/>
      <c r="E2502" s="214" t="n"/>
      <c r="F2502" s="269" t="inlineStr">
        <is>
          <t>P13C33</t>
        </is>
      </c>
      <c r="G2502" s="263" t="inlineStr">
        <is>
          <t>Base diam. mm. 50 con asta mm. 50 e porta messaggio a pinza mm. 80</t>
        </is>
      </c>
      <c r="H2502" s="264" t="n">
        <v>100</v>
      </c>
      <c r="I2502" s="265" t="n">
        <v>0.753</v>
      </c>
      <c r="J2502" s="214" t="n"/>
      <c r="K2502" s="208" t="n"/>
      <c r="L2502" s="424" t="n"/>
      <c r="M2502" s="961" t="n"/>
      <c r="N2502" s="214" t="n"/>
    </row>
    <row r="2503">
      <c r="A2503" s="207" t="n"/>
      <c r="B2503" s="209" t="n"/>
      <c r="C2503" s="207" t="n"/>
      <c r="D2503" s="963" t="n"/>
      <c r="E2503" s="214" t="n"/>
      <c r="F2503" s="269" t="inlineStr">
        <is>
          <t>P13C34</t>
        </is>
      </c>
      <c r="G2503" s="263" t="inlineStr">
        <is>
          <t>Base diam. mm. 50 con asta mm. 50 e porta messaggio a pinza mm. 56</t>
        </is>
      </c>
      <c r="H2503" s="264" t="n">
        <v>100</v>
      </c>
      <c r="I2503" s="265" t="n">
        <v>0.73</v>
      </c>
      <c r="J2503" s="214" t="n"/>
      <c r="K2503" s="208" t="n"/>
      <c r="L2503" s="424" t="n"/>
      <c r="M2503" s="961" t="n"/>
      <c r="N2503" s="214" t="n"/>
    </row>
    <row r="2504">
      <c r="A2504" s="207" t="n"/>
      <c r="B2504" s="209" t="n"/>
      <c r="C2504" s="209" t="n"/>
      <c r="D2504" s="960" t="n"/>
      <c r="E2504" s="214" t="n"/>
      <c r="F2504" s="269" t="inlineStr">
        <is>
          <t>P13D10</t>
        </is>
      </c>
      <c r="G2504" s="263" t="inlineStr">
        <is>
          <t>Base diam. mm. 50 con asta mm. 100 e pinza</t>
        </is>
      </c>
      <c r="H2504" s="264" t="n">
        <v>100</v>
      </c>
      <c r="I2504" s="265" t="n">
        <v>0.796</v>
      </c>
      <c r="J2504" s="214" t="n"/>
      <c r="K2504" s="208" t="n"/>
      <c r="L2504" s="424" t="n"/>
      <c r="M2504" s="961" t="n"/>
      <c r="N2504" s="214" t="n"/>
    </row>
    <row r="2505">
      <c r="A2505" s="207" t="n"/>
      <c r="B2505" s="209" t="n"/>
      <c r="C2505" s="207" t="n"/>
      <c r="D2505" s="963" t="n"/>
      <c r="E2505" s="214" t="n"/>
      <c r="F2505" s="269" t="inlineStr">
        <is>
          <t>P13D11</t>
        </is>
      </c>
      <c r="G2505" s="263" t="inlineStr">
        <is>
          <t>Base diam. mm. 50 con asta mm. 100 e mini pinza</t>
        </is>
      </c>
      <c r="H2505" s="264" t="n">
        <v>100</v>
      </c>
      <c r="I2505" s="265" t="n">
        <v>0.502</v>
      </c>
      <c r="J2505" s="214" t="n"/>
      <c r="K2505" s="208" t="n"/>
      <c r="L2505" s="424" t="n"/>
      <c r="M2505" s="961" t="n"/>
      <c r="N2505" s="214" t="n"/>
    </row>
    <row r="2506">
      <c r="A2506" s="207" t="n"/>
      <c r="B2506" s="209" t="n"/>
      <c r="C2506" s="207" t="n"/>
      <c r="D2506" s="963" t="n"/>
      <c r="E2506" s="214" t="n"/>
      <c r="F2506" s="269" t="inlineStr">
        <is>
          <t>P13D31</t>
        </is>
      </c>
      <c r="G2506" s="263" t="inlineStr">
        <is>
          <t>Base diam. mm. 50 con asta mm. 100 e porta messaggio 50 mm.</t>
        </is>
      </c>
      <c r="H2506" s="264" t="n">
        <v>100</v>
      </c>
      <c r="I2506" s="265" t="n">
        <v>0.484</v>
      </c>
      <c r="J2506" s="214" t="n"/>
      <c r="K2506" s="208" t="n"/>
      <c r="L2506" s="424" t="n"/>
      <c r="M2506" s="961" t="n"/>
      <c r="N2506" s="214" t="n"/>
    </row>
    <row r="2507">
      <c r="A2507" s="207" t="n"/>
      <c r="B2507" s="209" t="n"/>
      <c r="C2507" s="207" t="n"/>
      <c r="D2507" s="963" t="n"/>
      <c r="E2507" s="214" t="n"/>
      <c r="F2507" s="269" t="inlineStr">
        <is>
          <t>P13D32</t>
        </is>
      </c>
      <c r="G2507" s="263" t="inlineStr">
        <is>
          <t>Base diam. mm. 50 con asta mm. 100 e porta messaggio 27 mm.</t>
        </is>
      </c>
      <c r="H2507" s="264" t="n">
        <v>100</v>
      </c>
      <c r="I2507" s="265" t="n">
        <v>0.391</v>
      </c>
      <c r="J2507" s="214" t="n"/>
      <c r="K2507" s="208" t="n"/>
      <c r="L2507" s="424" t="n"/>
      <c r="M2507" s="961" t="n"/>
      <c r="N2507" s="214" t="n"/>
    </row>
    <row r="2508">
      <c r="A2508" s="207" t="n"/>
      <c r="B2508" s="209" t="n"/>
      <c r="C2508" s="207" t="n"/>
      <c r="D2508" s="963" t="n"/>
      <c r="E2508" s="214" t="n"/>
      <c r="F2508" s="269" t="inlineStr">
        <is>
          <t>P13D33</t>
        </is>
      </c>
      <c r="G2508" s="263" t="inlineStr">
        <is>
          <t>Base diam. mm. 50 con asta mm. 100 e porta messaggio a pinza mm. 80</t>
        </is>
      </c>
      <c r="H2508" s="264" t="n">
        <v>100</v>
      </c>
      <c r="I2508" s="265" t="n">
        <v>0.763</v>
      </c>
      <c r="J2508" s="214" t="n"/>
      <c r="K2508" s="208" t="n"/>
      <c r="L2508" s="424" t="n"/>
      <c r="M2508" s="961" t="n"/>
      <c r="N2508" s="214" t="n"/>
    </row>
    <row r="2509">
      <c r="A2509" s="207" t="n"/>
      <c r="B2509" s="209" t="n"/>
      <c r="C2509" s="207" t="n"/>
      <c r="D2509" s="963" t="n"/>
      <c r="E2509" s="214" t="n"/>
      <c r="F2509" s="269" t="inlineStr">
        <is>
          <t>P13D34</t>
        </is>
      </c>
      <c r="G2509" s="263" t="inlineStr">
        <is>
          <t>Base diam. mm. 50 con asta mm. 100 e porta messaggio a pinza mm. 56</t>
        </is>
      </c>
      <c r="H2509" s="264" t="n">
        <v>100</v>
      </c>
      <c r="I2509" s="265" t="n">
        <v>0.739</v>
      </c>
      <c r="J2509" s="214" t="n"/>
      <c r="K2509" s="208" t="n"/>
      <c r="L2509" s="424" t="n"/>
      <c r="M2509" s="961" t="n"/>
      <c r="N2509" s="214" t="n"/>
    </row>
    <row r="2510">
      <c r="A2510" s="207" t="n"/>
      <c r="B2510" s="209" t="n"/>
      <c r="C2510" s="207" t="n"/>
      <c r="D2510" s="963" t="n"/>
      <c r="E2510" s="214" t="n"/>
      <c r="F2510" s="269" t="inlineStr">
        <is>
          <t>P13E10</t>
        </is>
      </c>
      <c r="G2510" s="263" t="inlineStr">
        <is>
          <t>Base diam. mm. 50 con asta mm. 150 e pinza</t>
        </is>
      </c>
      <c r="H2510" s="264" t="n">
        <v>100</v>
      </c>
      <c r="I2510" s="265" t="n">
        <v>0.8070000000000001</v>
      </c>
      <c r="J2510" s="214" t="n"/>
      <c r="K2510" s="208" t="n"/>
      <c r="L2510" s="424" t="n"/>
      <c r="M2510" s="961" t="n"/>
      <c r="N2510" s="214" t="n"/>
    </row>
    <row r="2511">
      <c r="A2511" s="207" t="n"/>
      <c r="B2511" s="209" t="n"/>
      <c r="C2511" s="207" t="n"/>
      <c r="D2511" s="963" t="n"/>
      <c r="E2511" s="214" t="n"/>
      <c r="F2511" s="269" t="inlineStr">
        <is>
          <t>P13E11</t>
        </is>
      </c>
      <c r="G2511" s="263" t="inlineStr">
        <is>
          <t>Base diam. mm. 50 con asta mm. 150 e mini pinza</t>
        </is>
      </c>
      <c r="H2511" s="264" t="n">
        <v>100</v>
      </c>
      <c r="I2511" s="265" t="n">
        <v>0.51</v>
      </c>
      <c r="J2511" s="214" t="n"/>
      <c r="K2511" s="208" t="n"/>
      <c r="L2511" s="424" t="n"/>
      <c r="M2511" s="961" t="n"/>
      <c r="N2511" s="214" t="n"/>
    </row>
    <row r="2512">
      <c r="A2512" s="207" t="n"/>
      <c r="B2512" s="209" t="n"/>
      <c r="C2512" s="207" t="n"/>
      <c r="D2512" s="963" t="n"/>
      <c r="E2512" s="214" t="n"/>
      <c r="F2512" s="269" t="inlineStr">
        <is>
          <t>P13E31</t>
        </is>
      </c>
      <c r="G2512" s="263" t="inlineStr">
        <is>
          <t>Base diam. mm. 50 con asta mm. 150 e porta messaggio 50 mm.</t>
        </is>
      </c>
      <c r="H2512" s="264" t="n">
        <v>100</v>
      </c>
      <c r="I2512" s="265" t="n">
        <v>0.493</v>
      </c>
      <c r="J2512" s="214" t="n"/>
      <c r="K2512" s="208" t="n"/>
      <c r="L2512" s="424" t="n"/>
      <c r="M2512" s="961" t="n"/>
      <c r="N2512" s="214" t="n"/>
    </row>
    <row r="2513">
      <c r="A2513" s="207" t="n"/>
      <c r="B2513" s="209" t="n"/>
      <c r="C2513" s="207" t="n"/>
      <c r="D2513" s="963" t="n"/>
      <c r="E2513" s="214" t="n"/>
      <c r="F2513" s="269" t="inlineStr">
        <is>
          <t>P13E32</t>
        </is>
      </c>
      <c r="G2513" s="263" t="inlineStr">
        <is>
          <t>Base diam. mm. 50 con asta mm. 150 e porta messaggio 27 mm.</t>
        </is>
      </c>
      <c r="H2513" s="264" t="n">
        <v>100</v>
      </c>
      <c r="I2513" s="265" t="n">
        <v>0.4</v>
      </c>
      <c r="J2513" s="214" t="n"/>
      <c r="K2513" s="208" t="n"/>
      <c r="L2513" s="424" t="n"/>
      <c r="M2513" s="961" t="n"/>
      <c r="N2513" s="214" t="n"/>
    </row>
    <row r="2514">
      <c r="A2514" s="207" t="n"/>
      <c r="B2514" s="209" t="n"/>
      <c r="C2514" s="207" t="n"/>
      <c r="D2514" s="963" t="n"/>
      <c r="E2514" s="214" t="n"/>
      <c r="F2514" s="269" t="inlineStr">
        <is>
          <t>P13E33</t>
        </is>
      </c>
      <c r="G2514" s="263" t="inlineStr">
        <is>
          <t>Base diam. mm. 50 con asta mm. 150 e porta messaggio a pinza mm. 80</t>
        </is>
      </c>
      <c r="H2514" s="264" t="n">
        <v>100</v>
      </c>
      <c r="I2514" s="265" t="n">
        <v>0.774</v>
      </c>
      <c r="J2514" s="214" t="n"/>
      <c r="K2514" s="208" t="n"/>
      <c r="L2514" s="424" t="n"/>
      <c r="M2514" s="961" t="n"/>
      <c r="N2514" s="214" t="n"/>
    </row>
    <row r="2515">
      <c r="A2515" s="207" t="n"/>
      <c r="B2515" s="209" t="n"/>
      <c r="C2515" s="207" t="n"/>
      <c r="D2515" s="963" t="n"/>
      <c r="E2515" s="214" t="n"/>
      <c r="F2515" s="269" t="inlineStr">
        <is>
          <t>P13E34</t>
        </is>
      </c>
      <c r="G2515" s="263" t="inlineStr">
        <is>
          <t>Base diam. mm. 50 con asta mm. 150 e porta messaggio a pinza mm. 56</t>
        </is>
      </c>
      <c r="H2515" s="264" t="n">
        <v>100</v>
      </c>
      <c r="I2515" s="265" t="n">
        <v>0.75</v>
      </c>
      <c r="J2515" s="214" t="n"/>
      <c r="K2515" s="208" t="n"/>
      <c r="L2515" s="424" t="n"/>
      <c r="M2515" s="961" t="n"/>
      <c r="N2515" s="214" t="n"/>
    </row>
    <row r="2516">
      <c r="A2516" s="207" t="n"/>
      <c r="B2516" s="209" t="n"/>
      <c r="C2516" s="207" t="n"/>
      <c r="D2516" s="963" t="n"/>
      <c r="E2516" s="214" t="n"/>
      <c r="F2516" s="269" t="inlineStr">
        <is>
          <t>P13F10</t>
        </is>
      </c>
      <c r="G2516" s="263" t="inlineStr">
        <is>
          <t>Base diam. mm. 50 con asta mm. 200 e pinza</t>
        </is>
      </c>
      <c r="H2516" s="264" t="n">
        <v>100</v>
      </c>
      <c r="I2516" s="265" t="n">
        <v>0.8159999999999999</v>
      </c>
      <c r="J2516" s="214" t="n"/>
      <c r="K2516" s="208" t="n"/>
      <c r="L2516" s="424" t="n"/>
      <c r="M2516" s="961" t="n"/>
      <c r="N2516" s="214" t="n"/>
    </row>
    <row r="2517">
      <c r="A2517" s="207" t="n"/>
      <c r="B2517" s="209" t="n"/>
      <c r="C2517" s="207" t="n"/>
      <c r="D2517" s="963" t="n"/>
      <c r="E2517" s="214" t="n"/>
      <c r="F2517" s="269" t="inlineStr">
        <is>
          <t>P13F11</t>
        </is>
      </c>
      <c r="G2517" s="263" t="inlineStr">
        <is>
          <t>Base diam. mm. 50 con asta mm. 200 e mini pinza</t>
        </is>
      </c>
      <c r="H2517" s="264" t="n">
        <v>100</v>
      </c>
      <c r="I2517" s="265" t="n">
        <v>0.517</v>
      </c>
      <c r="J2517" s="214" t="n"/>
      <c r="K2517" s="208" t="n"/>
      <c r="L2517" s="424" t="n"/>
      <c r="M2517" s="961" t="n"/>
      <c r="N2517" s="214" t="n"/>
    </row>
    <row r="2518">
      <c r="A2518" s="207" t="n"/>
      <c r="B2518" s="209" t="n"/>
      <c r="C2518" s="207" t="n"/>
      <c r="D2518" s="963" t="n"/>
      <c r="E2518" s="214" t="n"/>
      <c r="F2518" s="269" t="inlineStr">
        <is>
          <t>P13F31</t>
        </is>
      </c>
      <c r="G2518" s="263" t="inlineStr">
        <is>
          <t>Base diam. mm. 50 con asta mm. 200 e porta messaggio 50 mm.</t>
        </is>
      </c>
      <c r="H2518" s="264" t="n">
        <v>100</v>
      </c>
      <c r="I2518" s="265" t="n">
        <v>0.501</v>
      </c>
      <c r="J2518" s="214" t="n"/>
      <c r="K2518" s="208" t="n"/>
      <c r="L2518" s="424" t="n"/>
      <c r="M2518" s="961" t="n"/>
      <c r="N2518" s="214" t="n"/>
    </row>
    <row r="2519">
      <c r="A2519" s="207" t="n"/>
      <c r="B2519" s="209" t="n"/>
      <c r="C2519" s="207" t="n"/>
      <c r="D2519" s="963" t="n"/>
      <c r="E2519" s="214" t="n"/>
      <c r="F2519" s="269" t="inlineStr">
        <is>
          <t>P13F32</t>
        </is>
      </c>
      <c r="G2519" s="263" t="inlineStr">
        <is>
          <t>Base diam. mm. 50 con asta mm. 200 e porta messaggio 27 mm.</t>
        </is>
      </c>
      <c r="H2519" s="264" t="n">
        <v>100</v>
      </c>
      <c r="I2519" s="265" t="n">
        <v>0.407</v>
      </c>
      <c r="J2519" s="214" t="n"/>
      <c r="K2519" s="208" t="n"/>
      <c r="L2519" s="424" t="n"/>
      <c r="M2519" s="961" t="n"/>
      <c r="N2519" s="214" t="n"/>
    </row>
    <row r="2520">
      <c r="A2520" s="207" t="n"/>
      <c r="B2520" s="209" t="n"/>
      <c r="C2520" s="207" t="n"/>
      <c r="D2520" s="963" t="n"/>
      <c r="E2520" s="214" t="n"/>
      <c r="F2520" s="269" t="inlineStr">
        <is>
          <t>P13F33</t>
        </is>
      </c>
      <c r="G2520" s="263" t="inlineStr">
        <is>
          <t>Base diam. mm. 50 con asta mm. 200 e porta messaggio a pinza mm. 80</t>
        </is>
      </c>
      <c r="H2520" s="264" t="n">
        <v>100</v>
      </c>
      <c r="I2520" s="265" t="n">
        <v>0.782</v>
      </c>
      <c r="J2520" s="214" t="n"/>
      <c r="K2520" s="208" t="n"/>
      <c r="L2520" s="424" t="n"/>
      <c r="M2520" s="961" t="n"/>
      <c r="N2520" s="214" t="n"/>
    </row>
    <row r="2521">
      <c r="A2521" s="207" t="n"/>
      <c r="B2521" s="209" t="n"/>
      <c r="C2521" s="207" t="n"/>
      <c r="D2521" s="963" t="n"/>
      <c r="E2521" s="214" t="n"/>
      <c r="F2521" s="269" t="inlineStr">
        <is>
          <t>P13F34</t>
        </is>
      </c>
      <c r="G2521" s="263" t="inlineStr">
        <is>
          <t>Base diam. mm. 50 con asta mm. 200 e porta messaggio a pinza mm. 56</t>
        </is>
      </c>
      <c r="H2521" s="264" t="n">
        <v>100</v>
      </c>
      <c r="I2521" s="265" t="n">
        <v>0.759</v>
      </c>
      <c r="J2521" s="214" t="n"/>
      <c r="K2521" s="208" t="n"/>
      <c r="L2521" s="424" t="n"/>
      <c r="M2521" s="961" t="n"/>
      <c r="N2521" s="214" t="n"/>
    </row>
    <row r="2522">
      <c r="A2522" s="207" t="n"/>
      <c r="B2522" s="209" t="n"/>
      <c r="C2522" s="207" t="n"/>
      <c r="D2522" s="963" t="n"/>
      <c r="E2522" s="214" t="n"/>
      <c r="F2522" s="269" t="inlineStr">
        <is>
          <t>P13P40</t>
        </is>
      </c>
      <c r="G2522" s="263" t="inlineStr">
        <is>
          <t>Base diam. 50 mm. con asta a "T" mm. 50 e porta prezzi</t>
        </is>
      </c>
      <c r="H2522" s="264" t="n">
        <v>100</v>
      </c>
      <c r="I2522" s="265" t="n">
        <v>0.502</v>
      </c>
      <c r="J2522" s="214" t="n"/>
      <c r="K2522" s="208" t="n"/>
      <c r="L2522" s="424" t="n"/>
      <c r="M2522" s="961" t="n"/>
      <c r="N2522" s="214" t="n"/>
    </row>
    <row r="2523">
      <c r="A2523" s="207" t="n"/>
      <c r="B2523" s="209" t="n"/>
      <c r="C2523" s="207" t="n"/>
      <c r="D2523" s="963" t="n"/>
      <c r="E2523" s="214" t="n"/>
      <c r="F2523" s="269" t="inlineStr">
        <is>
          <t>P13Q40</t>
        </is>
      </c>
      <c r="G2523" s="263" t="inlineStr">
        <is>
          <t>Base diam. 50 mm. con asta a "T" mm. 100 e porta prezzi</t>
        </is>
      </c>
      <c r="H2523" s="264" t="n">
        <v>100</v>
      </c>
      <c r="I2523" s="265" t="n">
        <v>0.512</v>
      </c>
      <c r="J2523" s="214" t="n"/>
      <c r="K2523" s="208" t="n"/>
      <c r="L2523" s="424" t="n"/>
      <c r="M2523" s="961" t="n"/>
      <c r="N2523" s="214" t="n"/>
    </row>
    <row r="2524">
      <c r="A2524" s="207" t="n"/>
      <c r="B2524" s="209" t="n"/>
      <c r="C2524" s="207" t="n"/>
      <c r="D2524" s="963" t="n"/>
      <c r="E2524" s="214" t="n"/>
      <c r="F2524" s="269" t="inlineStr">
        <is>
          <t>P13R40</t>
        </is>
      </c>
      <c r="G2524" s="263" t="inlineStr">
        <is>
          <t>Base diam. 50 mm. con asta a "T" mm. 150 e porta prezzi</t>
        </is>
      </c>
      <c r="H2524" s="264" t="n">
        <v>100</v>
      </c>
      <c r="I2524" s="265" t="n">
        <v>0.521</v>
      </c>
      <c r="J2524" s="214" t="n"/>
      <c r="K2524" s="208" t="n"/>
      <c r="L2524" s="424" t="n"/>
      <c r="M2524" s="961" t="n"/>
      <c r="N2524" s="214" t="n"/>
    </row>
    <row r="2525">
      <c r="A2525" s="207" t="n"/>
      <c r="B2525" s="209" t="n"/>
      <c r="C2525" s="207" t="n"/>
      <c r="D2525" s="963" t="n"/>
      <c r="E2525" s="214" t="n"/>
      <c r="F2525" s="269" t="inlineStr">
        <is>
          <t>P13S40</t>
        </is>
      </c>
      <c r="G2525" s="263" t="inlineStr">
        <is>
          <t>Base diam. 50 mm. con asta a "T" mm. 200 e porta prezzi</t>
        </is>
      </c>
      <c r="H2525" s="264" t="n">
        <v>100</v>
      </c>
      <c r="I2525" s="265" t="n">
        <v>0.53</v>
      </c>
      <c r="J2525" s="214" t="n"/>
      <c r="K2525" s="208" t="n"/>
      <c r="L2525" s="424" t="n"/>
      <c r="M2525" s="961" t="n"/>
      <c r="N2525" s="214" t="n"/>
    </row>
    <row r="2526">
      <c r="A2526" s="207" t="n"/>
      <c r="B2526" s="209" t="n"/>
      <c r="C2526" s="207" t="n"/>
      <c r="D2526" s="963" t="n"/>
      <c r="E2526" s="214" t="n"/>
      <c r="F2526" s="269" t="inlineStr">
        <is>
          <t>P14A10</t>
        </is>
      </c>
      <c r="G2526" s="263" t="inlineStr">
        <is>
          <t>Mini base adesiva con pinza</t>
        </is>
      </c>
      <c r="H2526" s="264" t="n">
        <v>100</v>
      </c>
      <c r="I2526" s="265" t="n">
        <v>0.639</v>
      </c>
      <c r="J2526" s="214" t="n"/>
      <c r="K2526" s="208" t="n"/>
      <c r="L2526" s="424" t="n"/>
      <c r="M2526" s="961" t="n"/>
      <c r="N2526" s="214" t="n"/>
    </row>
    <row r="2527">
      <c r="A2527" s="209" t="n"/>
      <c r="B2527" s="209" t="n"/>
      <c r="C2527" s="209" t="n"/>
      <c r="D2527" s="960" t="n"/>
      <c r="E2527" s="215" t="n"/>
      <c r="F2527" s="269" t="inlineStr">
        <is>
          <t>P14A11</t>
        </is>
      </c>
      <c r="G2527" s="263" t="inlineStr">
        <is>
          <t>Mini base adesiva con mini pinza</t>
        </is>
      </c>
      <c r="H2527" s="264" t="n">
        <v>100</v>
      </c>
      <c r="I2527" s="265" t="n">
        <v>0.399</v>
      </c>
      <c r="J2527" s="215" t="n"/>
      <c r="K2527" s="209" t="n"/>
      <c r="L2527" s="425" t="n"/>
      <c r="M2527" s="962" t="n"/>
      <c r="N2527" s="215" t="n"/>
    </row>
    <row r="2528">
      <c r="A2528" s="207" t="n"/>
      <c r="B2528" s="209" t="n"/>
      <c r="C2528" s="207" t="n"/>
      <c r="D2528" s="963" t="n"/>
      <c r="E2528" s="214" t="n"/>
      <c r="F2528" s="269" t="inlineStr">
        <is>
          <t>P14A31</t>
        </is>
      </c>
      <c r="G2528" s="263" t="inlineStr">
        <is>
          <t>Mini base adesiva con porta messaggio 50 mm.</t>
        </is>
      </c>
      <c r="H2528" s="264" t="n">
        <v>100</v>
      </c>
      <c r="I2528" s="265" t="n">
        <v>0.22</v>
      </c>
      <c r="J2528" s="214" t="n"/>
      <c r="K2528" s="208" t="n"/>
      <c r="L2528" s="424" t="n"/>
      <c r="M2528" s="961" t="n"/>
      <c r="N2528" s="214" t="n"/>
    </row>
    <row r="2529">
      <c r="A2529" s="207" t="n"/>
      <c r="B2529" s="209" t="n"/>
      <c r="C2529" s="207" t="n"/>
      <c r="D2529" s="963" t="n"/>
      <c r="E2529" s="214" t="n"/>
      <c r="F2529" s="269" t="inlineStr">
        <is>
          <t>P14A32</t>
        </is>
      </c>
      <c r="G2529" s="263" t="inlineStr">
        <is>
          <t>Mini base adesiva con porta messaggio 27 mm.</t>
        </is>
      </c>
      <c r="H2529" s="264" t="n">
        <v>100</v>
      </c>
      <c r="I2529" s="265" t="n">
        <v>0.216</v>
      </c>
      <c r="J2529" s="214" t="n"/>
      <c r="K2529" s="208" t="n"/>
      <c r="L2529" s="424" t="n"/>
      <c r="M2529" s="961" t="n"/>
      <c r="N2529" s="214" t="n"/>
    </row>
    <row r="2530">
      <c r="A2530" s="207" t="n"/>
      <c r="B2530" s="209" t="n"/>
      <c r="C2530" s="207" t="n"/>
      <c r="D2530" s="963" t="n"/>
      <c r="E2530" s="214" t="n"/>
      <c r="F2530" s="269" t="inlineStr">
        <is>
          <t>P14A33</t>
        </is>
      </c>
      <c r="G2530" s="263" t="inlineStr">
        <is>
          <t>Mini base adesiva con porta messaggio a pinza 80 mm.</t>
        </is>
      </c>
      <c r="H2530" s="264" t="n">
        <v>100</v>
      </c>
      <c r="I2530" s="265" t="n">
        <v>0.5620000000000001</v>
      </c>
      <c r="J2530" s="214" t="n"/>
      <c r="K2530" s="208" t="n"/>
      <c r="L2530" s="424" t="n"/>
      <c r="M2530" s="961" t="n"/>
      <c r="N2530" s="214" t="n"/>
    </row>
    <row r="2531">
      <c r="A2531" s="207" t="n"/>
      <c r="B2531" s="209" t="n"/>
      <c r="C2531" s="207" t="n"/>
      <c r="D2531" s="963" t="n"/>
      <c r="E2531" s="214" t="n"/>
      <c r="F2531" s="269" t="inlineStr">
        <is>
          <t>P14A34</t>
        </is>
      </c>
      <c r="G2531" s="263" t="inlineStr">
        <is>
          <t>Mini base adesiva con porta messaggio a pinza 56 mm.</t>
        </is>
      </c>
      <c r="H2531" s="264" t="n">
        <v>100</v>
      </c>
      <c r="I2531" s="265" t="n">
        <v>0.534</v>
      </c>
      <c r="J2531" s="214" t="n"/>
      <c r="K2531" s="208" t="n"/>
      <c r="L2531" s="424" t="n"/>
      <c r="M2531" s="961" t="n"/>
      <c r="N2531" s="214" t="n"/>
    </row>
    <row r="2532">
      <c r="A2532" s="207" t="n"/>
      <c r="B2532" s="209" t="n"/>
      <c r="C2532" s="207" t="n"/>
      <c r="D2532" s="963" t="n"/>
      <c r="E2532" s="214" t="n"/>
      <c r="F2532" s="269" t="inlineStr">
        <is>
          <t>P14B10</t>
        </is>
      </c>
      <c r="G2532" s="263" t="inlineStr">
        <is>
          <t>Mini base adesiva con asta mm. 15 e pinza</t>
        </is>
      </c>
      <c r="H2532" s="264" t="n">
        <v>100</v>
      </c>
      <c r="I2532" s="265" t="n">
        <v>0.889</v>
      </c>
      <c r="J2532" s="214" t="n"/>
      <c r="K2532" s="208" t="n"/>
      <c r="L2532" s="424" t="n"/>
      <c r="M2532" s="961" t="n"/>
      <c r="N2532" s="214" t="n"/>
    </row>
    <row r="2533">
      <c r="A2533" s="207" t="n"/>
      <c r="B2533" s="209" t="n"/>
      <c r="C2533" s="207" t="n"/>
      <c r="D2533" s="963" t="n"/>
      <c r="E2533" s="214" t="n"/>
      <c r="F2533" s="269" t="inlineStr">
        <is>
          <t>P14B11</t>
        </is>
      </c>
      <c r="G2533" s="263" t="inlineStr">
        <is>
          <t>Mini base adesiva con asta mm. 15 e mini pinza</t>
        </is>
      </c>
      <c r="H2533" s="264" t="n">
        <v>100</v>
      </c>
      <c r="I2533" s="265" t="n">
        <v>0.649</v>
      </c>
      <c r="J2533" s="214" t="n"/>
      <c r="K2533" s="208" t="n"/>
      <c r="L2533" s="424" t="n"/>
      <c r="M2533" s="961" t="n"/>
      <c r="N2533" s="214" t="n"/>
    </row>
    <row r="2534">
      <c r="A2534" s="207" t="n"/>
      <c r="B2534" s="209" t="n"/>
      <c r="C2534" s="207" t="n"/>
      <c r="D2534" s="963" t="n"/>
      <c r="E2534" s="214" t="n"/>
      <c r="F2534" s="269" t="inlineStr">
        <is>
          <t>P14B31</t>
        </is>
      </c>
      <c r="G2534" s="263" t="inlineStr">
        <is>
          <t>Mini base adesiva con asta mm. 15 e porta messaggio 50 mm.</t>
        </is>
      </c>
      <c r="H2534" s="264" t="n">
        <v>100</v>
      </c>
      <c r="I2534" s="265" t="n">
        <v>0.386</v>
      </c>
      <c r="J2534" s="214" t="n"/>
      <c r="K2534" s="208" t="n"/>
      <c r="L2534" s="424" t="n"/>
      <c r="M2534" s="961" t="n"/>
      <c r="N2534" s="214" t="n"/>
    </row>
    <row r="2535">
      <c r="A2535" s="207" t="n"/>
      <c r="B2535" s="209" t="n"/>
      <c r="C2535" s="207" t="n"/>
      <c r="D2535" s="963" t="n"/>
      <c r="E2535" s="214" t="n"/>
      <c r="F2535" s="269" t="inlineStr">
        <is>
          <t>P14B32</t>
        </is>
      </c>
      <c r="G2535" s="263" t="inlineStr">
        <is>
          <t>Mini base adesiva con asta mm. 15 e porta messaggio 27 mm.</t>
        </is>
      </c>
      <c r="H2535" s="264" t="n">
        <v>100</v>
      </c>
      <c r="I2535" s="265" t="n">
        <v>0.465</v>
      </c>
      <c r="J2535" s="214" t="n"/>
      <c r="K2535" s="208" t="n"/>
      <c r="L2535" s="424" t="n"/>
      <c r="M2535" s="961" t="n"/>
      <c r="N2535" s="214" t="n"/>
    </row>
    <row r="2536">
      <c r="A2536" s="207" t="n"/>
      <c r="B2536" s="209" t="n"/>
      <c r="C2536" s="207" t="n"/>
      <c r="D2536" s="963" t="n"/>
      <c r="E2536" s="214" t="n"/>
      <c r="F2536" s="269" t="inlineStr">
        <is>
          <t>P14B33</t>
        </is>
      </c>
      <c r="G2536" s="263" t="inlineStr">
        <is>
          <t>Mini base adesiva con asta mm. 15 e porta messaggio a pinza 80 mm.</t>
        </is>
      </c>
      <c r="H2536" s="264" t="n">
        <v>100</v>
      </c>
      <c r="I2536" s="265" t="n">
        <v>0.8120000000000001</v>
      </c>
      <c r="J2536" s="214" t="n"/>
      <c r="K2536" s="208" t="n"/>
      <c r="L2536" s="424" t="n"/>
      <c r="M2536" s="961" t="n"/>
      <c r="N2536" s="214" t="n"/>
    </row>
    <row r="2537">
      <c r="A2537" s="207" t="n"/>
      <c r="B2537" s="209" t="n"/>
      <c r="C2537" s="207" t="n"/>
      <c r="D2537" s="963" t="n"/>
      <c r="E2537" s="214" t="n"/>
      <c r="F2537" s="269" t="inlineStr">
        <is>
          <t>P14B34</t>
        </is>
      </c>
      <c r="G2537" s="263" t="inlineStr">
        <is>
          <t>Mini base adesiva con asta mm. 15 e porta messaggio a pinza 56 mm.</t>
        </is>
      </c>
      <c r="H2537" s="264" t="n">
        <v>100</v>
      </c>
      <c r="I2537" s="265" t="n">
        <v>0.783</v>
      </c>
      <c r="J2537" s="214" t="n"/>
      <c r="K2537" s="208" t="n"/>
      <c r="L2537" s="424" t="n"/>
      <c r="M2537" s="961" t="n"/>
      <c r="N2537" s="214" t="n"/>
    </row>
    <row r="2538">
      <c r="A2538" s="207" t="n"/>
      <c r="B2538" s="209" t="n"/>
      <c r="C2538" s="207" t="n"/>
      <c r="D2538" s="963" t="n"/>
      <c r="E2538" s="214" t="n"/>
      <c r="F2538" s="269" t="inlineStr">
        <is>
          <t>P14C10</t>
        </is>
      </c>
      <c r="G2538" s="263" t="inlineStr">
        <is>
          <t>Mini base adesiva con asta mm. 50 e pinza</t>
        </is>
      </c>
      <c r="H2538" s="264" t="n">
        <v>100</v>
      </c>
      <c r="I2538" s="265" t="n">
        <v>0.898</v>
      </c>
      <c r="J2538" s="214" t="n"/>
      <c r="K2538" s="208" t="n"/>
      <c r="L2538" s="424" t="n"/>
      <c r="M2538" s="961" t="n"/>
      <c r="N2538" s="214" t="n"/>
    </row>
    <row r="2539">
      <c r="A2539" s="207" t="n"/>
      <c r="B2539" s="209" t="n"/>
      <c r="C2539" s="207" t="n"/>
      <c r="D2539" s="963" t="n"/>
      <c r="E2539" s="214" t="n"/>
      <c r="F2539" s="269" t="inlineStr">
        <is>
          <t>P14C11</t>
        </is>
      </c>
      <c r="G2539" s="263" t="inlineStr">
        <is>
          <t>Mini base adesiva con asta mm. 50 e mini pinza</t>
        </is>
      </c>
      <c r="H2539" s="264" t="n">
        <v>100</v>
      </c>
      <c r="I2539" s="265" t="n">
        <v>0.658</v>
      </c>
      <c r="J2539" s="214" t="n"/>
      <c r="K2539" s="208" t="n"/>
      <c r="L2539" s="424" t="n"/>
      <c r="M2539" s="961" t="n"/>
      <c r="N2539" s="214" t="n"/>
    </row>
    <row r="2540">
      <c r="A2540" s="207" t="n"/>
      <c r="B2540" s="209" t="n"/>
      <c r="C2540" s="207" t="n"/>
      <c r="D2540" s="963" t="n"/>
      <c r="E2540" s="214" t="n"/>
      <c r="F2540" s="269" t="inlineStr">
        <is>
          <t>P14C31</t>
        </is>
      </c>
      <c r="G2540" s="263" t="inlineStr">
        <is>
          <t>Mini base adesiva con asta mm. 50 e porta messaggio 50 mm.</t>
        </is>
      </c>
      <c r="H2540" s="264" t="n">
        <v>100</v>
      </c>
      <c r="I2540" s="265" t="n">
        <v>0.393</v>
      </c>
      <c r="J2540" s="214" t="n"/>
      <c r="K2540" s="208" t="n"/>
      <c r="L2540" s="424" t="n"/>
      <c r="M2540" s="961" t="n"/>
      <c r="N2540" s="214" t="n"/>
    </row>
    <row r="2541">
      <c r="A2541" s="207" t="n"/>
      <c r="B2541" s="209" t="n"/>
      <c r="C2541" s="207" t="n"/>
      <c r="D2541" s="963" t="n"/>
      <c r="E2541" s="214" t="n"/>
      <c r="F2541" s="269" t="inlineStr">
        <is>
          <t>P14C32</t>
        </is>
      </c>
      <c r="G2541" s="263" t="inlineStr">
        <is>
          <t>Mini base adesiva con asta mm. 50 e porta messaggio 27 mm.</t>
        </is>
      </c>
      <c r="H2541" s="264" t="n">
        <v>100</v>
      </c>
      <c r="I2541" s="265" t="n">
        <v>0.475</v>
      </c>
      <c r="J2541" s="214" t="n"/>
      <c r="K2541" s="208" t="n"/>
      <c r="L2541" s="424" t="n"/>
      <c r="M2541" s="961" t="n"/>
      <c r="N2541" s="214" t="n"/>
    </row>
    <row r="2542">
      <c r="A2542" s="207" t="n"/>
      <c r="B2542" s="209" t="n"/>
      <c r="C2542" s="207" t="n"/>
      <c r="D2542" s="963" t="n"/>
      <c r="E2542" s="214" t="n"/>
      <c r="F2542" s="269" t="inlineStr">
        <is>
          <t>P14C33</t>
        </is>
      </c>
      <c r="G2542" s="263" t="inlineStr">
        <is>
          <t>Mini base adesiva con asta mm. 50 e porta messaggio a pinza 80 mm.</t>
        </is>
      </c>
      <c r="H2542" s="264" t="n">
        <v>100</v>
      </c>
      <c r="I2542" s="265" t="n">
        <v>0.821</v>
      </c>
      <c r="J2542" s="214" t="n"/>
      <c r="K2542" s="208" t="n"/>
      <c r="L2542" s="424" t="n"/>
      <c r="M2542" s="961" t="n"/>
      <c r="N2542" s="214" t="n"/>
    </row>
    <row r="2543">
      <c r="A2543" s="207" t="n"/>
      <c r="B2543" s="209" t="n"/>
      <c r="C2543" s="207" t="n"/>
      <c r="D2543" s="963" t="n"/>
      <c r="E2543" s="214" t="n"/>
      <c r="F2543" s="269" t="inlineStr">
        <is>
          <t>P14C34</t>
        </is>
      </c>
      <c r="G2543" s="263" t="inlineStr">
        <is>
          <t>Mini base adesiva con asta mm. 50 e porta messaggio a pinza 56 mm.</t>
        </is>
      </c>
      <c r="H2543" s="264" t="n">
        <v>100</v>
      </c>
      <c r="I2543" s="265" t="n">
        <v>0.793</v>
      </c>
      <c r="J2543" s="214" t="n"/>
      <c r="K2543" s="208" t="n"/>
      <c r="L2543" s="424" t="n"/>
      <c r="M2543" s="961" t="n"/>
      <c r="N2543" s="214" t="n"/>
    </row>
    <row r="2544">
      <c r="A2544" s="207" t="n"/>
      <c r="B2544" s="209" t="n"/>
      <c r="C2544" s="207" t="n"/>
      <c r="D2544" s="963" t="n"/>
      <c r="E2544" s="214" t="n"/>
      <c r="F2544" s="269" t="inlineStr">
        <is>
          <t>P14D10</t>
        </is>
      </c>
      <c r="G2544" s="263" t="inlineStr">
        <is>
          <t>Mini base adesiva con asta mm. 100 e pinza</t>
        </is>
      </c>
      <c r="H2544" s="264" t="n">
        <v>100</v>
      </c>
      <c r="I2544" s="265" t="n">
        <v>0.91</v>
      </c>
      <c r="J2544" s="214" t="n"/>
      <c r="K2544" s="208" t="n"/>
      <c r="L2544" s="424" t="n"/>
      <c r="M2544" s="961" t="n"/>
      <c r="N2544" s="214" t="n"/>
    </row>
    <row r="2545">
      <c r="A2545" s="207" t="n"/>
      <c r="B2545" s="209" t="n"/>
      <c r="C2545" s="207" t="n"/>
      <c r="D2545" s="963" t="n"/>
      <c r="E2545" s="214" t="n"/>
      <c r="F2545" s="269" t="inlineStr">
        <is>
          <t>P14D11</t>
        </is>
      </c>
      <c r="G2545" s="263" t="inlineStr">
        <is>
          <t>Mini base adesiva con asta mm. 100 e mini pinza</t>
        </is>
      </c>
      <c r="H2545" s="264" t="n">
        <v>100</v>
      </c>
      <c r="I2545" s="265" t="n">
        <v>0.67</v>
      </c>
      <c r="J2545" s="214" t="n"/>
      <c r="K2545" s="208" t="n"/>
      <c r="L2545" s="424" t="n"/>
      <c r="M2545" s="961" t="n"/>
      <c r="N2545" s="214" t="n"/>
    </row>
    <row r="2546">
      <c r="A2546" s="207" t="n"/>
      <c r="B2546" s="209" t="n"/>
      <c r="C2546" s="207" t="n"/>
      <c r="D2546" s="963" t="n"/>
      <c r="E2546" s="214" t="n"/>
      <c r="F2546" s="269" t="inlineStr">
        <is>
          <t>P14D31</t>
        </is>
      </c>
      <c r="G2546" s="263" t="inlineStr">
        <is>
          <t>Mini base adesiva con asta mm. 100 e porta messaggio 50 mm.</t>
        </is>
      </c>
      <c r="H2546" s="264" t="n">
        <v>100</v>
      </c>
      <c r="I2546" s="265" t="n">
        <v>0.4</v>
      </c>
      <c r="J2546" s="214" t="n"/>
      <c r="K2546" s="208" t="n"/>
      <c r="L2546" s="424" t="n"/>
      <c r="M2546" s="961" t="n"/>
      <c r="N2546" s="214" t="n"/>
    </row>
    <row r="2547">
      <c r="A2547" s="207" t="n"/>
      <c r="B2547" s="209" t="n"/>
      <c r="C2547" s="207" t="n"/>
      <c r="D2547" s="963" t="n"/>
      <c r="E2547" s="214" t="n"/>
      <c r="F2547" s="269" t="inlineStr">
        <is>
          <t>P14D32</t>
        </is>
      </c>
      <c r="G2547" s="263" t="inlineStr">
        <is>
          <t>Mini base adesiva con asta mm. 100 e porta messaggio 27 mm.</t>
        </is>
      </c>
      <c r="H2547" s="264" t="n">
        <v>100</v>
      </c>
      <c r="I2547" s="265" t="n">
        <v>0.486</v>
      </c>
      <c r="J2547" s="214" t="n"/>
      <c r="K2547" s="208" t="n"/>
      <c r="L2547" s="424" t="n"/>
      <c r="M2547" s="961" t="n"/>
      <c r="N2547" s="214" t="n"/>
    </row>
    <row r="2548">
      <c r="A2548" s="207" t="n"/>
      <c r="B2548" s="209" t="n"/>
      <c r="C2548" s="207" t="n"/>
      <c r="D2548" s="963" t="n"/>
      <c r="E2548" s="214" t="n"/>
      <c r="F2548" s="269" t="inlineStr">
        <is>
          <t>P14D33</t>
        </is>
      </c>
      <c r="G2548" s="263" t="inlineStr">
        <is>
          <t>Mini base adesiva con asta mm. 100 e porta messaggio a pinza 80 mm.</t>
        </is>
      </c>
      <c r="H2548" s="264" t="n">
        <v>100</v>
      </c>
      <c r="I2548" s="265" t="n">
        <v>0.833</v>
      </c>
      <c r="J2548" s="214" t="n"/>
      <c r="K2548" s="208" t="n"/>
      <c r="L2548" s="424" t="n"/>
      <c r="M2548" s="961" t="n"/>
      <c r="N2548" s="214" t="n"/>
    </row>
    <row r="2549">
      <c r="A2549" s="207" t="n"/>
      <c r="B2549" s="209" t="n"/>
      <c r="C2549" s="207" t="n"/>
      <c r="D2549" s="963" t="n"/>
      <c r="E2549" s="214" t="n"/>
      <c r="F2549" s="269" t="inlineStr">
        <is>
          <t>P14D34</t>
        </is>
      </c>
      <c r="G2549" s="263" t="inlineStr">
        <is>
          <t>Mini base adesiva con asta mm. 100 e porta messaggio a pinza 56 mm.</t>
        </is>
      </c>
      <c r="H2549" s="264" t="n">
        <v>100</v>
      </c>
      <c r="I2549" s="265" t="n">
        <v>0.804</v>
      </c>
      <c r="J2549" s="214" t="n"/>
      <c r="K2549" s="208" t="n"/>
      <c r="L2549" s="424" t="n"/>
      <c r="M2549" s="961" t="n"/>
      <c r="N2549" s="214" t="n"/>
    </row>
    <row r="2550">
      <c r="A2550" s="207" t="n"/>
      <c r="B2550" s="209" t="n"/>
      <c r="C2550" s="207" t="n"/>
      <c r="D2550" s="963" t="n"/>
      <c r="E2550" s="214" t="n"/>
      <c r="F2550" s="269" t="inlineStr">
        <is>
          <t>P14E10</t>
        </is>
      </c>
      <c r="G2550" s="263" t="inlineStr">
        <is>
          <t>Mini base adesiva con asta mm. 150 e pinza</t>
        </is>
      </c>
      <c r="H2550" s="264" t="n">
        <v>100</v>
      </c>
      <c r="I2550" s="265" t="n">
        <v>0.922</v>
      </c>
      <c r="J2550" s="214" t="n"/>
      <c r="K2550" s="208" t="n"/>
      <c r="L2550" s="424" t="n"/>
      <c r="M2550" s="961" t="n"/>
      <c r="N2550" s="214" t="n"/>
    </row>
    <row r="2551">
      <c r="A2551" s="207" t="n"/>
      <c r="B2551" s="209" t="n"/>
      <c r="C2551" s="207" t="n"/>
      <c r="D2551" s="963" t="n"/>
      <c r="E2551" s="214" t="n"/>
      <c r="F2551" s="269" t="inlineStr">
        <is>
          <t>P14E11</t>
        </is>
      </c>
      <c r="G2551" s="263" t="inlineStr">
        <is>
          <t>Mini base adesiva con asta mm. 150 e mini pinza</t>
        </is>
      </c>
      <c r="H2551" s="264" t="n">
        <v>100</v>
      </c>
      <c r="I2551" s="265" t="n">
        <v>0.6820000000000001</v>
      </c>
      <c r="J2551" s="214" t="n"/>
      <c r="K2551" s="208" t="n"/>
      <c r="L2551" s="424" t="n"/>
      <c r="M2551" s="961" t="n"/>
      <c r="N2551" s="214" t="n"/>
    </row>
    <row r="2552">
      <c r="A2552" s="207" t="n"/>
      <c r="B2552" s="209" t="n"/>
      <c r="C2552" s="207" t="n"/>
      <c r="D2552" s="963" t="n"/>
      <c r="E2552" s="214" t="n"/>
      <c r="F2552" s="269" t="inlineStr">
        <is>
          <t>P14E31</t>
        </is>
      </c>
      <c r="G2552" s="263" t="inlineStr">
        <is>
          <t>Mini base adesiva con asta mm. 150 e porta messaggio 50 mm.</t>
        </is>
      </c>
      <c r="H2552" s="264" t="n">
        <v>100</v>
      </c>
      <c r="I2552" s="265" t="n">
        <v>0.409</v>
      </c>
      <c r="J2552" s="214" t="n"/>
      <c r="K2552" s="208" t="n"/>
      <c r="L2552" s="424" t="n"/>
      <c r="M2552" s="961" t="n"/>
      <c r="N2552" s="214" t="n"/>
    </row>
    <row r="2553">
      <c r="A2553" s="207" t="n"/>
      <c r="B2553" s="209" t="n"/>
      <c r="C2553" s="207" t="n"/>
      <c r="D2553" s="963" t="n"/>
      <c r="E2553" s="214" t="n"/>
      <c r="F2553" s="269" t="inlineStr">
        <is>
          <t>P14E32</t>
        </is>
      </c>
      <c r="G2553" s="263" t="inlineStr">
        <is>
          <t>Mini base adesiva con asta mm. 150 e porta messaggio 27 mm.</t>
        </is>
      </c>
      <c r="H2553" s="264" t="n">
        <v>100</v>
      </c>
      <c r="I2553" s="265" t="n">
        <v>0.499</v>
      </c>
      <c r="J2553" s="214" t="n"/>
      <c r="K2553" s="208" t="n"/>
      <c r="L2553" s="424" t="n"/>
      <c r="M2553" s="961" t="n"/>
      <c r="N2553" s="214" t="n"/>
    </row>
    <row r="2554">
      <c r="A2554" s="207" t="n"/>
      <c r="B2554" s="209" t="n"/>
      <c r="C2554" s="207" t="n"/>
      <c r="D2554" s="963" t="n"/>
      <c r="E2554" s="214" t="n"/>
      <c r="F2554" s="269" t="inlineStr">
        <is>
          <t>P14E33</t>
        </is>
      </c>
      <c r="G2554" s="263" t="inlineStr">
        <is>
          <t>Mini base adesiva con asta mm. 150 e porta messaggio a pinza 80 mm.</t>
        </is>
      </c>
      <c r="H2554" s="264" t="n">
        <v>100</v>
      </c>
      <c r="I2554" s="265" t="n">
        <v>0.845</v>
      </c>
      <c r="J2554" s="214" t="n"/>
      <c r="K2554" s="208" t="n"/>
      <c r="L2554" s="424" t="n"/>
      <c r="M2554" s="961" t="n"/>
      <c r="N2554" s="214" t="n"/>
    </row>
    <row r="2555">
      <c r="A2555" s="207" t="n"/>
      <c r="B2555" s="209" t="n"/>
      <c r="C2555" s="207" t="n"/>
      <c r="D2555" s="963" t="n"/>
      <c r="E2555" s="214" t="n"/>
      <c r="F2555" s="269" t="inlineStr">
        <is>
          <t>P14E34</t>
        </is>
      </c>
      <c r="G2555" s="263" t="inlineStr">
        <is>
          <t>Mini base adesiva con asta mm. 150 e porta messaggio a pinza 56 mm.</t>
        </is>
      </c>
      <c r="H2555" s="264" t="n">
        <v>100</v>
      </c>
      <c r="I2555" s="265" t="n">
        <v>0.8169999999999999</v>
      </c>
      <c r="J2555" s="214" t="n"/>
      <c r="K2555" s="208" t="n"/>
      <c r="L2555" s="424" t="n"/>
      <c r="M2555" s="961" t="n"/>
      <c r="N2555" s="214" t="n"/>
    </row>
    <row r="2556">
      <c r="A2556" s="207" t="n"/>
      <c r="B2556" s="209" t="n"/>
      <c r="C2556" s="207" t="n"/>
      <c r="D2556" s="963" t="n"/>
      <c r="E2556" s="214" t="n"/>
      <c r="F2556" s="269" t="inlineStr">
        <is>
          <t>P14F10</t>
        </is>
      </c>
      <c r="G2556" s="263" t="inlineStr">
        <is>
          <t>Mini base adesiva con asta mm. 200 e pinza</t>
        </is>
      </c>
      <c r="H2556" s="264" t="n">
        <v>100</v>
      </c>
      <c r="I2556" s="265" t="n">
        <v>0.9330000000000001</v>
      </c>
      <c r="J2556" s="214" t="n"/>
      <c r="K2556" s="208" t="n"/>
      <c r="L2556" s="424" t="n"/>
      <c r="M2556" s="961" t="n"/>
      <c r="N2556" s="214" t="n"/>
    </row>
    <row r="2557">
      <c r="A2557" s="207" t="n"/>
      <c r="B2557" s="209" t="n"/>
      <c r="C2557" s="207" t="n"/>
      <c r="D2557" s="963" t="n"/>
      <c r="E2557" s="214" t="n"/>
      <c r="F2557" s="269" t="inlineStr">
        <is>
          <t>P14F11</t>
        </is>
      </c>
      <c r="G2557" s="263" t="inlineStr">
        <is>
          <t>Mini base adesiva con asta mm. 200 e mini pinza</t>
        </is>
      </c>
      <c r="H2557" s="264" t="n">
        <v>100</v>
      </c>
      <c r="I2557" s="265" t="n">
        <v>0.6929999999999999</v>
      </c>
      <c r="J2557" s="214" t="n"/>
      <c r="K2557" s="208" t="n"/>
      <c r="L2557" s="424" t="n"/>
      <c r="M2557" s="961" t="n"/>
      <c r="N2557" s="214" t="n"/>
    </row>
    <row r="2558">
      <c r="A2558" s="207" t="n"/>
      <c r="B2558" s="209" t="n"/>
      <c r="C2558" s="207" t="n"/>
      <c r="D2558" s="963" t="n"/>
      <c r="E2558" s="214" t="n"/>
      <c r="F2558" s="269" t="inlineStr">
        <is>
          <t>P14F31</t>
        </is>
      </c>
      <c r="G2558" s="263" t="inlineStr">
        <is>
          <t>Mini base adesiva con asta mm. 200 e porta messaggio 50 mm.</t>
        </is>
      </c>
      <c r="H2558" s="264" t="n">
        <v>100</v>
      </c>
      <c r="I2558" s="265" t="n">
        <v>0.416</v>
      </c>
      <c r="J2558" s="214" t="n"/>
      <c r="K2558" s="208" t="n"/>
      <c r="L2558" s="424" t="n"/>
      <c r="M2558" s="961" t="n"/>
      <c r="N2558" s="214" t="n"/>
    </row>
    <row r="2559">
      <c r="A2559" s="207" t="n"/>
      <c r="B2559" s="209" t="n"/>
      <c r="C2559" s="207" t="n"/>
      <c r="D2559" s="963" t="n"/>
      <c r="E2559" s="214" t="n"/>
      <c r="F2559" s="269" t="inlineStr">
        <is>
          <t>P14F32</t>
        </is>
      </c>
      <c r="G2559" s="263" t="inlineStr">
        <is>
          <t>Mini base adesiva con asta mm. 200 e porta messaggio 27 mm.</t>
        </is>
      </c>
      <c r="H2559" s="264" t="n">
        <v>100</v>
      </c>
      <c r="I2559" s="265" t="n">
        <v>0.509</v>
      </c>
      <c r="J2559" s="214" t="n"/>
      <c r="K2559" s="208" t="n"/>
      <c r="L2559" s="424" t="n"/>
      <c r="M2559" s="961" t="n"/>
      <c r="N2559" s="214" t="n"/>
    </row>
    <row r="2560">
      <c r="A2560" s="207" t="n"/>
      <c r="B2560" s="209" t="n"/>
      <c r="C2560" s="207" t="n"/>
      <c r="D2560" s="963" t="n"/>
      <c r="E2560" s="214" t="n"/>
      <c r="F2560" s="269" t="inlineStr">
        <is>
          <t>P14F33</t>
        </is>
      </c>
      <c r="G2560" s="263" t="inlineStr">
        <is>
          <t>Mini base adesiva con asta mm. 200 e porta messaggio a pinza 80 mm.</t>
        </is>
      </c>
      <c r="H2560" s="264" t="n">
        <v>100</v>
      </c>
      <c r="I2560" s="265" t="n">
        <v>0.856</v>
      </c>
      <c r="J2560" s="214" t="n"/>
      <c r="K2560" s="208" t="n"/>
      <c r="L2560" s="424" t="n"/>
      <c r="M2560" s="961" t="n"/>
      <c r="N2560" s="214" t="n"/>
    </row>
    <row r="2561">
      <c r="A2561" s="207" t="n"/>
      <c r="B2561" s="209" t="n"/>
      <c r="C2561" s="207" t="n"/>
      <c r="D2561" s="963" t="n"/>
      <c r="E2561" s="214" t="n"/>
      <c r="F2561" s="269" t="inlineStr">
        <is>
          <t>P14F34</t>
        </is>
      </c>
      <c r="G2561" s="263" t="inlineStr">
        <is>
          <t>Mini base adesiva con asta mm. 200 e porta messaggio a pinza 56 mm.</t>
        </is>
      </c>
      <c r="H2561" s="264" t="n">
        <v>100</v>
      </c>
      <c r="I2561" s="265" t="n">
        <v>0.827</v>
      </c>
      <c r="J2561" s="214" t="n"/>
      <c r="K2561" s="208" t="n"/>
      <c r="L2561" s="424" t="n"/>
      <c r="M2561" s="961" t="n"/>
      <c r="N2561" s="214" t="n"/>
    </row>
    <row r="2562">
      <c r="A2562" s="207" t="n"/>
      <c r="B2562" s="209" t="n"/>
      <c r="C2562" s="207" t="n"/>
      <c r="D2562" s="963" t="n"/>
      <c r="E2562" s="214" t="n"/>
      <c r="F2562" s="269" t="inlineStr">
        <is>
          <t>P14P40</t>
        </is>
      </c>
      <c r="G2562" s="263" t="inlineStr">
        <is>
          <t>Mini base adesiva con asta a "T" mm. 50 e porta prezzi</t>
        </is>
      </c>
      <c r="H2562" s="264" t="n">
        <v>100</v>
      </c>
      <c r="I2562" s="265" t="n">
        <v>0.36</v>
      </c>
      <c r="J2562" s="214" t="n"/>
      <c r="K2562" s="208" t="n"/>
      <c r="L2562" s="424" t="n"/>
      <c r="M2562" s="961" t="n"/>
      <c r="N2562" s="214" t="n"/>
    </row>
    <row r="2563">
      <c r="A2563" s="207" t="n"/>
      <c r="B2563" s="209" t="n"/>
      <c r="C2563" s="207" t="n"/>
      <c r="D2563" s="963" t="n"/>
      <c r="E2563" s="214" t="n"/>
      <c r="F2563" s="269" t="inlineStr">
        <is>
          <t>P14Q40</t>
        </is>
      </c>
      <c r="G2563" s="263" t="inlineStr">
        <is>
          <t>Mini base adesiva con asta a "T" mm. 100 e porta prezzi</t>
        </is>
      </c>
      <c r="H2563" s="264" t="n">
        <v>100</v>
      </c>
      <c r="I2563" s="265" t="n">
        <v>0.37</v>
      </c>
      <c r="J2563" s="214" t="n"/>
      <c r="K2563" s="208" t="n"/>
      <c r="L2563" s="424" t="n"/>
      <c r="M2563" s="961" t="n"/>
      <c r="N2563" s="214" t="n"/>
    </row>
    <row r="2564">
      <c r="A2564" s="207" t="n"/>
      <c r="B2564" s="209" t="n"/>
      <c r="C2564" s="207" t="n"/>
      <c r="D2564" s="963" t="n"/>
      <c r="E2564" s="214" t="n"/>
      <c r="F2564" s="269" t="inlineStr">
        <is>
          <t>P14R40</t>
        </is>
      </c>
      <c r="G2564" s="263" t="inlineStr">
        <is>
          <t>Mini base adesiva con asta a "T" mm. 150 e porta prezzi</t>
        </is>
      </c>
      <c r="H2564" s="264" t="n">
        <v>100</v>
      </c>
      <c r="I2564" s="265" t="n">
        <v>0.379</v>
      </c>
      <c r="J2564" s="214" t="n"/>
      <c r="K2564" s="209" t="n"/>
      <c r="L2564" s="425" t="n"/>
      <c r="M2564" s="961" t="n"/>
      <c r="N2564" s="214" t="n"/>
    </row>
    <row r="2565">
      <c r="A2565" s="207" t="n"/>
      <c r="B2565" s="209" t="n"/>
      <c r="C2565" s="207" t="n"/>
      <c r="D2565" s="963" t="n"/>
      <c r="E2565" s="214" t="n"/>
      <c r="F2565" s="269" t="inlineStr">
        <is>
          <t>P14S40</t>
        </is>
      </c>
      <c r="G2565" s="263" t="inlineStr">
        <is>
          <t>Mini base adesiva con asta a "T" mm. 200 e porta prezzi</t>
        </is>
      </c>
      <c r="H2565" s="264" t="n">
        <v>100</v>
      </c>
      <c r="I2565" s="265" t="n">
        <v>0.388</v>
      </c>
      <c r="J2565" s="214" t="n"/>
      <c r="K2565" s="208" t="n"/>
      <c r="L2565" s="424" t="n"/>
      <c r="M2565" s="961" t="n"/>
      <c r="N2565" s="214" t="n"/>
    </row>
    <row r="2566">
      <c r="A2566" s="207" t="n"/>
      <c r="B2566" s="209" t="n"/>
      <c r="C2566" s="207" t="n"/>
      <c r="D2566" s="963" t="n"/>
      <c r="E2566" s="214" t="n"/>
      <c r="F2566" s="269" t="inlineStr">
        <is>
          <t>P15A10</t>
        </is>
      </c>
      <c r="G2566" s="263" t="inlineStr">
        <is>
          <t>Spillo h. 100 mm. con pinza</t>
        </is>
      </c>
      <c r="H2566" s="264" t="n">
        <v>100</v>
      </c>
      <c r="I2566" s="265" t="n">
        <v>0.6</v>
      </c>
      <c r="J2566" s="214" t="n"/>
      <c r="K2566" s="209" t="n"/>
      <c r="L2566" s="425" t="n"/>
      <c r="M2566" s="961" t="n"/>
      <c r="N2566" s="214" t="n"/>
    </row>
    <row r="2567">
      <c r="A2567" s="207" t="n"/>
      <c r="B2567" s="209" t="n"/>
      <c r="C2567" s="207" t="n"/>
      <c r="D2567" s="963" t="n"/>
      <c r="E2567" s="214" t="n"/>
      <c r="F2567" s="269" t="inlineStr">
        <is>
          <t>P15A11</t>
        </is>
      </c>
      <c r="G2567" s="263" t="inlineStr">
        <is>
          <t>Spillo h. 100 mm. con mini pinza</t>
        </is>
      </c>
      <c r="H2567" s="264" t="n">
        <v>100</v>
      </c>
      <c r="I2567" s="265" t="n">
        <v>0.469</v>
      </c>
      <c r="J2567" s="214" t="n"/>
      <c r="K2567" s="208" t="n"/>
      <c r="L2567" s="424" t="n"/>
      <c r="M2567" s="961" t="n"/>
      <c r="N2567" s="214" t="n"/>
    </row>
    <row r="2568">
      <c r="A2568" s="207" t="n"/>
      <c r="B2568" s="209" t="n"/>
      <c r="C2568" s="207" t="n"/>
      <c r="D2568" s="963" t="n"/>
      <c r="E2568" s="214" t="n"/>
      <c r="F2568" s="269" t="inlineStr">
        <is>
          <t>P15A31</t>
        </is>
      </c>
      <c r="G2568" s="263" t="inlineStr">
        <is>
          <t>Spillo h. 100 mm. con porta messaggio 50 mm.</t>
        </is>
      </c>
      <c r="H2568" s="264" t="n">
        <v>100</v>
      </c>
      <c r="I2568" s="265" t="n">
        <v>0.344</v>
      </c>
      <c r="J2568" s="214" t="n"/>
      <c r="K2568" s="208" t="n"/>
      <c r="L2568" s="424" t="n"/>
      <c r="M2568" s="961" t="n"/>
      <c r="N2568" s="214" t="n"/>
    </row>
    <row r="2569">
      <c r="A2569" s="207" t="n"/>
      <c r="B2569" s="209" t="n"/>
      <c r="C2569" s="207" t="n"/>
      <c r="D2569" s="963" t="n"/>
      <c r="E2569" s="214" t="n"/>
      <c r="F2569" s="269" t="inlineStr">
        <is>
          <t>P15A32</t>
        </is>
      </c>
      <c r="G2569" s="263" t="inlineStr">
        <is>
          <t>Spillo mm. 100 con porta messaggio mm. 27</t>
        </is>
      </c>
      <c r="H2569" s="264" t="n">
        <v>100</v>
      </c>
      <c r="I2569" s="265" t="n">
        <v>0.237</v>
      </c>
      <c r="J2569" s="214" t="n"/>
      <c r="K2569" s="208" t="n"/>
      <c r="L2569" s="424" t="n"/>
      <c r="M2569" s="961" t="n"/>
      <c r="N2569" s="214" t="n"/>
    </row>
    <row r="2570">
      <c r="A2570" s="207" t="n"/>
      <c r="B2570" s="209" t="n"/>
      <c r="C2570" s="207" t="n"/>
      <c r="D2570" s="963" t="n"/>
      <c r="E2570" s="214" t="n"/>
      <c r="F2570" s="269" t="inlineStr">
        <is>
          <t>P15A33</t>
        </is>
      </c>
      <c r="G2570" s="263" t="inlineStr">
        <is>
          <t>Spillo h. 100 mm. con porta messaggio a pinza 80 mm.</t>
        </is>
      </c>
      <c r="H2570" s="264" t="n">
        <v>100</v>
      </c>
      <c r="I2570" s="265" t="n">
        <v>0.605</v>
      </c>
      <c r="J2570" s="214" t="n"/>
      <c r="K2570" s="208" t="n"/>
      <c r="L2570" s="424" t="n"/>
      <c r="M2570" s="961" t="n"/>
      <c r="N2570" s="214" t="n"/>
    </row>
    <row r="2571">
      <c r="A2571" s="207" t="n"/>
      <c r="B2571" s="209" t="n"/>
      <c r="C2571" s="207" t="n"/>
      <c r="D2571" s="963" t="n"/>
      <c r="E2571" s="214" t="n"/>
      <c r="F2571" s="269" t="inlineStr">
        <is>
          <t>P15A34</t>
        </is>
      </c>
      <c r="G2571" s="263" t="inlineStr">
        <is>
          <t>Spillo h. 100 mm. con porta messaggio a pinza 56 mm.</t>
        </is>
      </c>
      <c r="H2571" s="264" t="n">
        <v>100</v>
      </c>
      <c r="I2571" s="265" t="n">
        <v>0.581</v>
      </c>
      <c r="J2571" s="214" t="n"/>
      <c r="K2571" s="208" t="n"/>
      <c r="L2571" s="424" t="n"/>
      <c r="M2571" s="961" t="n"/>
      <c r="N2571" s="214" t="n"/>
    </row>
    <row r="2572">
      <c r="A2572" s="207" t="n"/>
      <c r="B2572" s="209" t="n"/>
      <c r="C2572" s="207" t="n"/>
      <c r="D2572" s="963" t="n"/>
      <c r="E2572" s="214" t="n"/>
      <c r="F2572" s="269" t="inlineStr">
        <is>
          <t>P15P40</t>
        </is>
      </c>
      <c r="G2572" s="263" t="inlineStr">
        <is>
          <t>Spillo h. mm. 100 con asta a "T" mm. 50 e porta prezzi</t>
        </is>
      </c>
      <c r="H2572" s="264" t="n">
        <v>100</v>
      </c>
      <c r="I2572" s="265" t="n">
        <v>0.376</v>
      </c>
      <c r="J2572" s="214" t="n"/>
      <c r="K2572" s="208" t="n"/>
      <c r="L2572" s="424" t="n"/>
      <c r="M2572" s="961" t="n"/>
      <c r="N2572" s="214" t="n"/>
    </row>
    <row r="2573">
      <c r="A2573" s="207" t="n"/>
      <c r="B2573" s="209" t="n"/>
      <c r="C2573" s="207" t="n"/>
      <c r="D2573" s="963" t="n"/>
      <c r="E2573" s="214" t="n"/>
      <c r="F2573" s="269" t="inlineStr">
        <is>
          <t>P15Q40</t>
        </is>
      </c>
      <c r="G2573" s="263" t="inlineStr">
        <is>
          <t>Spillo h. mm. 100 con asta a "T" mm. 100 e porta prezzi</t>
        </is>
      </c>
      <c r="H2573" s="264" t="n">
        <v>100</v>
      </c>
      <c r="I2573" s="265" t="n">
        <v>0.386</v>
      </c>
      <c r="J2573" s="214" t="n"/>
      <c r="K2573" s="208" t="n"/>
      <c r="L2573" s="424" t="n"/>
      <c r="M2573" s="961" t="n"/>
      <c r="N2573" s="214" t="n"/>
    </row>
    <row r="2574">
      <c r="A2574" s="207" t="n"/>
      <c r="B2574" s="209" t="n"/>
      <c r="C2574" s="207" t="n"/>
      <c r="D2574" s="963" t="n"/>
      <c r="E2574" s="214" t="n"/>
      <c r="F2574" s="269" t="inlineStr">
        <is>
          <t>P15R40</t>
        </is>
      </c>
      <c r="G2574" s="263" t="inlineStr">
        <is>
          <t>Spillo h. mm. 100 con asta a "T" mm. 150 e porta prezzi</t>
        </is>
      </c>
      <c r="H2574" s="264" t="n">
        <v>100</v>
      </c>
      <c r="I2574" s="265" t="n">
        <v>0.395</v>
      </c>
      <c r="J2574" s="214" t="n"/>
      <c r="K2574" s="208" t="n"/>
      <c r="L2574" s="424" t="n"/>
      <c r="M2574" s="961" t="n"/>
      <c r="N2574" s="214" t="n"/>
    </row>
    <row r="2575">
      <c r="A2575" s="207" t="n"/>
      <c r="B2575" s="209" t="n"/>
      <c r="C2575" s="209" t="n"/>
      <c r="D2575" s="960" t="n"/>
      <c r="E2575" s="214" t="n"/>
      <c r="F2575" s="269" t="inlineStr">
        <is>
          <t>P15S40</t>
        </is>
      </c>
      <c r="G2575" s="263" t="inlineStr">
        <is>
          <t>Spillo h. mm. 100 con asta a "T" mm. 200 e porta prezzi</t>
        </is>
      </c>
      <c r="H2575" s="264" t="n">
        <v>100</v>
      </c>
      <c r="I2575" s="265" t="n">
        <v>0.404</v>
      </c>
      <c r="J2575" s="214" t="n"/>
      <c r="K2575" s="208" t="n"/>
      <c r="L2575" s="424" t="n"/>
      <c r="M2575" s="961" t="n"/>
      <c r="N2575" s="214" t="n"/>
    </row>
    <row r="2576">
      <c r="A2576" s="207" t="n"/>
      <c r="B2576" s="209" t="n"/>
      <c r="C2576" s="209" t="n"/>
      <c r="D2576" s="960" t="n"/>
      <c r="E2576" s="214" t="n"/>
      <c r="F2576" s="269" t="inlineStr">
        <is>
          <t>P16A10</t>
        </is>
      </c>
      <c r="G2576" s="263" t="inlineStr">
        <is>
          <t>Spillo h. 150 mm. con pinza</t>
        </is>
      </c>
      <c r="H2576" s="264" t="n">
        <v>100</v>
      </c>
      <c r="I2576" s="265" t="n">
        <v>0.609</v>
      </c>
      <c r="J2576" s="214" t="n"/>
      <c r="K2576" s="208" t="n"/>
      <c r="L2576" s="424" t="n"/>
      <c r="M2576" s="961" t="n"/>
      <c r="N2576" s="214" t="n"/>
    </row>
    <row r="2577">
      <c r="A2577" s="207" t="n"/>
      <c r="B2577" s="209" t="n"/>
      <c r="C2577" s="209" t="n"/>
      <c r="D2577" s="960" t="n"/>
      <c r="E2577" s="214" t="n"/>
      <c r="F2577" s="269" t="inlineStr">
        <is>
          <t>P16A11</t>
        </is>
      </c>
      <c r="G2577" s="263" t="inlineStr">
        <is>
          <t>Spillo h. 150 mm. con mini pinza</t>
        </is>
      </c>
      <c r="H2577" s="264" t="n">
        <v>100</v>
      </c>
      <c r="I2577" s="265" t="n">
        <v>0.479</v>
      </c>
      <c r="J2577" s="214" t="n"/>
      <c r="K2577" s="208" t="n"/>
      <c r="L2577" s="424" t="n"/>
      <c r="M2577" s="961" t="n"/>
      <c r="N2577" s="214" t="n"/>
    </row>
    <row r="2578">
      <c r="A2578" s="207" t="n"/>
      <c r="B2578" s="209" t="n"/>
      <c r="C2578" s="209" t="n"/>
      <c r="D2578" s="960" t="n"/>
      <c r="E2578" s="214" t="n"/>
      <c r="F2578" s="269" t="inlineStr">
        <is>
          <t>P16A31</t>
        </is>
      </c>
      <c r="G2578" s="263" t="inlineStr">
        <is>
          <t>Spillo h. 150 mm. con porta messaggio 50 mm.</t>
        </is>
      </c>
      <c r="H2578" s="264" t="n">
        <v>100</v>
      </c>
      <c r="I2578" s="265" t="n">
        <v>0.421</v>
      </c>
      <c r="J2578" s="214" t="n"/>
      <c r="K2578" s="208" t="n"/>
      <c r="L2578" s="424" t="n"/>
      <c r="M2578" s="961" t="n"/>
      <c r="N2578" s="214" t="n"/>
    </row>
    <row r="2579">
      <c r="A2579" s="207" t="n"/>
      <c r="B2579" s="209" t="n"/>
      <c r="C2579" s="207" t="n"/>
      <c r="D2579" s="963" t="n"/>
      <c r="E2579" s="214" t="n"/>
      <c r="F2579" s="269" t="inlineStr">
        <is>
          <t>P16A32</t>
        </is>
      </c>
      <c r="G2579" s="263" t="inlineStr">
        <is>
          <t>Spillo h. 150 mm. con porta messaggio 27 mm.</t>
        </is>
      </c>
      <c r="H2579" s="264" t="n">
        <v>100</v>
      </c>
      <c r="I2579" s="265" t="n">
        <v>0.326</v>
      </c>
      <c r="J2579" s="214" t="n"/>
      <c r="K2579" s="209" t="n"/>
      <c r="L2579" s="425" t="n"/>
      <c r="M2579" s="961" t="n"/>
      <c r="N2579" s="214" t="n"/>
    </row>
    <row r="2580">
      <c r="A2580" s="207" t="n"/>
      <c r="B2580" s="209" t="n"/>
      <c r="C2580" s="209" t="n"/>
      <c r="D2580" s="960" t="n"/>
      <c r="E2580" s="214" t="n"/>
      <c r="F2580" s="269" t="inlineStr">
        <is>
          <t>P16A33</t>
        </is>
      </c>
      <c r="G2580" s="263" t="inlineStr">
        <is>
          <t>Spillo h. 150 mm. con porta messaggio a pinza 80 mm.</t>
        </is>
      </c>
      <c r="H2580" s="264" t="n">
        <v>100</v>
      </c>
      <c r="I2580" s="265" t="n">
        <v>0.615</v>
      </c>
      <c r="J2580" s="214" t="n"/>
      <c r="K2580" s="208" t="n"/>
      <c r="L2580" s="424" t="n"/>
      <c r="M2580" s="961" t="n"/>
      <c r="N2580" s="214" t="n"/>
    </row>
    <row r="2581">
      <c r="A2581" s="207" t="n"/>
      <c r="B2581" s="209" t="n"/>
      <c r="C2581" s="209" t="n"/>
      <c r="D2581" s="960" t="n"/>
      <c r="E2581" s="214" t="n"/>
      <c r="F2581" s="269" t="inlineStr">
        <is>
          <t>P16A34</t>
        </is>
      </c>
      <c r="G2581" s="263" t="inlineStr">
        <is>
          <t>Spillo h. 150 mm. con porta messaggio a pinza 56 mm.</t>
        </is>
      </c>
      <c r="H2581" s="264" t="n">
        <v>100</v>
      </c>
      <c r="I2581" s="265" t="n">
        <v>0.591</v>
      </c>
      <c r="J2581" s="214" t="n"/>
      <c r="K2581" s="208" t="n"/>
      <c r="L2581" s="424" t="n"/>
      <c r="M2581" s="961" t="n"/>
      <c r="N2581" s="214" t="n"/>
    </row>
    <row r="2582">
      <c r="A2582" s="207" t="n"/>
      <c r="B2582" s="209" t="n"/>
      <c r="C2582" s="209" t="n"/>
      <c r="D2582" s="960" t="n"/>
      <c r="E2582" s="214" t="n"/>
      <c r="F2582" s="269" t="inlineStr">
        <is>
          <t>P16P40</t>
        </is>
      </c>
      <c r="G2582" s="263" t="inlineStr">
        <is>
          <t>Spillo h. mm. 150 con asta a "T" mm. 50 e porta prezzi</t>
        </is>
      </c>
      <c r="H2582" s="264" t="n">
        <v>100</v>
      </c>
      <c r="I2582" s="265" t="n">
        <v>0.385</v>
      </c>
      <c r="J2582" s="214" t="n"/>
      <c r="K2582" s="208" t="n"/>
      <c r="L2582" s="424" t="n"/>
      <c r="M2582" s="961" t="n"/>
      <c r="N2582" s="214" t="n"/>
    </row>
    <row r="2583">
      <c r="A2583" s="207" t="n"/>
      <c r="B2583" s="209" t="n"/>
      <c r="C2583" s="209" t="n"/>
      <c r="D2583" s="960" t="n"/>
      <c r="E2583" s="214" t="n"/>
      <c r="F2583" s="269" t="inlineStr">
        <is>
          <t>P16Q40</t>
        </is>
      </c>
      <c r="G2583" s="263" t="inlineStr">
        <is>
          <t>Spillo h. mm. 150 con asta a "T" mm. 100 e porta prezzi</t>
        </is>
      </c>
      <c r="H2583" s="264" t="n">
        <v>100</v>
      </c>
      <c r="I2583" s="265" t="n">
        <v>0.395</v>
      </c>
      <c r="J2583" s="214" t="n"/>
      <c r="K2583" s="208" t="n"/>
      <c r="L2583" s="424" t="n"/>
      <c r="M2583" s="961" t="n"/>
      <c r="N2583" s="214" t="n"/>
    </row>
    <row r="2584">
      <c r="A2584" s="207" t="n"/>
      <c r="B2584" s="209" t="n"/>
      <c r="C2584" s="209" t="n"/>
      <c r="D2584" s="960" t="n"/>
      <c r="E2584" s="214" t="n"/>
      <c r="F2584" s="269" t="inlineStr">
        <is>
          <t>P16R40</t>
        </is>
      </c>
      <c r="G2584" s="263" t="inlineStr">
        <is>
          <t>Spillo h. mm. 150 con asta a "T" mm. 150 e porta prezzi</t>
        </is>
      </c>
      <c r="H2584" s="264" t="n">
        <v>100</v>
      </c>
      <c r="I2584" s="265" t="n">
        <v>0.404</v>
      </c>
      <c r="J2584" s="214" t="n"/>
      <c r="K2584" s="208" t="n"/>
      <c r="L2584" s="424" t="n"/>
      <c r="M2584" s="961" t="n"/>
      <c r="N2584" s="214" t="n"/>
    </row>
    <row r="2585">
      <c r="A2585" s="207" t="n"/>
      <c r="B2585" s="209" t="n"/>
      <c r="C2585" s="209" t="n"/>
      <c r="D2585" s="960" t="n"/>
      <c r="E2585" s="214" t="n"/>
      <c r="F2585" s="269" t="inlineStr">
        <is>
          <t>P16S40</t>
        </is>
      </c>
      <c r="G2585" s="263" t="inlineStr">
        <is>
          <t>Spillo h. mm. 150 con asta a "T" mm. 200 e porta prezzi</t>
        </is>
      </c>
      <c r="H2585" s="264" t="n">
        <v>100</v>
      </c>
      <c r="I2585" s="265" t="n">
        <v>0.413</v>
      </c>
      <c r="J2585" s="214" t="n"/>
      <c r="K2585" s="208" t="n"/>
      <c r="L2585" s="424" t="n"/>
      <c r="M2585" s="961" t="n"/>
      <c r="N2585" s="214" t="n"/>
    </row>
    <row r="2586">
      <c r="A2586" s="207" t="n"/>
      <c r="B2586" s="209" t="n"/>
      <c r="C2586" s="207" t="n"/>
      <c r="D2586" s="963" t="n"/>
      <c r="E2586" s="214" t="n"/>
      <c r="F2586" s="269" t="inlineStr">
        <is>
          <t>P17A10</t>
        </is>
      </c>
      <c r="G2586" s="263" t="inlineStr">
        <is>
          <t>Asta per ghiaccio con pinza</t>
        </is>
      </c>
      <c r="H2586" s="264" t="n">
        <v>100</v>
      </c>
      <c r="I2586" s="265" t="n">
        <v>0.768</v>
      </c>
      <c r="J2586" s="214" t="n"/>
      <c r="K2586" s="208" t="n"/>
      <c r="L2586" s="424" t="n"/>
      <c r="M2586" s="961" t="n"/>
      <c r="N2586" s="214" t="n"/>
    </row>
    <row r="2587">
      <c r="A2587" s="207" t="n"/>
      <c r="B2587" s="209" t="n"/>
      <c r="C2587" s="207" t="n"/>
      <c r="D2587" s="963" t="n"/>
      <c r="E2587" s="214" t="n"/>
      <c r="F2587" s="269" t="inlineStr">
        <is>
          <t>P17A11</t>
        </is>
      </c>
      <c r="G2587" s="263" t="inlineStr">
        <is>
          <t>Asta per ghiaccio con mini pinza</t>
        </is>
      </c>
      <c r="H2587" s="264" t="n">
        <v>100</v>
      </c>
      <c r="I2587" s="265" t="n">
        <v>0.617</v>
      </c>
      <c r="J2587" s="214" t="n"/>
      <c r="K2587" s="208" t="n"/>
      <c r="L2587" s="424" t="n"/>
      <c r="M2587" s="961" t="n"/>
      <c r="N2587" s="214" t="n"/>
    </row>
    <row r="2588">
      <c r="A2588" s="207" t="n"/>
      <c r="B2588" s="209" t="n"/>
      <c r="C2588" s="207" t="n"/>
      <c r="D2588" s="963" t="n"/>
      <c r="E2588" s="214" t="n"/>
      <c r="F2588" s="269" t="inlineStr">
        <is>
          <t>P17A31</t>
        </is>
      </c>
      <c r="G2588" s="263" t="inlineStr">
        <is>
          <t>Asta per ghiaccio con porta messaggio 50 mm.</t>
        </is>
      </c>
      <c r="H2588" s="264" t="n">
        <v>100</v>
      </c>
      <c r="I2588" s="265" t="n">
        <v>0.55</v>
      </c>
      <c r="J2588" s="214" t="n"/>
      <c r="K2588" s="208" t="n"/>
      <c r="L2588" s="424" t="n"/>
      <c r="M2588" s="961" t="n"/>
      <c r="N2588" s="214" t="n"/>
    </row>
    <row r="2589">
      <c r="A2589" s="207" t="n"/>
      <c r="B2589" s="209" t="n"/>
      <c r="C2589" s="207" t="n"/>
      <c r="D2589" s="963" t="n"/>
      <c r="E2589" s="214" t="n"/>
      <c r="F2589" s="269" t="inlineStr">
        <is>
          <t>P17A32</t>
        </is>
      </c>
      <c r="G2589" s="263" t="inlineStr">
        <is>
          <t>Asta per ghiaccio con porta messaggio 27 mm.</t>
        </is>
      </c>
      <c r="H2589" s="264" t="n">
        <v>100</v>
      </c>
      <c r="I2589" s="265" t="n">
        <v>0.44</v>
      </c>
      <c r="J2589" s="214" t="n"/>
      <c r="K2589" s="208" t="n"/>
      <c r="L2589" s="424" t="n"/>
      <c r="M2589" s="961" t="n"/>
      <c r="N2589" s="214" t="n"/>
    </row>
    <row r="2590">
      <c r="A2590" s="207" t="n"/>
      <c r="B2590" s="209" t="n"/>
      <c r="C2590" s="207" t="n"/>
      <c r="D2590" s="963" t="n"/>
      <c r="E2590" s="214" t="n"/>
      <c r="F2590" s="269" t="inlineStr">
        <is>
          <t>P17A33</t>
        </is>
      </c>
      <c r="G2590" s="263" t="inlineStr">
        <is>
          <t>Asta per ghiaccio con porta messaggio a pinza 80 mm.</t>
        </is>
      </c>
      <c r="H2590" s="264" t="n">
        <v>100</v>
      </c>
      <c r="I2590" s="265" t="n">
        <v>0.774</v>
      </c>
      <c r="J2590" s="214" t="n"/>
      <c r="K2590" s="208" t="n"/>
      <c r="L2590" s="424" t="n"/>
      <c r="M2590" s="961" t="n"/>
      <c r="N2590" s="214" t="n"/>
    </row>
    <row r="2591">
      <c r="A2591" s="207" t="n"/>
      <c r="B2591" s="209" t="n"/>
      <c r="C2591" s="209" t="n"/>
      <c r="D2591" s="960" t="n"/>
      <c r="E2591" s="214" t="n"/>
      <c r="F2591" s="269" t="inlineStr">
        <is>
          <t>P17A34</t>
        </is>
      </c>
      <c r="G2591" s="263" t="inlineStr">
        <is>
          <t>Asta per ghiaccio con porta messaggio a pinza 56 mm.</t>
        </is>
      </c>
      <c r="H2591" s="264" t="n">
        <v>100</v>
      </c>
      <c r="I2591" s="265" t="n">
        <v>0.746</v>
      </c>
      <c r="J2591" s="214" t="n"/>
      <c r="K2591" s="208" t="n"/>
      <c r="L2591" s="424" t="n"/>
      <c r="M2591" s="961" t="n"/>
      <c r="N2591" s="214" t="n"/>
    </row>
    <row r="2592">
      <c r="A2592" s="207" t="n"/>
      <c r="B2592" s="209" t="n"/>
      <c r="C2592" s="209" t="n"/>
      <c r="D2592" s="960" t="n"/>
      <c r="E2592" s="214" t="n"/>
      <c r="F2592" s="269" t="inlineStr">
        <is>
          <t>P17P40</t>
        </is>
      </c>
      <c r="G2592" s="263" t="inlineStr">
        <is>
          <t>Asta per ghiaccio con asta a "T" mm. 50 e porta prezzi</t>
        </is>
      </c>
      <c r="H2592" s="264" t="n">
        <v>100</v>
      </c>
      <c r="I2592" s="265" t="n">
        <v>0.372</v>
      </c>
      <c r="J2592" s="214" t="n"/>
      <c r="K2592" s="208" t="n"/>
      <c r="L2592" s="424" t="n"/>
      <c r="M2592" s="961" t="n"/>
      <c r="N2592" s="214" t="n"/>
    </row>
    <row r="2593">
      <c r="A2593" s="207" t="n"/>
      <c r="B2593" s="209" t="n"/>
      <c r="C2593" s="209" t="n"/>
      <c r="D2593" s="960" t="n"/>
      <c r="E2593" s="214" t="n"/>
      <c r="F2593" s="269" t="inlineStr">
        <is>
          <t>P17Q40</t>
        </is>
      </c>
      <c r="G2593" s="263" t="inlineStr">
        <is>
          <t>Asta per ghiaccio con asta a "T" mm. 100 e porta prezzi</t>
        </is>
      </c>
      <c r="H2593" s="264" t="n">
        <v>100</v>
      </c>
      <c r="I2593" s="265" t="n">
        <v>0.6929999999999999</v>
      </c>
      <c r="J2593" s="214" t="n"/>
      <c r="K2593" s="208" t="n"/>
      <c r="L2593" s="424" t="n"/>
      <c r="M2593" s="961" t="n"/>
      <c r="N2593" s="214" t="n"/>
    </row>
    <row r="2594">
      <c r="A2594" s="207" t="n"/>
      <c r="B2594" s="209" t="n"/>
      <c r="C2594" s="209" t="n"/>
      <c r="D2594" s="960" t="n"/>
      <c r="E2594" s="214" t="n"/>
      <c r="F2594" s="269" t="inlineStr">
        <is>
          <t>P17R40</t>
        </is>
      </c>
      <c r="G2594" s="263" t="inlineStr">
        <is>
          <t>Asta per ghiaccio con asta a "T" mm. 150 e porta prezzi</t>
        </is>
      </c>
      <c r="H2594" s="264" t="n">
        <v>100</v>
      </c>
      <c r="I2594" s="265" t="n">
        <v>0.331</v>
      </c>
      <c r="J2594" s="214" t="n"/>
      <c r="K2594" s="208" t="n"/>
      <c r="L2594" s="424" t="n"/>
      <c r="M2594" s="961" t="n"/>
      <c r="N2594" s="214" t="n"/>
    </row>
    <row r="2595">
      <c r="A2595" s="207" t="n"/>
      <c r="B2595" s="209" t="n"/>
      <c r="C2595" s="209" t="n"/>
      <c r="D2595" s="960" t="n"/>
      <c r="E2595" s="214" t="n"/>
      <c r="F2595" s="269" t="inlineStr">
        <is>
          <t>P17S40</t>
        </is>
      </c>
      <c r="G2595" s="263" t="inlineStr">
        <is>
          <t>Asta per ghiaccio con asta a "T" mm. 200 e porta prezzi</t>
        </is>
      </c>
      <c r="H2595" s="264" t="n">
        <v>100</v>
      </c>
      <c r="I2595" s="265" t="n">
        <v>0.331</v>
      </c>
      <c r="J2595" s="214" t="n"/>
      <c r="K2595" s="208" t="n"/>
      <c r="L2595" s="424" t="n"/>
      <c r="M2595" s="961" t="n"/>
      <c r="N2595" s="214" t="n"/>
    </row>
    <row r="2596">
      <c r="A2596" s="207" t="n"/>
      <c r="B2596" s="209" t="n"/>
      <c r="C2596" s="209" t="n"/>
      <c r="D2596" s="960" t="n"/>
      <c r="E2596" s="214" t="n"/>
      <c r="F2596" s="269" t="inlineStr">
        <is>
          <t>PART10</t>
        </is>
      </c>
      <c r="G2596" s="263" t="inlineStr">
        <is>
          <t>PINZA GRANDE CON PALLINA X SISTEMA REVOGRIP</t>
        </is>
      </c>
      <c r="H2596" s="264" t="n">
        <v>100</v>
      </c>
      <c r="I2596" s="265" t="n">
        <v>0.457</v>
      </c>
      <c r="J2596" s="214" t="n"/>
      <c r="K2596" s="208" t="n"/>
      <c r="L2596" s="424" t="n"/>
      <c r="M2596" s="961" t="n"/>
      <c r="N2596" s="214" t="n"/>
    </row>
    <row r="2597">
      <c r="A2597" s="207" t="n"/>
      <c r="B2597" s="209" t="n"/>
      <c r="C2597" s="207" t="n"/>
      <c r="D2597" s="963" t="n"/>
      <c r="E2597" s="214" t="n"/>
      <c r="F2597" s="269" t="inlineStr">
        <is>
          <t>PART11</t>
        </is>
      </c>
      <c r="G2597" s="263" t="inlineStr">
        <is>
          <t>MINI PINZA CON PALLINA PER SISTEMA REVOGRIP</t>
        </is>
      </c>
      <c r="H2597" s="264" t="n">
        <v>100</v>
      </c>
      <c r="I2597" s="265" t="n">
        <v>0.197</v>
      </c>
      <c r="J2597" s="214" t="n"/>
      <c r="K2597" s="209" t="n"/>
      <c r="L2597" s="425" t="n"/>
      <c r="M2597" s="961" t="n"/>
      <c r="N2597" s="214" t="n"/>
    </row>
    <row r="2598">
      <c r="A2598" s="207" t="n"/>
      <c r="B2598" s="209" t="n"/>
      <c r="C2598" s="207" t="n"/>
      <c r="D2598" s="963" t="n"/>
      <c r="E2598" s="214" t="n"/>
      <c r="F2598" s="269" t="inlineStr">
        <is>
          <t>PART12</t>
        </is>
      </c>
      <c r="G2598" s="263" t="inlineStr">
        <is>
          <t>BASE DIAMETRO MM. 85</t>
        </is>
      </c>
      <c r="H2598" s="264" t="n">
        <v>100</v>
      </c>
      <c r="I2598" s="265" t="n">
        <v>0.352</v>
      </c>
      <c r="J2598" s="214" t="n"/>
      <c r="K2598" s="208" t="n"/>
      <c r="L2598" s="424" t="n"/>
      <c r="M2598" s="961" t="n"/>
      <c r="N2598" s="214" t="n"/>
    </row>
    <row r="2599">
      <c r="A2599" s="207" t="n"/>
      <c r="B2599" s="209" t="n"/>
      <c r="C2599" s="207" t="n"/>
      <c r="D2599" s="963" t="n"/>
      <c r="E2599" s="214" t="n"/>
      <c r="F2599" s="269" t="inlineStr">
        <is>
          <t>PART13</t>
        </is>
      </c>
      <c r="G2599" s="263" t="inlineStr">
        <is>
          <t>BASE DIAMETRO MM. 50</t>
        </is>
      </c>
      <c r="H2599" s="264" t="n">
        <v>100</v>
      </c>
      <c r="I2599" s="265" t="n">
        <v>0.185</v>
      </c>
      <c r="J2599" s="214" t="n"/>
      <c r="K2599" s="208" t="n"/>
      <c r="L2599" s="424" t="n"/>
      <c r="M2599" s="961" t="n"/>
      <c r="N2599" s="214" t="n"/>
    </row>
    <row r="2600">
      <c r="A2600" s="207" t="n"/>
      <c r="B2600" s="209" t="n"/>
      <c r="C2600" s="207" t="n"/>
      <c r="D2600" s="963" t="n"/>
      <c r="E2600" s="214" t="n"/>
      <c r="F2600" s="269" t="inlineStr">
        <is>
          <t>PART14</t>
        </is>
      </c>
      <c r="G2600" s="263" t="inlineStr">
        <is>
          <t>MINI BASE ADESIVA DIAM. MM. 30</t>
        </is>
      </c>
      <c r="H2600" s="264" t="n">
        <v>100</v>
      </c>
      <c r="I2600" s="265" t="n">
        <v>0.112</v>
      </c>
      <c r="J2600" s="214" t="n"/>
      <c r="K2600" s="208" t="n"/>
      <c r="L2600" s="424" t="n"/>
      <c r="M2600" s="961" t="n"/>
      <c r="N2600" s="214" t="n"/>
    </row>
    <row r="2601">
      <c r="A2601" s="207" t="n"/>
      <c r="B2601" s="209" t="n"/>
      <c r="C2601" s="207" t="n"/>
      <c r="D2601" s="963" t="n"/>
      <c r="E2601" s="214" t="n"/>
      <c r="F2601" s="269" t="inlineStr">
        <is>
          <t>PART15</t>
        </is>
      </c>
      <c r="G2601" s="263" t="inlineStr">
        <is>
          <t>SPILLO MM. 100</t>
        </is>
      </c>
      <c r="H2601" s="264" t="n">
        <v>100</v>
      </c>
      <c r="I2601" s="265" t="n">
        <v>0.09</v>
      </c>
      <c r="J2601" s="214" t="n"/>
      <c r="K2601" s="208" t="n"/>
      <c r="L2601" s="424" t="n"/>
      <c r="M2601" s="961" t="n"/>
      <c r="N2601" s="214" t="n"/>
    </row>
    <row r="2602">
      <c r="A2602" s="207" t="n"/>
      <c r="B2602" s="209" t="n"/>
      <c r="C2602" s="207" t="n"/>
      <c r="D2602" s="963" t="n"/>
      <c r="E2602" s="214" t="n"/>
      <c r="F2602" s="269" t="inlineStr">
        <is>
          <t>PART16</t>
        </is>
      </c>
      <c r="G2602" s="263" t="inlineStr">
        <is>
          <t>SPILLO MM. 150</t>
        </is>
      </c>
      <c r="H2602" s="264" t="n">
        <v>100</v>
      </c>
      <c r="I2602" s="265" t="n">
        <v>0.099</v>
      </c>
      <c r="J2602" s="214" t="n"/>
      <c r="K2602" s="208" t="n"/>
      <c r="L2602" s="424" t="n"/>
      <c r="M2602" s="961" t="n"/>
      <c r="N2602" s="214" t="n"/>
    </row>
    <row r="2603">
      <c r="A2603" s="207" t="n"/>
      <c r="B2603" s="209" t="n"/>
      <c r="C2603" s="209" t="n"/>
      <c r="D2603" s="960" t="n"/>
      <c r="E2603" s="214" t="n"/>
      <c r="F2603" s="269" t="inlineStr">
        <is>
          <t>PART17</t>
        </is>
      </c>
      <c r="G2603" s="263" t="inlineStr">
        <is>
          <t>ASTA PER GHIACCIO MM. 150</t>
        </is>
      </c>
      <c r="H2603" s="264" t="n">
        <v>100</v>
      </c>
      <c r="I2603" s="265" t="n">
        <v>0.329</v>
      </c>
      <c r="J2603" s="214" t="n"/>
      <c r="K2603" s="208" t="n"/>
      <c r="L2603" s="424" t="n"/>
      <c r="M2603" s="961" t="n"/>
      <c r="N2603" s="214" t="n"/>
    </row>
    <row r="2604">
      <c r="A2604" s="207" t="n"/>
      <c r="B2604" s="209" t="n"/>
      <c r="C2604" s="207" t="n"/>
      <c r="D2604" s="963" t="n"/>
      <c r="E2604" s="214" t="n"/>
      <c r="F2604" s="269" t="inlineStr">
        <is>
          <t>PART31</t>
        </is>
      </c>
      <c r="G2604" s="263" t="inlineStr">
        <is>
          <t>PORTA MESSAGGIO 50 MM.</t>
        </is>
      </c>
      <c r="H2604" s="264" t="n">
        <v>100</v>
      </c>
      <c r="I2604" s="265" t="n">
        <v>0.216</v>
      </c>
      <c r="J2604" s="214" t="n"/>
      <c r="K2604" s="208" t="n"/>
      <c r="L2604" s="424" t="n"/>
      <c r="M2604" s="961" t="n"/>
      <c r="N2604" s="214" t="n"/>
    </row>
    <row r="2605">
      <c r="A2605" s="207" t="n"/>
      <c r="B2605" s="209" t="n"/>
      <c r="C2605" s="207" t="n"/>
      <c r="D2605" s="963" t="n"/>
      <c r="E2605" s="214" t="n"/>
      <c r="F2605" s="269" t="inlineStr">
        <is>
          <t>PART32</t>
        </is>
      </c>
      <c r="G2605" s="263" t="inlineStr">
        <is>
          <t>PORTA MESSAGGIO 27 MM.</t>
        </is>
      </c>
      <c r="H2605" s="264" t="n">
        <v>100</v>
      </c>
      <c r="I2605" s="265" t="n">
        <v>0.108</v>
      </c>
      <c r="J2605" s="214" t="n"/>
      <c r="K2605" s="208" t="n"/>
      <c r="L2605" s="424" t="n"/>
      <c r="M2605" s="961" t="n"/>
      <c r="N2605" s="214" t="n"/>
    </row>
    <row r="2606">
      <c r="A2606" s="207" t="n"/>
      <c r="B2606" s="209" t="n"/>
      <c r="C2606" s="207" t="n"/>
      <c r="D2606" s="963" t="n"/>
      <c r="E2606" s="214" t="n"/>
      <c r="F2606" s="269" t="inlineStr">
        <is>
          <t>PART33</t>
        </is>
      </c>
      <c r="G2606" s="263" t="inlineStr">
        <is>
          <t>PORTA MESSAGGIO A PINZA MM. 80</t>
        </is>
      </c>
      <c r="H2606" s="264" t="n">
        <v>100</v>
      </c>
      <c r="I2606" s="265" t="n">
        <v>0.478</v>
      </c>
      <c r="J2606" s="214" t="n"/>
      <c r="K2606" s="208" t="n"/>
      <c r="L2606" s="424" t="n"/>
      <c r="M2606" s="961" t="n"/>
      <c r="N2606" s="214" t="n"/>
    </row>
    <row r="2607">
      <c r="A2607" s="207" t="n"/>
      <c r="B2607" s="209" t="n"/>
      <c r="C2607" s="207" t="n"/>
      <c r="D2607" s="963" t="n"/>
      <c r="E2607" s="214" t="n"/>
      <c r="F2607" s="269" t="inlineStr">
        <is>
          <t>PART34</t>
        </is>
      </c>
      <c r="G2607" s="263" t="inlineStr">
        <is>
          <t>PORTA MESSAGGIO A PINZA MM. 56</t>
        </is>
      </c>
      <c r="H2607" s="264" t="n">
        <v>100</v>
      </c>
      <c r="I2607" s="265" t="n">
        <v>0.478</v>
      </c>
      <c r="J2607" s="214" t="n"/>
      <c r="K2607" s="208" t="n"/>
      <c r="L2607" s="424" t="n"/>
      <c r="M2607" s="961" t="n"/>
      <c r="N2607" s="214" t="n"/>
    </row>
    <row r="2608" ht="21.75" customHeight="1">
      <c r="A2608" s="207" t="n"/>
      <c r="B2608" s="209" t="n"/>
      <c r="C2608" s="207" t="n"/>
      <c r="D2608" s="963" t="n"/>
      <c r="E2608" s="214" t="n"/>
      <c r="F2608" s="271" t="inlineStr">
        <is>
          <t>PART40</t>
        </is>
      </c>
      <c r="G2608" s="263" t="inlineStr">
        <is>
          <t>PORTA PREZZI PER BROCHE 431640</t>
        </is>
      </c>
      <c r="H2608" s="264" t="n">
        <v>100</v>
      </c>
      <c r="I2608" s="265" t="n">
        <v>0.09</v>
      </c>
      <c r="J2608" s="214" t="n"/>
      <c r="K2608" s="208" t="n"/>
      <c r="L2608" s="424" t="n"/>
      <c r="M2608" s="961" t="n"/>
      <c r="N2608" s="214" t="n"/>
    </row>
    <row r="2609">
      <c r="A2609" s="207" t="n"/>
      <c r="B2609" s="209" t="n"/>
      <c r="C2609" s="207" t="n"/>
      <c r="D2609" s="963" t="n"/>
      <c r="E2609" s="214" t="n"/>
      <c r="F2609" s="263" t="inlineStr">
        <is>
          <t>STEM100</t>
        </is>
      </c>
      <c r="G2609" s="263" t="inlineStr">
        <is>
          <t>ASTA MM. 100</t>
        </is>
      </c>
      <c r="H2609" s="264" t="n">
        <v>100</v>
      </c>
      <c r="I2609" s="265" t="n">
        <v>0.09</v>
      </c>
      <c r="J2609" s="214" t="n"/>
      <c r="K2609" s="208" t="n"/>
      <c r="L2609" s="424" t="n"/>
      <c r="M2609" s="961" t="n"/>
      <c r="N2609" s="214" t="n"/>
    </row>
    <row r="2610">
      <c r="A2610" s="207" t="n"/>
      <c r="B2610" s="209" t="n"/>
      <c r="C2610" s="207" t="n"/>
      <c r="D2610" s="963" t="n"/>
      <c r="E2610" s="214" t="n"/>
      <c r="F2610" s="271" t="inlineStr">
        <is>
          <t>STEM15</t>
        </is>
      </c>
      <c r="G2610" s="263" t="inlineStr">
        <is>
          <t>ASTA MM. 15</t>
        </is>
      </c>
      <c r="H2610" s="264" t="n">
        <v>100</v>
      </c>
      <c r="I2610" s="265" t="n">
        <v>0.044</v>
      </c>
      <c r="J2610" s="214" t="n"/>
      <c r="K2610" s="208" t="n"/>
      <c r="L2610" s="424" t="n"/>
      <c r="M2610" s="961" t="n"/>
      <c r="N2610" s="214" t="n"/>
    </row>
    <row r="2611">
      <c r="A2611" s="207" t="n"/>
      <c r="B2611" s="209" t="n"/>
      <c r="C2611" s="207" t="n"/>
      <c r="D2611" s="963" t="n"/>
      <c r="E2611" s="214" t="n"/>
      <c r="F2611" s="263" t="inlineStr">
        <is>
          <t>STEM150</t>
        </is>
      </c>
      <c r="G2611" s="263" t="inlineStr">
        <is>
          <t>ASTA MM. 150</t>
        </is>
      </c>
      <c r="H2611" s="264" t="n">
        <v>100</v>
      </c>
      <c r="I2611" s="265" t="n">
        <v>0.105</v>
      </c>
      <c r="J2611" s="214" t="n"/>
      <c r="K2611" s="209" t="n"/>
      <c r="L2611" s="425" t="n"/>
      <c r="M2611" s="961" t="n"/>
      <c r="N2611" s="214" t="n"/>
    </row>
    <row r="2612">
      <c r="A2612" s="207" t="n"/>
      <c r="B2612" s="209" t="n"/>
      <c r="C2612" s="207" t="n"/>
      <c r="D2612" s="963" t="n"/>
      <c r="E2612" s="214" t="n"/>
      <c r="F2612" s="263" t="inlineStr">
        <is>
          <t>STEM200</t>
        </is>
      </c>
      <c r="G2612" s="263" t="inlineStr">
        <is>
          <t>ASTA MM. 200</t>
        </is>
      </c>
      <c r="H2612" s="264" t="n">
        <v>100</v>
      </c>
      <c r="I2612" s="265" t="n">
        <v>0.118</v>
      </c>
      <c r="J2612" s="214" t="n"/>
      <c r="K2612" s="208" t="n"/>
      <c r="L2612" s="424" t="n"/>
      <c r="M2612" s="961" t="n"/>
      <c r="N2612" s="214" t="n"/>
    </row>
    <row r="2613">
      <c r="A2613" s="207" t="n"/>
      <c r="B2613" s="209" t="n"/>
      <c r="C2613" s="207" t="n"/>
      <c r="D2613" s="963" t="n"/>
      <c r="E2613" s="214" t="n"/>
      <c r="F2613" s="271" t="inlineStr">
        <is>
          <t>STEM50</t>
        </is>
      </c>
      <c r="G2613" s="263" t="inlineStr">
        <is>
          <t>ASTA MM. 50</t>
        </is>
      </c>
      <c r="H2613" s="264" t="n">
        <v>100</v>
      </c>
      <c r="I2613" s="265" t="n">
        <v>0.052</v>
      </c>
      <c r="J2613" s="214" t="n"/>
      <c r="K2613" s="208" t="n"/>
      <c r="L2613" s="424" t="n"/>
      <c r="M2613" s="961" t="n"/>
      <c r="N2613" s="214" t="n"/>
    </row>
    <row r="2614">
      <c r="A2614" s="207" t="n"/>
      <c r="B2614" s="209" t="n"/>
      <c r="C2614" s="207" t="n"/>
      <c r="D2614" s="963" t="n"/>
      <c r="E2614" s="214" t="n"/>
      <c r="F2614" s="263" t="inlineStr">
        <is>
          <t>STEMT100</t>
        </is>
      </c>
      <c r="G2614" s="263" t="inlineStr">
        <is>
          <t>ASTA A T MM. 100</t>
        </is>
      </c>
      <c r="H2614" s="264" t="n">
        <v>100</v>
      </c>
      <c r="I2614" s="265" t="n">
        <v>0.096</v>
      </c>
      <c r="J2614" s="214" t="n"/>
      <c r="K2614" s="209" t="n"/>
      <c r="L2614" s="425" t="n"/>
      <c r="M2614" s="961" t="n"/>
      <c r="N2614" s="214" t="n"/>
    </row>
    <row r="2615">
      <c r="A2615" s="207" t="n"/>
      <c r="B2615" s="209" t="n"/>
      <c r="C2615" s="207" t="n"/>
      <c r="D2615" s="963" t="n"/>
      <c r="E2615" s="214" t="n"/>
      <c r="F2615" s="263" t="inlineStr">
        <is>
          <t>STEMT150</t>
        </is>
      </c>
      <c r="G2615" s="263" t="inlineStr">
        <is>
          <t>ASTA A T MM. 150</t>
        </is>
      </c>
      <c r="H2615" s="264" t="n">
        <v>100</v>
      </c>
      <c r="I2615" s="265" t="n">
        <v>0.11</v>
      </c>
      <c r="J2615" s="214" t="n"/>
      <c r="K2615" s="208" t="n"/>
      <c r="L2615" s="424" t="n"/>
      <c r="M2615" s="961" t="n"/>
      <c r="N2615" s="214" t="n"/>
    </row>
    <row r="2616">
      <c r="A2616" s="207" t="n"/>
      <c r="B2616" s="209" t="n"/>
      <c r="C2616" s="207" t="n"/>
      <c r="D2616" s="963" t="n"/>
      <c r="E2616" s="214" t="n"/>
      <c r="F2616" s="263" t="inlineStr">
        <is>
          <t>STEMT200</t>
        </is>
      </c>
      <c r="G2616" s="263" t="inlineStr">
        <is>
          <t>ASTA A T MM. 200</t>
        </is>
      </c>
      <c r="H2616" s="264" t="n">
        <v>100</v>
      </c>
      <c r="I2616" s="265" t="n">
        <v>0.124</v>
      </c>
      <c r="J2616" s="214" t="n"/>
      <c r="K2616" s="208" t="n"/>
      <c r="L2616" s="424" t="n"/>
      <c r="M2616" s="961" t="n"/>
      <c r="N2616" s="214" t="n"/>
    </row>
    <row r="2617">
      <c r="A2617" s="207" t="n"/>
      <c r="B2617" s="209" t="n"/>
      <c r="C2617" s="207" t="n"/>
      <c r="D2617" s="963" t="n"/>
      <c r="E2617" s="214" t="n"/>
      <c r="F2617" s="263" t="inlineStr">
        <is>
          <t>STEMT50</t>
        </is>
      </c>
      <c r="G2617" s="263" t="inlineStr">
        <is>
          <t>ASTA A T MM. 50</t>
        </is>
      </c>
      <c r="H2617" s="264" t="n">
        <v>100</v>
      </c>
      <c r="I2617" s="265" t="n">
        <v>0.081</v>
      </c>
      <c r="J2617" s="214" t="n"/>
      <c r="K2617" s="209" t="n"/>
      <c r="L2617" s="425" t="n"/>
      <c r="M2617" s="961" t="n"/>
      <c r="N2617" s="214" t="n"/>
    </row>
    <row r="2618">
      <c r="A2618" s="207" t="n"/>
      <c r="B2618" s="209" t="n"/>
      <c r="C2618" s="207" t="n"/>
      <c r="D2618" s="963" t="n"/>
      <c r="E2618" s="214" t="n"/>
      <c r="F2618" s="207" t="n"/>
      <c r="G2618" s="207" t="n"/>
      <c r="H2618" s="208" t="n"/>
      <c r="I2618" s="208" t="n"/>
      <c r="J2618" s="214" t="n"/>
      <c r="K2618" s="208" t="n"/>
      <c r="L2618" s="424" t="n"/>
      <c r="M2618" s="961" t="n"/>
      <c r="N2618" s="214" t="n"/>
    </row>
    <row r="2619">
      <c r="A2619" s="207" t="n"/>
      <c r="B2619" s="209" t="n"/>
      <c r="C2619" s="207" t="n"/>
      <c r="D2619" s="963" t="n"/>
      <c r="E2619" s="214" t="n"/>
      <c r="F2619" s="207" t="n"/>
      <c r="G2619" s="207" t="n"/>
      <c r="H2619" s="209" t="n"/>
      <c r="I2619" s="209" t="n"/>
      <c r="J2619" s="214" t="n"/>
      <c r="K2619" s="209" t="n"/>
      <c r="L2619" s="425" t="n"/>
      <c r="M2619" s="961" t="n"/>
      <c r="N2619" s="214" t="n"/>
    </row>
    <row r="2620">
      <c r="A2620" s="207" t="n"/>
      <c r="B2620" s="209" t="n"/>
      <c r="C2620" s="207" t="n"/>
      <c r="D2620" s="963" t="n"/>
      <c r="E2620" s="214" t="n"/>
      <c r="F2620" s="207" t="n"/>
      <c r="G2620" s="207" t="n"/>
      <c r="H2620" s="209" t="n"/>
      <c r="I2620" s="209" t="n"/>
      <c r="J2620" s="214" t="n"/>
      <c r="K2620" s="209" t="n"/>
      <c r="L2620" s="425" t="n"/>
      <c r="M2620" s="961" t="n"/>
      <c r="N2620" s="214" t="n"/>
    </row>
    <row r="2621">
      <c r="A2621" s="207" t="n"/>
      <c r="B2621" s="209" t="n"/>
      <c r="C2621" s="207" t="n"/>
      <c r="D2621" s="963" t="n"/>
      <c r="E2621" s="214" t="n"/>
      <c r="F2621" s="207" t="n"/>
      <c r="G2621" s="207" t="n"/>
      <c r="H2621" s="209" t="n"/>
      <c r="I2621" s="209" t="n"/>
      <c r="J2621" s="214" t="n"/>
      <c r="K2621" s="209" t="n"/>
      <c r="L2621" s="425" t="n"/>
      <c r="M2621" s="961" t="n"/>
      <c r="N2621" s="214" t="n"/>
    </row>
    <row r="2622">
      <c r="A2622" s="207" t="n"/>
      <c r="B2622" s="209" t="n"/>
      <c r="C2622" s="207" t="n"/>
      <c r="D2622" s="963" t="n"/>
      <c r="E2622" s="214" t="n"/>
      <c r="F2622" s="207" t="n"/>
      <c r="G2622" s="207" t="n"/>
      <c r="H2622" s="209" t="n"/>
      <c r="I2622" s="209" t="n"/>
      <c r="J2622" s="214" t="n"/>
      <c r="K2622" s="209" t="n"/>
      <c r="L2622" s="425" t="n"/>
      <c r="M2622" s="961" t="n"/>
      <c r="N2622" s="214" t="n"/>
    </row>
    <row r="2623">
      <c r="A2623" s="207" t="n"/>
      <c r="B2623" s="209" t="n"/>
      <c r="C2623" s="207" t="n"/>
      <c r="D2623" s="963" t="n"/>
      <c r="E2623" s="214" t="n"/>
      <c r="F2623" s="207" t="n"/>
      <c r="G2623" s="207" t="n"/>
      <c r="H2623" s="208" t="n"/>
      <c r="I2623" s="208" t="n"/>
      <c r="J2623" s="214" t="n"/>
      <c r="K2623" s="208" t="n"/>
      <c r="L2623" s="424" t="n"/>
      <c r="M2623" s="961" t="n"/>
      <c r="N2623" s="214" t="n"/>
    </row>
    <row r="2624">
      <c r="A2624" s="207" t="n"/>
      <c r="B2624" s="209" t="n"/>
      <c r="C2624" s="207" t="n"/>
      <c r="D2624" s="963" t="n"/>
      <c r="E2624" s="214" t="n"/>
      <c r="F2624" s="207" t="n"/>
      <c r="G2624" s="207" t="n"/>
      <c r="H2624" s="209" t="n"/>
      <c r="I2624" s="209" t="n"/>
      <c r="J2624" s="214" t="n"/>
      <c r="K2624" s="209" t="n"/>
      <c r="L2624" s="425" t="n"/>
      <c r="M2624" s="961" t="n"/>
      <c r="N2624" s="214" t="n"/>
    </row>
    <row r="2625">
      <c r="A2625" s="207" t="n"/>
      <c r="B2625" s="209" t="n"/>
      <c r="C2625" s="207" t="n"/>
      <c r="D2625" s="963" t="n"/>
      <c r="E2625" s="214" t="n"/>
      <c r="F2625" s="207" t="n"/>
      <c r="G2625" s="207" t="n"/>
      <c r="H2625" s="208" t="n"/>
      <c r="I2625" s="208" t="n"/>
      <c r="J2625" s="214" t="n"/>
      <c r="K2625" s="208" t="n"/>
      <c r="L2625" s="424" t="n"/>
      <c r="M2625" s="961" t="n"/>
      <c r="N2625" s="214" t="n"/>
    </row>
    <row r="2626">
      <c r="A2626" s="207" t="n"/>
      <c r="B2626" s="209" t="n"/>
      <c r="C2626" s="207" t="n"/>
      <c r="D2626" s="963" t="n"/>
      <c r="E2626" s="214" t="n"/>
      <c r="F2626" s="207" t="n"/>
      <c r="G2626" s="207" t="n"/>
      <c r="H2626" s="208" t="n"/>
      <c r="I2626" s="208" t="n"/>
      <c r="J2626" s="214" t="n"/>
      <c r="K2626" s="208" t="n"/>
      <c r="L2626" s="424" t="n"/>
      <c r="M2626" s="961" t="n"/>
      <c r="N2626" s="214" t="n"/>
    </row>
    <row r="2627">
      <c r="A2627" s="207" t="n"/>
      <c r="B2627" s="209" t="n"/>
      <c r="C2627" s="207" t="n"/>
      <c r="D2627" s="963" t="n"/>
      <c r="E2627" s="214" t="n"/>
      <c r="F2627" s="207" t="n"/>
      <c r="G2627" s="207" t="n"/>
      <c r="H2627" s="209" t="n"/>
      <c r="I2627" s="209" t="n"/>
      <c r="J2627" s="214" t="n"/>
      <c r="K2627" s="209" t="n"/>
      <c r="L2627" s="425" t="n"/>
      <c r="M2627" s="961" t="n"/>
      <c r="N2627" s="214" t="n"/>
    </row>
    <row r="2628">
      <c r="A2628" s="207" t="n"/>
      <c r="B2628" s="209" t="n"/>
      <c r="C2628" s="207" t="n"/>
      <c r="D2628" s="963" t="n"/>
      <c r="E2628" s="214" t="n"/>
      <c r="F2628" s="207" t="n"/>
      <c r="G2628" s="207" t="n"/>
      <c r="H2628" s="208" t="n"/>
      <c r="I2628" s="208" t="n"/>
      <c r="J2628" s="214" t="n"/>
      <c r="K2628" s="208" t="n"/>
      <c r="L2628" s="424" t="n"/>
      <c r="M2628" s="961" t="n"/>
      <c r="N2628" s="214" t="n"/>
    </row>
    <row r="2629">
      <c r="A2629" s="207" t="n"/>
      <c r="B2629" s="209" t="n"/>
      <c r="C2629" s="207" t="n"/>
      <c r="D2629" s="963" t="n"/>
      <c r="E2629" s="214" t="n"/>
      <c r="F2629" s="207" t="n"/>
      <c r="G2629" s="207" t="n"/>
      <c r="H2629" s="208" t="n"/>
      <c r="I2629" s="208" t="n"/>
      <c r="J2629" s="214" t="n"/>
      <c r="K2629" s="208" t="n"/>
      <c r="L2629" s="424" t="n"/>
      <c r="M2629" s="961" t="n"/>
      <c r="N2629" s="214" t="n"/>
    </row>
    <row r="2630">
      <c r="A2630" s="207" t="n"/>
      <c r="B2630" s="209" t="n"/>
      <c r="C2630" s="207" t="n"/>
      <c r="D2630" s="963" t="n"/>
      <c r="E2630" s="214" t="n"/>
      <c r="F2630" s="207" t="n"/>
      <c r="G2630" s="207" t="n"/>
      <c r="H2630" s="209" t="n"/>
      <c r="I2630" s="209" t="n"/>
      <c r="J2630" s="214" t="n"/>
      <c r="K2630" s="209" t="n"/>
      <c r="L2630" s="425" t="n"/>
      <c r="M2630" s="961" t="n"/>
      <c r="N2630" s="214" t="n"/>
    </row>
    <row r="2631">
      <c r="A2631" s="207" t="n"/>
      <c r="B2631" s="209" t="n"/>
      <c r="C2631" s="207" t="n"/>
      <c r="D2631" s="963" t="n"/>
      <c r="E2631" s="214" t="n"/>
      <c r="F2631" s="207" t="n"/>
      <c r="G2631" s="207" t="n"/>
      <c r="H2631" s="209" t="n"/>
      <c r="I2631" s="209" t="n"/>
      <c r="J2631" s="214" t="n"/>
      <c r="K2631" s="209" t="n"/>
      <c r="L2631" s="425" t="n"/>
      <c r="M2631" s="961" t="n"/>
      <c r="N2631" s="214" t="n"/>
    </row>
    <row r="2632">
      <c r="A2632" s="207" t="n"/>
      <c r="B2632" s="209" t="n"/>
      <c r="C2632" s="207" t="n"/>
      <c r="D2632" s="963" t="n"/>
      <c r="E2632" s="214" t="n"/>
      <c r="F2632" s="207" t="n"/>
      <c r="G2632" s="207" t="n"/>
      <c r="H2632" s="209" t="n"/>
      <c r="I2632" s="209" t="n"/>
      <c r="J2632" s="214" t="n"/>
      <c r="K2632" s="209" t="n"/>
      <c r="L2632" s="425" t="n"/>
      <c r="M2632" s="961" t="n"/>
      <c r="N2632" s="214" t="n"/>
    </row>
    <row r="2633">
      <c r="A2633" s="207" t="n"/>
      <c r="B2633" s="209" t="n"/>
      <c r="C2633" s="207" t="n"/>
      <c r="D2633" s="963" t="n"/>
      <c r="E2633" s="214" t="n"/>
      <c r="F2633" s="207" t="n"/>
      <c r="G2633" s="207" t="n"/>
      <c r="H2633" s="208" t="n"/>
      <c r="I2633" s="208" t="n"/>
      <c r="J2633" s="214" t="n"/>
      <c r="K2633" s="208" t="n"/>
      <c r="L2633" s="424" t="n"/>
      <c r="M2633" s="961" t="n"/>
      <c r="N2633" s="214" t="n"/>
    </row>
    <row r="2634">
      <c r="A2634" s="207" t="n"/>
      <c r="B2634" s="209" t="n"/>
      <c r="C2634" s="207" t="n"/>
      <c r="D2634" s="963" t="n"/>
      <c r="E2634" s="214" t="n"/>
      <c r="F2634" s="207" t="n"/>
      <c r="G2634" s="207" t="n"/>
      <c r="H2634" s="208" t="n"/>
      <c r="I2634" s="208" t="n"/>
      <c r="J2634" s="214" t="n"/>
      <c r="K2634" s="208" t="n"/>
      <c r="L2634" s="424" t="n"/>
      <c r="M2634" s="961" t="n"/>
      <c r="N2634" s="214" t="n"/>
    </row>
    <row r="2635">
      <c r="A2635" s="207" t="n"/>
      <c r="B2635" s="209" t="n"/>
      <c r="C2635" s="207" t="n"/>
      <c r="D2635" s="963" t="n"/>
      <c r="E2635" s="214" t="n"/>
      <c r="F2635" s="207" t="n"/>
      <c r="G2635" s="207" t="n"/>
      <c r="H2635" s="209" t="n"/>
      <c r="I2635" s="209" t="n"/>
      <c r="J2635" s="214" t="n"/>
      <c r="K2635" s="209" t="n"/>
      <c r="L2635" s="425" t="n"/>
      <c r="M2635" s="961" t="n"/>
      <c r="N2635" s="214" t="n"/>
    </row>
    <row r="2636">
      <c r="A2636" s="207" t="n"/>
      <c r="B2636" s="209" t="n"/>
      <c r="C2636" s="207" t="n"/>
      <c r="D2636" s="963" t="n"/>
      <c r="E2636" s="214" t="n"/>
      <c r="F2636" s="207" t="n"/>
      <c r="G2636" s="207" t="n"/>
      <c r="H2636" s="209" t="n"/>
      <c r="I2636" s="209" t="n"/>
      <c r="J2636" s="214" t="n"/>
      <c r="K2636" s="209" t="n"/>
      <c r="L2636" s="425" t="n"/>
      <c r="M2636" s="961" t="n"/>
      <c r="N2636" s="214" t="n"/>
    </row>
    <row r="2637">
      <c r="A2637" s="207" t="n"/>
      <c r="B2637" s="209" t="n"/>
      <c r="C2637" s="207" t="n"/>
      <c r="D2637" s="963" t="n"/>
      <c r="E2637" s="214" t="n"/>
      <c r="F2637" s="207" t="n"/>
      <c r="G2637" s="207" t="n"/>
      <c r="H2637" s="209" t="n"/>
      <c r="I2637" s="209" t="n"/>
      <c r="J2637" s="214" t="n"/>
      <c r="K2637" s="209" t="n"/>
      <c r="L2637" s="425" t="n"/>
      <c r="M2637" s="961" t="n"/>
      <c r="N2637" s="214" t="n"/>
    </row>
    <row r="2638">
      <c r="A2638" s="207" t="n"/>
      <c r="B2638" s="209" t="n"/>
      <c r="C2638" s="207" t="n"/>
      <c r="D2638" s="963" t="n"/>
      <c r="E2638" s="214" t="n"/>
      <c r="F2638" s="207" t="n"/>
      <c r="G2638" s="207" t="n"/>
      <c r="H2638" s="208" t="n"/>
      <c r="I2638" s="208" t="n"/>
      <c r="J2638" s="214" t="n"/>
      <c r="K2638" s="208" t="n"/>
      <c r="L2638" s="424" t="n"/>
      <c r="M2638" s="961" t="n"/>
      <c r="N2638" s="214" t="n"/>
    </row>
    <row r="2639">
      <c r="A2639" s="207" t="n"/>
      <c r="B2639" s="209" t="n"/>
      <c r="C2639" s="207" t="n"/>
      <c r="D2639" s="963" t="n"/>
      <c r="E2639" s="214" t="n"/>
      <c r="F2639" s="207" t="n"/>
      <c r="G2639" s="207" t="n"/>
      <c r="H2639" s="208" t="n"/>
      <c r="I2639" s="208" t="n"/>
      <c r="J2639" s="214" t="n"/>
      <c r="K2639" s="208" t="n"/>
      <c r="L2639" s="424" t="n"/>
      <c r="M2639" s="961" t="n"/>
      <c r="N2639" s="214" t="n"/>
    </row>
    <row r="2640">
      <c r="A2640" s="207" t="n"/>
      <c r="B2640" s="209" t="n"/>
      <c r="C2640" s="207" t="n"/>
      <c r="D2640" s="963" t="n"/>
      <c r="E2640" s="214" t="n"/>
      <c r="F2640" s="207" t="n"/>
      <c r="G2640" s="207" t="n"/>
      <c r="H2640" s="208" t="n"/>
      <c r="I2640" s="208" t="n"/>
      <c r="J2640" s="214" t="n"/>
      <c r="K2640" s="208" t="n"/>
      <c r="L2640" s="424" t="n"/>
      <c r="M2640" s="961" t="n"/>
      <c r="N2640" s="214" t="n"/>
    </row>
    <row r="2641">
      <c r="A2641" s="207" t="n"/>
      <c r="B2641" s="209" t="n"/>
      <c r="C2641" s="207" t="n"/>
      <c r="D2641" s="963" t="n"/>
      <c r="E2641" s="214" t="n"/>
      <c r="F2641" s="207" t="n"/>
      <c r="G2641" s="207" t="n"/>
      <c r="H2641" s="208" t="n"/>
      <c r="I2641" s="208" t="n"/>
      <c r="J2641" s="214" t="n"/>
      <c r="K2641" s="208" t="n"/>
      <c r="L2641" s="424" t="n"/>
      <c r="M2641" s="961" t="n"/>
      <c r="N2641" s="214" t="n"/>
    </row>
    <row r="2642">
      <c r="A2642" s="207" t="n"/>
      <c r="B2642" s="209" t="n"/>
      <c r="C2642" s="207" t="n"/>
      <c r="D2642" s="963" t="n"/>
      <c r="E2642" s="214" t="n"/>
      <c r="F2642" s="207" t="n"/>
      <c r="G2642" s="207" t="n"/>
      <c r="H2642" s="208" t="n"/>
      <c r="I2642" s="208" t="n"/>
      <c r="J2642" s="214" t="n"/>
      <c r="K2642" s="208" t="n"/>
      <c r="L2642" s="424" t="n"/>
      <c r="M2642" s="961" t="n"/>
      <c r="N2642" s="214" t="n"/>
    </row>
    <row r="2643">
      <c r="A2643" s="207" t="n"/>
      <c r="B2643" s="209" t="n"/>
      <c r="C2643" s="207" t="n"/>
      <c r="D2643" s="963" t="n"/>
      <c r="E2643" s="214" t="n"/>
      <c r="F2643" s="207" t="n"/>
      <c r="G2643" s="207" t="n"/>
      <c r="H2643" s="209" t="n"/>
      <c r="I2643" s="209" t="n"/>
      <c r="J2643" s="214" t="n"/>
      <c r="K2643" s="209" t="n"/>
      <c r="L2643" s="425" t="n"/>
      <c r="M2643" s="961" t="n"/>
      <c r="N2643" s="214" t="n"/>
    </row>
    <row r="2644">
      <c r="A2644" s="207" t="n"/>
      <c r="B2644" s="209" t="n"/>
      <c r="C2644" s="207" t="n"/>
      <c r="D2644" s="963" t="n"/>
      <c r="E2644" s="214" t="n"/>
      <c r="F2644" s="207" t="n"/>
      <c r="G2644" s="207" t="n"/>
      <c r="H2644" s="208" t="n"/>
      <c r="I2644" s="208" t="n"/>
      <c r="J2644" s="214" t="n"/>
      <c r="K2644" s="208" t="n"/>
      <c r="L2644" s="424" t="n"/>
      <c r="M2644" s="961" t="n"/>
      <c r="N2644" s="214" t="n"/>
    </row>
    <row r="2645">
      <c r="A2645" s="207" t="n"/>
      <c r="B2645" s="209" t="n"/>
      <c r="C2645" s="207" t="n"/>
      <c r="D2645" s="963" t="n"/>
      <c r="E2645" s="214" t="n"/>
      <c r="F2645" s="207" t="n"/>
      <c r="G2645" s="207" t="n"/>
      <c r="H2645" s="208" t="n"/>
      <c r="I2645" s="208" t="n"/>
      <c r="J2645" s="214" t="n"/>
      <c r="K2645" s="208" t="n"/>
      <c r="L2645" s="424" t="n"/>
      <c r="M2645" s="961" t="n"/>
      <c r="N2645" s="214" t="n"/>
    </row>
    <row r="2646">
      <c r="A2646" s="207" t="n"/>
      <c r="B2646" s="209" t="n"/>
      <c r="C2646" s="207" t="n"/>
      <c r="D2646" s="963" t="n"/>
      <c r="E2646" s="214" t="n"/>
      <c r="F2646" s="207" t="n"/>
      <c r="G2646" s="207" t="n"/>
      <c r="H2646" s="209" t="n"/>
      <c r="I2646" s="209" t="n"/>
      <c r="J2646" s="214" t="n"/>
      <c r="K2646" s="209" t="n"/>
      <c r="L2646" s="425" t="n"/>
      <c r="M2646" s="961" t="n"/>
      <c r="N2646" s="214" t="n"/>
    </row>
    <row r="2647">
      <c r="A2647" s="207" t="n"/>
      <c r="B2647" s="209" t="n"/>
      <c r="C2647" s="207" t="n"/>
      <c r="D2647" s="963" t="n"/>
      <c r="E2647" s="214" t="n"/>
      <c r="F2647" s="207" t="n"/>
      <c r="G2647" s="207" t="n"/>
      <c r="H2647" s="208" t="n"/>
      <c r="I2647" s="208" t="n"/>
      <c r="J2647" s="214" t="n"/>
      <c r="K2647" s="208" t="n"/>
      <c r="L2647" s="424" t="n"/>
      <c r="M2647" s="961" t="n"/>
      <c r="N2647" s="214" t="n"/>
    </row>
    <row r="2648">
      <c r="A2648" s="209" t="n"/>
      <c r="B2648" s="209" t="n"/>
      <c r="C2648" s="209" t="n"/>
      <c r="D2648" s="960" t="n"/>
      <c r="E2648" s="215" t="n"/>
      <c r="F2648" s="209" t="n"/>
      <c r="G2648" s="209" t="n"/>
      <c r="H2648" s="209" t="n"/>
      <c r="I2648" s="209" t="n"/>
      <c r="J2648" s="215" t="n"/>
      <c r="K2648" s="209" t="n"/>
      <c r="L2648" s="425" t="n"/>
      <c r="M2648" s="962" t="n"/>
      <c r="N2648" s="215" t="n"/>
    </row>
    <row r="2649">
      <c r="A2649" s="207" t="n"/>
      <c r="B2649" s="209" t="n"/>
      <c r="C2649" s="207" t="n"/>
      <c r="D2649" s="963" t="n"/>
      <c r="E2649" s="214" t="n"/>
      <c r="F2649" s="207" t="n"/>
      <c r="G2649" s="207" t="n"/>
      <c r="H2649" s="209" t="n"/>
      <c r="I2649" s="209" t="n"/>
      <c r="J2649" s="214" t="n"/>
      <c r="K2649" s="209" t="n"/>
      <c r="L2649" s="425" t="n"/>
      <c r="M2649" s="961" t="n"/>
      <c r="N2649" s="214" t="n"/>
    </row>
    <row r="2650">
      <c r="A2650" s="207" t="n"/>
      <c r="B2650" s="209" t="n"/>
      <c r="C2650" s="207" t="n"/>
      <c r="D2650" s="963" t="n"/>
      <c r="E2650" s="214" t="n"/>
      <c r="F2650" s="207" t="n"/>
      <c r="G2650" s="207" t="n"/>
      <c r="H2650" s="209" t="n"/>
      <c r="I2650" s="209" t="n"/>
      <c r="J2650" s="214" t="n"/>
      <c r="K2650" s="209" t="n"/>
      <c r="L2650" s="425" t="n"/>
      <c r="M2650" s="961" t="n"/>
      <c r="N2650" s="214" t="n"/>
    </row>
    <row r="2651">
      <c r="A2651" s="207" t="n"/>
      <c r="B2651" s="209" t="n"/>
      <c r="C2651" s="207" t="n"/>
      <c r="D2651" s="963" t="n"/>
      <c r="E2651" s="214" t="n"/>
      <c r="F2651" s="207" t="n"/>
      <c r="G2651" s="207" t="n"/>
      <c r="H2651" s="209" t="n"/>
      <c r="I2651" s="209" t="n"/>
      <c r="J2651" s="214" t="n"/>
      <c r="K2651" s="209" t="n"/>
      <c r="L2651" s="425" t="n"/>
      <c r="M2651" s="961" t="n"/>
      <c r="N2651" s="214" t="n"/>
    </row>
    <row r="2652">
      <c r="A2652" s="207" t="n"/>
      <c r="B2652" s="209" t="n"/>
      <c r="C2652" s="207" t="n"/>
      <c r="D2652" s="963" t="n"/>
      <c r="E2652" s="214" t="n"/>
      <c r="F2652" s="207" t="n"/>
      <c r="G2652" s="207" t="n"/>
      <c r="H2652" s="209" t="n"/>
      <c r="I2652" s="209" t="n"/>
      <c r="J2652" s="214" t="n"/>
      <c r="K2652" s="209" t="n"/>
      <c r="L2652" s="425" t="n"/>
      <c r="M2652" s="961" t="n"/>
      <c r="N2652" s="214" t="n"/>
    </row>
    <row r="2653">
      <c r="A2653" s="207" t="n"/>
      <c r="B2653" s="209" t="n"/>
      <c r="C2653" s="207" t="n"/>
      <c r="D2653" s="963" t="n"/>
      <c r="E2653" s="214" t="n"/>
      <c r="F2653" s="207" t="n"/>
      <c r="G2653" s="207" t="n"/>
      <c r="H2653" s="208" t="n"/>
      <c r="I2653" s="208" t="n"/>
      <c r="J2653" s="214" t="n"/>
      <c r="K2653" s="208" t="n"/>
      <c r="L2653" s="424" t="n"/>
      <c r="M2653" s="961" t="n"/>
      <c r="N2653" s="214" t="n"/>
    </row>
    <row r="2654">
      <c r="A2654" s="207" t="n"/>
      <c r="B2654" s="209" t="n"/>
      <c r="C2654" s="207" t="n"/>
      <c r="D2654" s="963" t="n"/>
      <c r="E2654" s="214" t="n"/>
      <c r="F2654" s="207" t="n"/>
      <c r="G2654" s="207" t="n"/>
      <c r="H2654" s="209" t="n"/>
      <c r="I2654" s="209" t="n"/>
      <c r="J2654" s="214" t="n"/>
      <c r="K2654" s="209" t="n"/>
      <c r="L2654" s="425" t="n"/>
      <c r="M2654" s="961" t="n"/>
      <c r="N2654" s="214" t="n"/>
    </row>
    <row r="2655">
      <c r="A2655" s="209" t="n"/>
      <c r="B2655" s="209" t="n"/>
      <c r="C2655" s="209" t="n"/>
      <c r="D2655" s="960" t="n"/>
      <c r="E2655" s="215" t="n"/>
      <c r="F2655" s="209" t="n"/>
      <c r="G2655" s="209" t="n"/>
      <c r="H2655" s="209" t="n"/>
      <c r="I2655" s="209" t="n"/>
      <c r="J2655" s="215" t="n"/>
      <c r="K2655" s="209" t="n"/>
      <c r="L2655" s="425" t="n"/>
      <c r="M2655" s="962" t="n"/>
      <c r="N2655" s="215" t="n"/>
    </row>
    <row r="2656">
      <c r="A2656" s="207" t="n"/>
      <c r="B2656" s="209" t="n"/>
      <c r="C2656" s="207" t="n"/>
      <c r="D2656" s="963" t="n"/>
      <c r="E2656" s="214" t="n"/>
      <c r="F2656" s="207" t="n"/>
      <c r="G2656" s="207" t="n"/>
      <c r="H2656" s="209" t="n"/>
      <c r="I2656" s="209" t="n"/>
      <c r="J2656" s="214" t="n"/>
      <c r="K2656" s="209" t="n"/>
      <c r="L2656" s="425" t="n"/>
      <c r="M2656" s="961" t="n"/>
      <c r="N2656" s="214" t="n"/>
    </row>
    <row r="2657">
      <c r="A2657" s="207" t="n"/>
      <c r="B2657" s="209" t="n"/>
      <c r="C2657" s="207" t="n"/>
      <c r="D2657" s="963" t="n"/>
      <c r="E2657" s="214" t="n"/>
      <c r="F2657" s="207" t="n"/>
      <c r="G2657" s="207" t="n"/>
      <c r="H2657" s="209" t="n"/>
      <c r="I2657" s="209" t="n"/>
      <c r="J2657" s="214" t="n"/>
      <c r="K2657" s="209" t="n"/>
      <c r="L2657" s="425" t="n"/>
      <c r="M2657" s="961" t="n"/>
      <c r="N2657" s="214" t="n"/>
    </row>
    <row r="2658">
      <c r="A2658" s="207" t="n"/>
      <c r="B2658" s="209" t="n"/>
      <c r="C2658" s="207" t="n"/>
      <c r="D2658" s="963" t="n"/>
      <c r="E2658" s="214" t="n"/>
      <c r="F2658" s="207" t="n"/>
      <c r="G2658" s="207" t="n"/>
      <c r="H2658" s="208" t="n"/>
      <c r="I2658" s="208" t="n"/>
      <c r="J2658" s="214" t="n"/>
      <c r="K2658" s="208" t="n"/>
      <c r="L2658" s="424" t="n"/>
      <c r="M2658" s="961" t="n"/>
      <c r="N2658" s="214" t="n"/>
    </row>
    <row r="2659">
      <c r="A2659" s="207" t="n"/>
      <c r="B2659" s="209" t="n"/>
      <c r="C2659" s="207" t="n"/>
      <c r="D2659" s="963" t="n"/>
      <c r="E2659" s="214" t="n"/>
      <c r="F2659" s="207" t="n"/>
      <c r="G2659" s="207" t="n"/>
      <c r="H2659" s="209" t="n"/>
      <c r="I2659" s="209" t="n"/>
      <c r="J2659" s="214" t="n"/>
      <c r="K2659" s="209" t="n"/>
      <c r="L2659" s="425" t="n"/>
      <c r="M2659" s="961" t="n"/>
      <c r="N2659" s="214" t="n"/>
    </row>
    <row r="2660">
      <c r="A2660" s="207" t="n"/>
      <c r="B2660" s="209" t="n"/>
      <c r="C2660" s="207" t="n"/>
      <c r="D2660" s="963" t="n"/>
      <c r="E2660" s="214" t="n"/>
      <c r="F2660" s="207" t="n"/>
      <c r="G2660" s="207" t="n"/>
      <c r="H2660" s="209" t="n"/>
      <c r="I2660" s="209" t="n"/>
      <c r="J2660" s="214" t="n"/>
      <c r="K2660" s="209" t="n"/>
      <c r="L2660" s="425" t="n"/>
      <c r="M2660" s="961" t="n"/>
      <c r="N2660" s="214" t="n"/>
    </row>
    <row r="2661">
      <c r="A2661" s="207" t="n"/>
      <c r="B2661" s="209" t="n"/>
      <c r="C2661" s="207" t="n"/>
      <c r="D2661" s="963" t="n"/>
      <c r="E2661" s="214" t="n"/>
      <c r="F2661" s="207" t="n"/>
      <c r="G2661" s="207" t="n"/>
      <c r="H2661" s="209" t="n"/>
      <c r="I2661" s="209" t="n"/>
      <c r="J2661" s="214" t="n"/>
      <c r="K2661" s="209" t="n"/>
      <c r="L2661" s="425" t="n"/>
      <c r="M2661" s="961" t="n"/>
      <c r="N2661" s="214" t="n"/>
    </row>
    <row r="2662">
      <c r="A2662" s="207" t="n"/>
      <c r="B2662" s="209" t="n"/>
      <c r="C2662" s="207" t="n"/>
      <c r="D2662" s="963" t="n"/>
      <c r="E2662" s="214" t="n"/>
      <c r="F2662" s="207" t="n"/>
      <c r="G2662" s="207" t="n"/>
      <c r="H2662" s="208" t="n"/>
      <c r="I2662" s="208" t="n"/>
      <c r="J2662" s="214" t="n"/>
      <c r="K2662" s="208" t="n"/>
      <c r="L2662" s="424" t="n"/>
      <c r="M2662" s="961" t="n"/>
      <c r="N2662" s="214" t="n"/>
    </row>
    <row r="2663">
      <c r="A2663" s="207" t="n"/>
      <c r="B2663" s="209" t="n"/>
      <c r="C2663" s="207" t="n"/>
      <c r="D2663" s="963" t="n"/>
      <c r="E2663" s="214" t="n"/>
      <c r="F2663" s="207" t="n"/>
      <c r="G2663" s="207" t="n"/>
      <c r="H2663" s="209" t="n"/>
      <c r="I2663" s="209" t="n"/>
      <c r="J2663" s="214" t="n"/>
      <c r="K2663" s="209" t="n"/>
      <c r="L2663" s="425" t="n"/>
      <c r="M2663" s="961" t="n"/>
      <c r="N2663" s="214" t="n"/>
    </row>
    <row r="2664">
      <c r="A2664" s="207" t="n"/>
      <c r="B2664" s="209" t="n"/>
      <c r="C2664" s="207" t="n"/>
      <c r="D2664" s="963" t="n"/>
      <c r="E2664" s="214" t="n"/>
      <c r="F2664" s="207" t="n"/>
      <c r="G2664" s="207" t="n"/>
      <c r="H2664" s="208" t="n"/>
      <c r="I2664" s="208" t="n"/>
      <c r="J2664" s="214" t="n"/>
      <c r="K2664" s="208" t="n"/>
      <c r="L2664" s="424" t="n"/>
      <c r="M2664" s="961" t="n"/>
      <c r="N2664" s="214" t="n"/>
    </row>
    <row r="2665">
      <c r="A2665" s="207" t="n"/>
      <c r="B2665" s="209" t="n"/>
      <c r="C2665" s="207" t="n"/>
      <c r="D2665" s="963" t="n"/>
      <c r="E2665" s="214" t="n"/>
      <c r="F2665" s="207" t="n"/>
      <c r="G2665" s="207" t="n"/>
      <c r="H2665" s="209" t="n"/>
      <c r="I2665" s="209" t="n"/>
      <c r="J2665" s="214" t="n"/>
      <c r="K2665" s="209" t="n"/>
      <c r="L2665" s="425" t="n"/>
      <c r="M2665" s="961" t="n"/>
      <c r="N2665" s="214" t="n"/>
    </row>
    <row r="2666">
      <c r="A2666" s="207" t="n"/>
      <c r="B2666" s="209" t="n"/>
      <c r="C2666" s="207" t="n"/>
      <c r="D2666" s="963" t="n"/>
      <c r="E2666" s="214" t="n"/>
      <c r="F2666" s="207" t="n"/>
      <c r="G2666" s="207" t="n"/>
      <c r="H2666" s="208" t="n"/>
      <c r="I2666" s="208" t="n"/>
      <c r="J2666" s="214" t="n"/>
      <c r="K2666" s="208" t="n"/>
      <c r="L2666" s="424" t="n"/>
      <c r="M2666" s="961" t="n"/>
      <c r="N2666" s="214" t="n"/>
    </row>
    <row r="2667">
      <c r="A2667" s="209" t="n"/>
      <c r="B2667" s="209" t="n"/>
      <c r="C2667" s="209" t="n"/>
      <c r="D2667" s="960" t="n"/>
      <c r="E2667" s="215" t="n"/>
      <c r="F2667" s="209" t="n"/>
      <c r="G2667" s="209" t="n"/>
      <c r="H2667" s="209" t="n"/>
      <c r="I2667" s="209" t="n"/>
      <c r="J2667" s="215" t="n"/>
      <c r="K2667" s="209" t="n"/>
      <c r="L2667" s="425" t="n"/>
      <c r="M2667" s="962" t="n"/>
      <c r="N2667" s="215" t="n"/>
    </row>
    <row r="2668">
      <c r="A2668" s="207" t="n"/>
      <c r="B2668" s="209" t="n"/>
      <c r="C2668" s="207" t="n"/>
      <c r="D2668" s="963" t="n"/>
      <c r="E2668" s="214" t="n"/>
      <c r="F2668" s="207" t="n"/>
      <c r="G2668" s="207" t="n"/>
      <c r="H2668" s="208" t="n"/>
      <c r="I2668" s="208" t="n"/>
      <c r="J2668" s="214" t="n"/>
      <c r="K2668" s="208" t="n"/>
      <c r="L2668" s="424" t="n"/>
      <c r="M2668" s="961" t="n"/>
      <c r="N2668" s="214" t="n"/>
    </row>
    <row r="2669">
      <c r="A2669" s="207" t="n"/>
      <c r="B2669" s="209" t="n"/>
      <c r="C2669" s="207" t="n"/>
      <c r="D2669" s="963" t="n"/>
      <c r="E2669" s="214" t="n"/>
      <c r="F2669" s="207" t="n"/>
      <c r="G2669" s="207" t="n"/>
      <c r="H2669" s="208" t="n"/>
      <c r="I2669" s="208" t="n"/>
      <c r="J2669" s="214" t="n"/>
      <c r="K2669" s="208" t="n"/>
      <c r="L2669" s="424" t="n"/>
      <c r="M2669" s="961" t="n"/>
      <c r="N2669" s="214" t="n"/>
    </row>
    <row r="2670">
      <c r="A2670" s="207" t="n"/>
      <c r="B2670" s="209" t="n"/>
      <c r="C2670" s="207" t="n"/>
      <c r="D2670" s="963" t="n"/>
      <c r="E2670" s="214" t="n"/>
      <c r="F2670" s="207" t="n"/>
      <c r="G2670" s="207" t="n"/>
      <c r="H2670" s="209" t="n"/>
      <c r="I2670" s="209" t="n"/>
      <c r="J2670" s="214" t="n"/>
      <c r="K2670" s="209" t="n"/>
      <c r="L2670" s="425" t="n"/>
      <c r="M2670" s="961" t="n"/>
      <c r="N2670" s="214" t="n"/>
    </row>
    <row r="2671">
      <c r="A2671" s="207" t="n"/>
      <c r="B2671" s="209" t="n"/>
      <c r="C2671" s="207" t="n"/>
      <c r="D2671" s="963" t="n"/>
      <c r="E2671" s="214" t="n"/>
      <c r="F2671" s="207" t="n"/>
      <c r="G2671" s="207" t="n"/>
      <c r="H2671" s="208" t="n"/>
      <c r="I2671" s="208" t="n"/>
      <c r="J2671" s="214" t="n"/>
      <c r="K2671" s="208" t="n"/>
      <c r="L2671" s="424" t="n"/>
      <c r="M2671" s="961" t="n"/>
      <c r="N2671" s="214" t="n"/>
    </row>
    <row r="2672">
      <c r="A2672" s="207" t="n"/>
      <c r="B2672" s="209" t="n"/>
      <c r="C2672" s="207" t="n"/>
      <c r="D2672" s="963" t="n"/>
      <c r="E2672" s="214" t="n"/>
      <c r="F2672" s="207" t="n"/>
      <c r="G2672" s="207" t="n"/>
      <c r="H2672" s="209" t="n"/>
      <c r="I2672" s="209" t="n"/>
      <c r="J2672" s="214" t="n"/>
      <c r="K2672" s="209" t="n"/>
      <c r="L2672" s="425" t="n"/>
      <c r="M2672" s="961" t="n"/>
      <c r="N2672" s="214" t="n"/>
    </row>
    <row r="2673">
      <c r="A2673" s="207" t="n"/>
      <c r="B2673" s="209" t="n"/>
      <c r="C2673" s="207" t="n"/>
      <c r="D2673" s="963" t="n"/>
      <c r="E2673" s="215" t="n"/>
      <c r="F2673" s="209" t="n"/>
      <c r="G2673" s="209" t="n"/>
      <c r="H2673" s="209" t="n"/>
      <c r="I2673" s="209" t="n"/>
      <c r="J2673" s="215" t="n"/>
      <c r="K2673" s="209" t="n"/>
      <c r="L2673" s="425" t="n"/>
      <c r="M2673" s="962" t="n"/>
      <c r="N2673" s="215" t="n"/>
    </row>
    <row r="2674">
      <c r="A2674" s="207" t="n"/>
      <c r="B2674" s="209" t="n"/>
      <c r="C2674" s="207" t="n"/>
      <c r="D2674" s="963" t="n"/>
      <c r="E2674" s="214" t="n"/>
      <c r="F2674" s="207" t="n"/>
      <c r="G2674" s="207" t="n"/>
      <c r="H2674" s="209" t="n"/>
      <c r="I2674" s="209" t="n"/>
      <c r="J2674" s="214" t="n"/>
      <c r="K2674" s="209" t="n"/>
      <c r="L2674" s="425" t="n"/>
      <c r="M2674" s="961" t="n"/>
      <c r="N2674" s="214" t="n"/>
    </row>
    <row r="2675">
      <c r="A2675" s="207" t="n"/>
      <c r="B2675" s="209" t="n"/>
      <c r="C2675" s="207" t="n"/>
      <c r="D2675" s="963" t="n"/>
      <c r="E2675" s="214" t="n"/>
      <c r="F2675" s="207" t="n"/>
      <c r="G2675" s="207" t="n"/>
      <c r="H2675" s="208" t="n"/>
      <c r="I2675" s="208" t="n"/>
      <c r="J2675" s="214" t="n"/>
      <c r="K2675" s="208" t="n"/>
      <c r="L2675" s="424" t="n"/>
      <c r="M2675" s="961" t="n"/>
      <c r="N2675" s="214" t="n"/>
    </row>
    <row r="2676">
      <c r="A2676" s="207" t="n"/>
      <c r="B2676" s="209" t="n"/>
      <c r="C2676" s="207" t="n"/>
      <c r="D2676" s="963" t="n"/>
      <c r="E2676" s="214" t="n"/>
      <c r="F2676" s="207" t="n"/>
      <c r="G2676" s="207" t="n"/>
      <c r="H2676" s="208" t="n"/>
      <c r="I2676" s="208" t="n"/>
      <c r="J2676" s="214" t="n"/>
      <c r="K2676" s="208" t="n"/>
      <c r="L2676" s="424" t="n"/>
      <c r="M2676" s="961" t="n"/>
      <c r="N2676" s="214" t="n"/>
    </row>
    <row r="2677">
      <c r="A2677" s="207" t="n"/>
      <c r="B2677" s="209" t="n"/>
      <c r="C2677" s="207" t="n"/>
      <c r="D2677" s="963" t="n"/>
      <c r="E2677" s="214" t="n"/>
      <c r="F2677" s="207" t="n"/>
      <c r="G2677" s="207" t="n"/>
      <c r="H2677" s="208" t="n"/>
      <c r="I2677" s="208" t="n"/>
      <c r="J2677" s="214" t="n"/>
      <c r="K2677" s="208" t="n"/>
      <c r="L2677" s="424" t="n"/>
      <c r="M2677" s="961" t="n"/>
      <c r="N2677" s="214" t="n"/>
    </row>
    <row r="2678">
      <c r="A2678" s="207" t="n"/>
      <c r="B2678" s="209" t="n"/>
      <c r="C2678" s="207" t="n"/>
      <c r="D2678" s="963" t="n"/>
      <c r="E2678" s="214" t="n"/>
      <c r="F2678" s="207" t="n"/>
      <c r="G2678" s="207" t="n"/>
      <c r="H2678" s="208" t="n"/>
      <c r="I2678" s="208" t="n"/>
      <c r="J2678" s="214" t="n"/>
      <c r="K2678" s="208" t="n"/>
      <c r="L2678" s="424" t="n"/>
      <c r="M2678" s="961" t="n"/>
      <c r="N2678" s="214" t="n"/>
    </row>
    <row r="2679">
      <c r="A2679" s="207" t="n"/>
      <c r="B2679" s="209" t="n"/>
      <c r="C2679" s="207" t="n"/>
      <c r="D2679" s="963" t="n"/>
      <c r="E2679" s="214" t="n"/>
      <c r="F2679" s="207" t="n"/>
      <c r="G2679" s="207" t="n"/>
      <c r="H2679" s="208" t="n"/>
      <c r="I2679" s="208" t="n"/>
      <c r="J2679" s="214" t="n"/>
      <c r="K2679" s="208" t="n"/>
      <c r="L2679" s="424" t="n"/>
      <c r="M2679" s="961" t="n"/>
      <c r="N2679" s="214" t="n"/>
    </row>
    <row r="2680">
      <c r="A2680" s="207" t="n"/>
      <c r="B2680" s="209" t="n"/>
      <c r="C2680" s="207" t="n"/>
      <c r="D2680" s="963" t="n"/>
      <c r="E2680" s="214" t="n"/>
      <c r="F2680" s="207" t="n"/>
      <c r="G2680" s="207" t="n"/>
      <c r="H2680" s="208" t="n"/>
      <c r="I2680" s="208" t="n"/>
      <c r="J2680" s="214" t="n"/>
      <c r="K2680" s="208" t="n"/>
      <c r="L2680" s="424" t="n"/>
      <c r="M2680" s="961" t="n"/>
      <c r="N2680" s="214" t="n"/>
    </row>
    <row r="2681">
      <c r="A2681" s="207" t="n"/>
      <c r="B2681" s="209" t="n"/>
      <c r="C2681" s="207" t="n"/>
      <c r="D2681" s="963" t="n"/>
      <c r="E2681" s="214" t="n"/>
      <c r="F2681" s="207" t="n"/>
      <c r="G2681" s="207" t="n"/>
      <c r="H2681" s="209" t="n"/>
      <c r="I2681" s="209" t="n"/>
      <c r="J2681" s="214" t="n"/>
      <c r="K2681" s="209" t="n"/>
      <c r="L2681" s="425" t="n"/>
      <c r="M2681" s="961" t="n"/>
      <c r="N2681" s="214" t="n"/>
    </row>
    <row r="2682">
      <c r="A2682" s="207" t="n"/>
      <c r="B2682" s="209" t="n"/>
      <c r="C2682" s="207" t="n"/>
      <c r="D2682" s="963" t="n"/>
      <c r="E2682" s="214" t="n"/>
      <c r="F2682" s="207" t="n"/>
      <c r="G2682" s="207" t="n"/>
      <c r="H2682" s="208" t="n"/>
      <c r="I2682" s="208" t="n"/>
      <c r="J2682" s="214" t="n"/>
      <c r="K2682" s="208" t="n"/>
      <c r="L2682" s="424" t="n"/>
      <c r="M2682" s="961" t="n"/>
      <c r="N2682" s="214" t="n"/>
    </row>
    <row r="2683">
      <c r="A2683" s="207" t="n"/>
      <c r="B2683" s="209" t="n"/>
      <c r="C2683" s="207" t="n"/>
      <c r="D2683" s="963" t="n"/>
      <c r="E2683" s="214" t="n"/>
      <c r="F2683" s="207" t="n"/>
      <c r="G2683" s="207" t="n"/>
      <c r="H2683" s="208" t="n"/>
      <c r="I2683" s="208" t="n"/>
      <c r="J2683" s="214" t="n"/>
      <c r="K2683" s="208" t="n"/>
      <c r="L2683" s="424" t="n"/>
      <c r="M2683" s="961" t="n"/>
      <c r="N2683" s="214" t="n"/>
    </row>
    <row r="2684">
      <c r="A2684" s="207" t="n"/>
      <c r="B2684" s="209" t="n"/>
      <c r="C2684" s="207" t="n"/>
      <c r="D2684" s="963" t="n"/>
      <c r="E2684" s="214" t="n"/>
      <c r="F2684" s="207" t="n"/>
      <c r="G2684" s="207" t="n"/>
      <c r="H2684" s="208" t="n"/>
      <c r="I2684" s="208" t="n"/>
      <c r="J2684" s="214" t="n"/>
      <c r="K2684" s="208" t="n"/>
      <c r="L2684" s="424" t="n"/>
      <c r="M2684" s="961" t="n"/>
      <c r="N2684" s="214" t="n"/>
    </row>
    <row r="2685">
      <c r="A2685" s="207" t="n"/>
      <c r="B2685" s="209" t="n"/>
      <c r="C2685" s="207" t="n"/>
      <c r="D2685" s="963" t="n"/>
      <c r="E2685" s="215" t="n"/>
      <c r="F2685" s="209" t="n"/>
      <c r="G2685" s="209" t="n"/>
      <c r="H2685" s="209" t="n"/>
      <c r="I2685" s="209" t="n"/>
      <c r="J2685" s="215" t="n"/>
      <c r="K2685" s="209" t="n"/>
      <c r="L2685" s="425" t="n"/>
      <c r="M2685" s="962" t="n"/>
      <c r="N2685" s="215" t="n"/>
    </row>
    <row r="2686">
      <c r="A2686" s="207" t="n"/>
      <c r="B2686" s="209" t="n"/>
      <c r="C2686" s="207" t="n"/>
      <c r="D2686" s="963" t="n"/>
      <c r="E2686" s="214" t="n"/>
      <c r="F2686" s="207" t="n"/>
      <c r="G2686" s="207" t="n"/>
      <c r="H2686" s="208" t="n"/>
      <c r="I2686" s="208" t="n"/>
      <c r="J2686" s="214" t="n"/>
      <c r="K2686" s="208" t="n"/>
      <c r="L2686" s="424" t="n"/>
      <c r="M2686" s="961" t="n"/>
      <c r="N2686" s="214" t="n"/>
    </row>
    <row r="2687">
      <c r="A2687" s="207" t="n"/>
      <c r="B2687" s="209" t="n"/>
      <c r="C2687" s="207" t="n"/>
      <c r="D2687" s="963" t="n"/>
      <c r="E2687" s="214" t="n"/>
      <c r="F2687" s="207" t="n"/>
      <c r="G2687" s="207" t="n"/>
      <c r="H2687" s="208" t="n"/>
      <c r="I2687" s="208" t="n"/>
      <c r="J2687" s="214" t="n"/>
      <c r="K2687" s="208" t="n"/>
      <c r="L2687" s="424" t="n"/>
      <c r="M2687" s="961" t="n"/>
      <c r="N2687" s="214" t="n"/>
    </row>
    <row r="2688">
      <c r="A2688" s="207" t="n"/>
      <c r="B2688" s="209" t="n"/>
      <c r="C2688" s="207" t="n"/>
      <c r="D2688" s="963" t="n"/>
      <c r="E2688" s="214" t="n"/>
      <c r="F2688" s="207" t="n"/>
      <c r="G2688" s="207" t="n"/>
      <c r="H2688" s="209" t="n"/>
      <c r="I2688" s="209" t="n"/>
      <c r="J2688" s="214" t="n"/>
      <c r="K2688" s="209" t="n"/>
      <c r="L2688" s="425" t="n"/>
      <c r="M2688" s="961" t="n"/>
      <c r="N2688" s="214" t="n"/>
    </row>
    <row r="2689">
      <c r="A2689" s="207" t="n"/>
      <c r="B2689" s="209" t="n"/>
      <c r="C2689" s="207" t="n"/>
      <c r="D2689" s="963" t="n"/>
      <c r="E2689" s="214" t="n"/>
      <c r="F2689" s="207" t="n"/>
      <c r="G2689" s="207" t="n"/>
      <c r="H2689" s="209" t="n"/>
      <c r="I2689" s="209" t="n"/>
      <c r="J2689" s="214" t="n"/>
      <c r="K2689" s="209" t="n"/>
      <c r="L2689" s="425" t="n"/>
      <c r="M2689" s="961" t="n"/>
      <c r="N2689" s="214" t="n"/>
    </row>
    <row r="2690">
      <c r="A2690" s="207" t="n"/>
      <c r="B2690" s="209" t="n"/>
      <c r="C2690" s="207" t="n"/>
      <c r="D2690" s="963" t="n"/>
      <c r="E2690" s="214" t="n"/>
      <c r="F2690" s="207" t="n"/>
      <c r="G2690" s="207" t="n"/>
      <c r="H2690" s="209" t="n"/>
      <c r="I2690" s="209" t="n"/>
      <c r="J2690" s="214" t="n"/>
      <c r="K2690" s="209" t="n"/>
      <c r="L2690" s="425" t="n"/>
      <c r="M2690" s="961" t="n"/>
      <c r="N2690" s="214" t="n"/>
    </row>
    <row r="2691">
      <c r="A2691" s="207" t="n"/>
      <c r="B2691" s="209" t="n"/>
      <c r="C2691" s="207" t="n"/>
      <c r="D2691" s="963" t="n"/>
      <c r="E2691" s="214" t="n"/>
      <c r="F2691" s="207" t="n"/>
      <c r="G2691" s="207" t="n"/>
      <c r="H2691" s="209" t="n"/>
      <c r="I2691" s="209" t="n"/>
      <c r="J2691" s="214" t="n"/>
      <c r="K2691" s="209" t="n"/>
      <c r="L2691" s="425" t="n"/>
      <c r="M2691" s="961" t="n"/>
      <c r="N2691" s="214" t="n"/>
    </row>
    <row r="2692">
      <c r="A2692" s="207" t="n"/>
      <c r="B2692" s="209" t="n"/>
      <c r="C2692" s="207" t="n"/>
      <c r="D2692" s="963" t="n"/>
      <c r="E2692" s="214" t="n"/>
      <c r="F2692" s="207" t="n"/>
      <c r="G2692" s="207" t="n"/>
      <c r="H2692" s="209" t="n"/>
      <c r="I2692" s="209" t="n"/>
      <c r="J2692" s="214" t="n"/>
      <c r="K2692" s="209" t="n"/>
      <c r="L2692" s="425" t="n"/>
      <c r="M2692" s="961" t="n"/>
      <c r="N2692" s="214" t="n"/>
    </row>
    <row r="2693">
      <c r="A2693" s="207" t="n"/>
      <c r="B2693" s="209" t="n"/>
      <c r="C2693" s="207" t="n"/>
      <c r="D2693" s="963" t="n"/>
      <c r="E2693" s="214" t="n"/>
      <c r="F2693" s="207" t="n"/>
      <c r="G2693" s="207" t="n"/>
      <c r="H2693" s="209" t="n"/>
      <c r="I2693" s="209" t="n"/>
      <c r="J2693" s="214" t="n"/>
      <c r="K2693" s="209" t="n"/>
      <c r="L2693" s="425" t="n"/>
      <c r="M2693" s="961" t="n"/>
      <c r="N2693" s="214" t="n"/>
    </row>
    <row r="2694">
      <c r="A2694" s="207" t="n"/>
      <c r="B2694" s="209" t="n"/>
      <c r="C2694" s="207" t="n"/>
      <c r="D2694" s="963" t="n"/>
      <c r="E2694" s="214" t="n"/>
      <c r="F2694" s="207" t="n"/>
      <c r="G2694" s="207" t="n"/>
      <c r="H2694" s="209" t="n"/>
      <c r="I2694" s="209" t="n"/>
      <c r="J2694" s="214" t="n"/>
      <c r="K2694" s="209" t="n"/>
      <c r="L2694" s="425" t="n"/>
      <c r="M2694" s="961" t="n"/>
      <c r="N2694" s="214" t="n"/>
    </row>
    <row r="2695">
      <c r="A2695" s="207" t="n"/>
      <c r="B2695" s="209" t="n"/>
      <c r="C2695" s="207" t="n"/>
      <c r="D2695" s="963" t="n"/>
      <c r="E2695" s="214" t="n"/>
      <c r="F2695" s="207" t="n"/>
      <c r="G2695" s="207" t="n"/>
      <c r="H2695" s="209" t="n"/>
      <c r="I2695" s="209" t="n"/>
      <c r="J2695" s="214" t="n"/>
      <c r="K2695" s="209" t="n"/>
      <c r="L2695" s="425" t="n"/>
      <c r="M2695" s="961" t="n"/>
      <c r="N2695" s="214" t="n"/>
    </row>
    <row r="2696">
      <c r="A2696" s="207" t="n"/>
      <c r="B2696" s="209" t="n"/>
      <c r="C2696" s="207" t="n"/>
      <c r="D2696" s="963" t="n"/>
      <c r="E2696" s="214" t="n"/>
      <c r="F2696" s="207" t="n"/>
      <c r="G2696" s="207" t="n"/>
      <c r="H2696" s="209" t="n"/>
      <c r="I2696" s="209" t="n"/>
      <c r="J2696" s="214" t="n"/>
      <c r="K2696" s="209" t="n"/>
      <c r="L2696" s="425" t="n"/>
      <c r="M2696" s="961" t="n"/>
      <c r="N2696" s="214" t="n"/>
    </row>
    <row r="2697">
      <c r="A2697" s="207" t="n"/>
      <c r="B2697" s="209" t="n"/>
      <c r="C2697" s="207" t="n"/>
      <c r="D2697" s="963" t="n"/>
      <c r="E2697" s="214" t="n"/>
      <c r="F2697" s="207" t="n"/>
      <c r="G2697" s="207" t="n"/>
      <c r="H2697" s="209" t="n"/>
      <c r="I2697" s="209" t="n"/>
      <c r="J2697" s="214" t="n"/>
      <c r="K2697" s="209" t="n"/>
      <c r="L2697" s="425" t="n"/>
      <c r="M2697" s="961" t="n"/>
      <c r="N2697" s="214" t="n"/>
    </row>
    <row r="2698">
      <c r="A2698" s="207" t="n"/>
      <c r="B2698" s="209" t="n"/>
      <c r="C2698" s="207" t="n"/>
      <c r="D2698" s="963" t="n"/>
      <c r="E2698" s="214" t="n"/>
      <c r="F2698" s="207" t="n"/>
      <c r="G2698" s="207" t="n"/>
      <c r="H2698" s="209" t="n"/>
      <c r="I2698" s="209" t="n"/>
      <c r="J2698" s="214" t="n"/>
      <c r="K2698" s="209" t="n"/>
      <c r="L2698" s="425" t="n"/>
      <c r="M2698" s="961" t="n"/>
      <c r="N2698" s="214" t="n"/>
    </row>
    <row r="2699">
      <c r="A2699" s="207" t="n"/>
      <c r="B2699" s="209" t="n"/>
      <c r="C2699" s="207" t="n"/>
      <c r="D2699" s="963" t="n"/>
      <c r="E2699" s="214" t="n"/>
      <c r="F2699" s="207" t="n"/>
      <c r="G2699" s="207" t="n"/>
      <c r="H2699" s="208" t="n"/>
      <c r="I2699" s="208" t="n"/>
      <c r="J2699" s="214" t="n"/>
      <c r="K2699" s="208" t="n"/>
      <c r="L2699" s="424" t="n"/>
      <c r="M2699" s="961" t="n"/>
      <c r="N2699" s="214" t="n"/>
    </row>
    <row r="2700">
      <c r="A2700" s="207" t="n"/>
      <c r="B2700" s="209" t="n"/>
      <c r="C2700" s="207" t="n"/>
      <c r="D2700" s="963" t="n"/>
      <c r="E2700" s="214" t="n"/>
      <c r="F2700" s="207" t="n"/>
      <c r="G2700" s="207" t="n"/>
      <c r="H2700" s="208" t="n"/>
      <c r="I2700" s="208" t="n"/>
      <c r="J2700" s="214" t="n"/>
      <c r="K2700" s="208" t="n"/>
      <c r="L2700" s="424" t="n"/>
      <c r="M2700" s="961" t="n"/>
      <c r="N2700" s="214" t="n"/>
    </row>
    <row r="2701">
      <c r="A2701" s="207" t="n"/>
      <c r="B2701" s="209" t="n"/>
      <c r="C2701" s="207" t="n"/>
      <c r="D2701" s="963" t="n"/>
      <c r="E2701" s="214" t="n"/>
      <c r="F2701" s="207" t="n"/>
      <c r="G2701" s="207" t="n"/>
      <c r="H2701" s="208" t="n"/>
      <c r="I2701" s="208" t="n"/>
      <c r="J2701" s="214" t="n"/>
      <c r="K2701" s="208" t="n"/>
      <c r="L2701" s="424" t="n"/>
      <c r="M2701" s="961" t="n"/>
      <c r="N2701" s="214" t="n"/>
    </row>
    <row r="2702">
      <c r="A2702" s="207" t="n"/>
      <c r="B2702" s="209" t="n"/>
      <c r="C2702" s="207" t="n"/>
      <c r="D2702" s="963" t="n"/>
      <c r="E2702" s="214" t="n"/>
      <c r="F2702" s="207" t="n"/>
      <c r="G2702" s="207" t="n"/>
      <c r="H2702" s="208" t="n"/>
      <c r="I2702" s="208" t="n"/>
      <c r="J2702" s="214" t="n"/>
      <c r="K2702" s="208" t="n"/>
      <c r="L2702" s="424" t="n"/>
      <c r="M2702" s="961" t="n"/>
      <c r="N2702" s="214" t="n"/>
    </row>
    <row r="2703">
      <c r="A2703" s="207" t="n"/>
      <c r="B2703" s="209" t="n"/>
      <c r="C2703" s="207" t="n"/>
      <c r="D2703" s="963" t="n"/>
      <c r="E2703" s="214" t="n"/>
      <c r="F2703" s="207" t="n"/>
      <c r="G2703" s="207" t="n"/>
      <c r="H2703" s="209" t="n"/>
      <c r="I2703" s="209" t="n"/>
      <c r="J2703" s="214" t="n"/>
      <c r="K2703" s="209" t="n"/>
      <c r="L2703" s="425" t="n"/>
      <c r="M2703" s="961" t="n"/>
      <c r="N2703" s="214" t="n"/>
    </row>
    <row r="2704">
      <c r="A2704" s="207" t="n"/>
      <c r="B2704" s="209" t="n"/>
      <c r="C2704" s="207" t="n"/>
      <c r="D2704" s="963" t="n"/>
      <c r="E2704" s="214" t="n"/>
      <c r="F2704" s="207" t="n"/>
      <c r="G2704" s="207" t="n"/>
      <c r="H2704" s="208" t="n"/>
      <c r="I2704" s="208" t="n"/>
      <c r="J2704" s="214" t="n"/>
      <c r="K2704" s="208" t="n"/>
      <c r="L2704" s="424" t="n"/>
      <c r="M2704" s="961" t="n"/>
      <c r="N2704" s="214" t="n"/>
    </row>
    <row r="2705">
      <c r="A2705" s="207" t="n"/>
      <c r="B2705" s="209" t="n"/>
      <c r="C2705" s="207" t="n"/>
      <c r="D2705" s="963" t="n"/>
      <c r="E2705" s="214" t="n"/>
      <c r="F2705" s="207" t="n"/>
      <c r="G2705" s="207" t="n"/>
      <c r="H2705" s="208" t="n"/>
      <c r="I2705" s="208" t="n"/>
      <c r="J2705" s="214" t="n"/>
      <c r="K2705" s="208" t="n"/>
      <c r="L2705" s="424" t="n"/>
      <c r="M2705" s="961" t="n"/>
      <c r="N2705" s="214" t="n"/>
    </row>
    <row r="2706">
      <c r="A2706" s="207" t="n"/>
      <c r="B2706" s="209" t="n"/>
      <c r="C2706" s="207" t="n"/>
      <c r="D2706" s="963" t="n"/>
      <c r="E2706" s="214" t="n"/>
      <c r="F2706" s="207" t="n"/>
      <c r="G2706" s="207" t="n"/>
      <c r="H2706" s="208" t="n"/>
      <c r="I2706" s="208" t="n"/>
      <c r="J2706" s="214" t="n"/>
      <c r="K2706" s="208" t="n"/>
      <c r="L2706" s="424" t="n"/>
      <c r="M2706" s="961" t="n"/>
      <c r="N2706" s="214" t="n"/>
    </row>
    <row r="2707">
      <c r="A2707" s="207" t="n"/>
      <c r="B2707" s="209" t="n"/>
      <c r="C2707" s="207" t="n"/>
      <c r="D2707" s="963" t="n"/>
      <c r="E2707" s="214" t="n"/>
      <c r="F2707" s="207" t="n"/>
      <c r="G2707" s="207" t="n"/>
      <c r="H2707" s="209" t="n"/>
      <c r="I2707" s="209" t="n"/>
      <c r="J2707" s="214" t="n"/>
      <c r="K2707" s="209" t="n"/>
      <c r="L2707" s="425" t="n"/>
      <c r="M2707" s="961" t="n"/>
      <c r="N2707" s="214" t="n"/>
    </row>
    <row r="2708">
      <c r="A2708" s="207" t="n"/>
      <c r="B2708" s="209" t="n"/>
      <c r="C2708" s="207" t="n"/>
      <c r="D2708" s="963" t="n"/>
      <c r="E2708" s="214" t="n"/>
      <c r="F2708" s="207" t="n"/>
      <c r="G2708" s="207" t="n"/>
      <c r="H2708" s="208" t="n"/>
      <c r="I2708" s="208" t="n"/>
      <c r="J2708" s="214" t="n"/>
      <c r="K2708" s="208" t="n"/>
      <c r="L2708" s="424" t="n"/>
      <c r="M2708" s="961" t="n"/>
      <c r="N2708" s="214" t="n"/>
    </row>
    <row r="2709">
      <c r="A2709" s="207" t="n"/>
      <c r="B2709" s="209" t="n"/>
      <c r="C2709" s="207" t="n"/>
      <c r="D2709" s="963" t="n"/>
      <c r="E2709" s="214" t="n"/>
      <c r="F2709" s="207" t="n"/>
      <c r="G2709" s="207" t="n"/>
      <c r="H2709" s="208" t="n"/>
      <c r="I2709" s="208" t="n"/>
      <c r="J2709" s="214" t="n"/>
      <c r="K2709" s="208" t="n"/>
      <c r="L2709" s="424" t="n"/>
      <c r="M2709" s="961" t="n"/>
      <c r="N2709" s="214" t="n"/>
    </row>
    <row r="2710">
      <c r="A2710" s="207" t="n"/>
      <c r="B2710" s="209" t="n"/>
      <c r="C2710" s="207" t="n"/>
      <c r="D2710" s="963" t="n"/>
      <c r="E2710" s="214" t="n"/>
      <c r="F2710" s="207" t="n"/>
      <c r="G2710" s="207" t="n"/>
      <c r="H2710" s="209" t="n"/>
      <c r="I2710" s="209" t="n"/>
      <c r="J2710" s="214" t="n"/>
      <c r="K2710" s="209" t="n"/>
      <c r="L2710" s="425" t="n"/>
      <c r="M2710" s="961" t="n"/>
      <c r="N2710" s="214" t="n"/>
    </row>
    <row r="2711">
      <c r="A2711" s="207" t="n"/>
      <c r="B2711" s="209" t="n"/>
      <c r="C2711" s="207" t="n"/>
      <c r="D2711" s="963" t="n"/>
      <c r="E2711" s="214" t="n"/>
      <c r="F2711" s="207" t="n"/>
      <c r="G2711" s="207" t="n"/>
      <c r="H2711" s="209" t="n"/>
      <c r="I2711" s="209" t="n"/>
      <c r="J2711" s="214" t="n"/>
      <c r="K2711" s="209" t="n"/>
      <c r="L2711" s="425" t="n"/>
      <c r="M2711" s="961" t="n"/>
      <c r="N2711" s="214" t="n"/>
    </row>
    <row r="2712">
      <c r="A2712" s="207" t="n"/>
      <c r="B2712" s="209" t="n"/>
      <c r="C2712" s="207" t="n"/>
      <c r="D2712" s="963" t="n"/>
      <c r="E2712" s="214" t="n"/>
      <c r="F2712" s="207" t="n"/>
      <c r="G2712" s="207" t="n"/>
      <c r="H2712" s="209" t="n"/>
      <c r="I2712" s="209" t="n"/>
      <c r="J2712" s="214" t="n"/>
      <c r="K2712" s="209" t="n"/>
      <c r="L2712" s="425" t="n"/>
      <c r="M2712" s="961" t="n"/>
      <c r="N2712" s="214" t="n"/>
    </row>
    <row r="2713">
      <c r="A2713" s="207" t="n"/>
      <c r="B2713" s="209" t="n"/>
      <c r="C2713" s="207" t="n"/>
      <c r="D2713" s="963" t="n"/>
      <c r="E2713" s="214" t="n"/>
      <c r="F2713" s="207" t="n"/>
      <c r="G2713" s="207" t="n"/>
      <c r="H2713" s="209" t="n"/>
      <c r="I2713" s="209" t="n"/>
      <c r="J2713" s="214" t="n"/>
      <c r="K2713" s="209" t="n"/>
      <c r="L2713" s="425" t="n"/>
      <c r="M2713" s="961" t="n"/>
      <c r="N2713" s="214" t="n"/>
    </row>
    <row r="2714">
      <c r="A2714" s="207" t="n"/>
      <c r="B2714" s="209" t="n"/>
      <c r="C2714" s="207" t="n"/>
      <c r="D2714" s="963" t="n"/>
      <c r="E2714" s="214" t="n"/>
      <c r="F2714" s="207" t="n"/>
      <c r="G2714" s="207" t="n"/>
      <c r="H2714" s="209" t="n"/>
      <c r="I2714" s="209" t="n"/>
      <c r="J2714" s="214" t="n"/>
      <c r="K2714" s="209" t="n"/>
      <c r="L2714" s="425" t="n"/>
      <c r="M2714" s="961" t="n"/>
      <c r="N2714" s="214" t="n"/>
    </row>
    <row r="2715">
      <c r="A2715" s="207" t="n"/>
      <c r="B2715" s="209" t="n"/>
      <c r="C2715" s="207" t="n"/>
      <c r="D2715" s="963" t="n"/>
      <c r="E2715" s="214" t="n"/>
      <c r="F2715" s="207" t="n"/>
      <c r="G2715" s="207" t="n"/>
      <c r="H2715" s="209" t="n"/>
      <c r="I2715" s="209" t="n"/>
      <c r="J2715" s="214" t="n"/>
      <c r="K2715" s="209" t="n"/>
      <c r="L2715" s="425" t="n"/>
      <c r="M2715" s="961" t="n"/>
      <c r="N2715" s="214" t="n"/>
    </row>
    <row r="2716">
      <c r="A2716" s="207" t="n"/>
      <c r="B2716" s="209" t="n"/>
      <c r="C2716" s="207" t="n"/>
      <c r="D2716" s="963" t="n"/>
      <c r="E2716" s="214" t="n"/>
      <c r="F2716" s="207" t="n"/>
      <c r="G2716" s="207" t="n"/>
      <c r="H2716" s="209" t="n"/>
      <c r="I2716" s="209" t="n"/>
      <c r="J2716" s="214" t="n"/>
      <c r="K2716" s="209" t="n"/>
      <c r="L2716" s="425" t="n"/>
      <c r="M2716" s="961" t="n"/>
      <c r="N2716" s="214" t="n"/>
    </row>
    <row r="2717">
      <c r="A2717" s="207" t="n"/>
      <c r="B2717" s="209" t="n"/>
      <c r="C2717" s="207" t="n"/>
      <c r="D2717" s="963" t="n"/>
      <c r="E2717" s="214" t="n"/>
      <c r="F2717" s="207" t="n"/>
      <c r="G2717" s="207" t="n"/>
      <c r="H2717" s="209" t="n"/>
      <c r="I2717" s="209" t="n"/>
      <c r="J2717" s="214" t="n"/>
      <c r="K2717" s="209" t="n"/>
      <c r="L2717" s="425" t="n"/>
      <c r="M2717" s="961" t="n"/>
      <c r="N2717" s="214" t="n"/>
    </row>
    <row r="2718">
      <c r="A2718" s="207" t="n"/>
      <c r="B2718" s="209" t="n"/>
      <c r="C2718" s="207" t="n"/>
      <c r="D2718" s="963" t="n"/>
      <c r="E2718" s="214" t="n"/>
      <c r="F2718" s="207" t="n"/>
      <c r="G2718" s="207" t="n"/>
      <c r="H2718" s="209" t="n"/>
      <c r="I2718" s="209" t="n"/>
      <c r="J2718" s="214" t="n"/>
      <c r="K2718" s="209" t="n"/>
      <c r="L2718" s="425" t="n"/>
      <c r="M2718" s="961" t="n"/>
      <c r="N2718" s="214" t="n"/>
    </row>
    <row r="2719">
      <c r="A2719" s="207" t="n"/>
      <c r="B2719" s="209" t="n"/>
      <c r="C2719" s="207" t="n"/>
      <c r="D2719" s="963" t="n"/>
      <c r="E2719" s="214" t="n"/>
      <c r="F2719" s="207" t="n"/>
      <c r="G2719" s="207" t="n"/>
      <c r="H2719" s="209" t="n"/>
      <c r="I2719" s="209" t="n"/>
      <c r="J2719" s="214" t="n"/>
      <c r="K2719" s="209" t="n"/>
      <c r="L2719" s="425" t="n"/>
      <c r="M2719" s="961" t="n"/>
      <c r="N2719" s="214" t="n"/>
    </row>
    <row r="2720">
      <c r="A2720" s="207" t="n"/>
      <c r="B2720" s="209" t="n"/>
      <c r="C2720" s="207" t="n"/>
      <c r="D2720" s="963" t="n"/>
      <c r="E2720" s="214" t="n"/>
      <c r="F2720" s="207" t="n"/>
      <c r="G2720" s="207" t="n"/>
      <c r="H2720" s="209" t="n"/>
      <c r="I2720" s="209" t="n"/>
      <c r="J2720" s="214" t="n"/>
      <c r="K2720" s="209" t="n"/>
      <c r="L2720" s="425" t="n"/>
      <c r="M2720" s="961" t="n"/>
      <c r="N2720" s="214" t="n"/>
    </row>
    <row r="2721">
      <c r="A2721" s="207" t="n"/>
      <c r="B2721" s="209" t="n"/>
      <c r="C2721" s="207" t="n"/>
      <c r="D2721" s="963" t="n"/>
      <c r="E2721" s="214" t="n"/>
      <c r="F2721" s="207" t="n"/>
      <c r="G2721" s="207" t="n"/>
      <c r="H2721" s="208" t="n"/>
      <c r="I2721" s="208" t="n"/>
      <c r="J2721" s="214" t="n"/>
      <c r="K2721" s="208" t="n"/>
      <c r="L2721" s="424" t="n"/>
      <c r="M2721" s="961" t="n"/>
      <c r="N2721" s="214" t="n"/>
    </row>
    <row r="2722">
      <c r="A2722" s="207" t="n"/>
      <c r="B2722" s="209" t="n"/>
      <c r="C2722" s="207" t="n"/>
      <c r="D2722" s="963" t="n"/>
      <c r="E2722" s="214" t="n"/>
      <c r="F2722" s="207" t="n"/>
      <c r="G2722" s="207" t="n"/>
      <c r="H2722" s="208" t="n"/>
      <c r="I2722" s="208" t="n"/>
      <c r="J2722" s="214" t="n"/>
      <c r="K2722" s="208" t="n"/>
      <c r="L2722" s="424" t="n"/>
      <c r="M2722" s="961" t="n"/>
      <c r="N2722" s="214" t="n"/>
    </row>
    <row r="2723">
      <c r="A2723" s="207" t="n"/>
      <c r="B2723" s="209" t="n"/>
      <c r="C2723" s="207" t="n"/>
      <c r="D2723" s="963" t="n"/>
      <c r="E2723" s="214" t="n"/>
      <c r="F2723" s="207" t="n"/>
      <c r="G2723" s="207" t="n"/>
      <c r="H2723" s="208" t="n"/>
      <c r="I2723" s="208" t="n"/>
      <c r="J2723" s="214" t="n"/>
      <c r="K2723" s="208" t="n"/>
      <c r="L2723" s="424" t="n"/>
      <c r="M2723" s="961" t="n"/>
      <c r="N2723" s="214" t="n"/>
    </row>
    <row r="2724">
      <c r="A2724" s="207" t="n"/>
      <c r="B2724" s="209" t="n"/>
      <c r="C2724" s="207" t="n"/>
      <c r="D2724" s="963" t="n"/>
      <c r="E2724" s="214" t="n"/>
      <c r="F2724" s="207" t="n"/>
      <c r="G2724" s="207" t="n"/>
      <c r="H2724" s="208" t="n"/>
      <c r="I2724" s="208" t="n"/>
      <c r="J2724" s="214" t="n"/>
      <c r="K2724" s="208" t="n"/>
      <c r="L2724" s="424" t="n"/>
      <c r="M2724" s="961" t="n"/>
      <c r="N2724" s="214" t="n"/>
    </row>
    <row r="2725">
      <c r="A2725" s="207" t="n"/>
      <c r="B2725" s="209" t="n"/>
      <c r="C2725" s="207" t="n"/>
      <c r="D2725" s="963" t="n"/>
      <c r="E2725" s="214" t="n"/>
      <c r="F2725" s="207" t="n"/>
      <c r="G2725" s="207" t="n"/>
      <c r="H2725" s="209" t="n"/>
      <c r="I2725" s="209" t="n"/>
      <c r="J2725" s="214" t="n"/>
      <c r="K2725" s="209" t="n"/>
      <c r="L2725" s="425" t="n"/>
      <c r="M2725" s="961" t="n"/>
      <c r="N2725" s="214" t="n"/>
    </row>
    <row r="2726">
      <c r="A2726" s="207" t="n"/>
      <c r="B2726" s="209" t="n"/>
      <c r="C2726" s="207" t="n"/>
      <c r="D2726" s="963" t="n"/>
      <c r="E2726" s="214" t="n"/>
      <c r="F2726" s="207" t="n"/>
      <c r="G2726" s="207" t="n"/>
      <c r="H2726" s="208" t="n"/>
      <c r="I2726" s="208" t="n"/>
      <c r="J2726" s="214" t="n"/>
      <c r="K2726" s="208" t="n"/>
      <c r="L2726" s="424" t="n"/>
      <c r="M2726" s="961" t="n"/>
      <c r="N2726" s="214" t="n"/>
    </row>
    <row r="2727">
      <c r="A2727" s="207" t="n"/>
      <c r="B2727" s="209" t="n"/>
      <c r="C2727" s="207" t="n"/>
      <c r="D2727" s="963" t="n"/>
      <c r="E2727" s="214" t="n"/>
      <c r="F2727" s="207" t="n"/>
      <c r="G2727" s="207" t="n"/>
      <c r="H2727" s="208" t="n"/>
      <c r="I2727" s="208" t="n"/>
      <c r="J2727" s="214" t="n"/>
      <c r="K2727" s="208" t="n"/>
      <c r="L2727" s="424" t="n"/>
      <c r="M2727" s="961" t="n"/>
      <c r="N2727" s="214" t="n"/>
    </row>
    <row r="2728">
      <c r="A2728" s="207" t="n"/>
      <c r="B2728" s="209" t="n"/>
      <c r="C2728" s="207" t="n"/>
      <c r="D2728" s="963" t="n"/>
      <c r="E2728" s="214" t="n"/>
      <c r="F2728" s="207" t="n"/>
      <c r="G2728" s="207" t="n"/>
      <c r="H2728" s="208" t="n"/>
      <c r="I2728" s="208" t="n"/>
      <c r="J2728" s="214" t="n"/>
      <c r="K2728" s="208" t="n"/>
      <c r="L2728" s="424" t="n"/>
      <c r="M2728" s="961" t="n"/>
      <c r="N2728" s="214" t="n"/>
    </row>
    <row r="2729">
      <c r="A2729" s="207" t="n"/>
      <c r="B2729" s="209" t="n"/>
      <c r="C2729" s="207" t="n"/>
      <c r="D2729" s="963" t="n"/>
      <c r="E2729" s="214" t="n"/>
      <c r="F2729" s="207" t="n"/>
      <c r="G2729" s="207" t="n"/>
      <c r="H2729" s="209" t="n"/>
      <c r="I2729" s="209" t="n"/>
      <c r="J2729" s="214" t="n"/>
      <c r="K2729" s="209" t="n"/>
      <c r="L2729" s="425" t="n"/>
      <c r="M2729" s="961" t="n"/>
      <c r="N2729" s="214" t="n"/>
    </row>
    <row r="2730">
      <c r="A2730" s="207" t="n"/>
      <c r="B2730" s="209" t="n"/>
      <c r="C2730" s="207" t="n"/>
      <c r="D2730" s="963" t="n"/>
      <c r="E2730" s="214" t="n"/>
      <c r="F2730" s="207" t="n"/>
      <c r="G2730" s="207" t="n"/>
      <c r="H2730" s="208" t="n"/>
      <c r="I2730" s="208" t="n"/>
      <c r="J2730" s="214" t="n"/>
      <c r="K2730" s="208" t="n"/>
      <c r="L2730" s="424" t="n"/>
      <c r="M2730" s="961" t="n"/>
      <c r="N2730" s="214" t="n"/>
    </row>
    <row r="2731">
      <c r="A2731" s="207" t="n"/>
      <c r="B2731" s="209" t="n"/>
      <c r="C2731" s="207" t="n"/>
      <c r="D2731" s="963" t="n"/>
      <c r="E2731" s="214" t="n"/>
      <c r="F2731" s="207" t="n"/>
      <c r="G2731" s="207" t="n"/>
      <c r="H2731" s="208" t="n"/>
      <c r="I2731" s="208" t="n"/>
      <c r="J2731" s="214" t="n"/>
      <c r="K2731" s="208" t="n"/>
      <c r="L2731" s="424" t="n"/>
      <c r="M2731" s="961" t="n"/>
      <c r="N2731" s="214" t="n"/>
    </row>
    <row r="2732">
      <c r="A2732" s="207" t="n"/>
      <c r="B2732" s="209" t="n"/>
      <c r="C2732" s="207" t="n"/>
      <c r="D2732" s="963" t="n"/>
      <c r="E2732" s="214" t="n"/>
      <c r="F2732" s="207" t="n"/>
      <c r="G2732" s="207" t="n"/>
      <c r="H2732" s="209" t="n"/>
      <c r="I2732" s="209" t="n"/>
      <c r="J2732" s="214" t="n"/>
      <c r="K2732" s="209" t="n"/>
      <c r="L2732" s="425" t="n"/>
      <c r="M2732" s="961" t="n"/>
      <c r="N2732" s="214" t="n"/>
    </row>
    <row r="2733">
      <c r="A2733" s="207" t="n"/>
      <c r="B2733" s="209" t="n"/>
      <c r="C2733" s="207" t="n"/>
      <c r="D2733" s="963" t="n"/>
      <c r="E2733" s="214" t="n"/>
      <c r="F2733" s="207" t="n"/>
      <c r="G2733" s="207" t="n"/>
      <c r="H2733" s="209" t="n"/>
      <c r="I2733" s="209" t="n"/>
      <c r="J2733" s="214" t="n"/>
      <c r="K2733" s="209" t="n"/>
      <c r="L2733" s="425" t="n"/>
      <c r="M2733" s="961" t="n"/>
      <c r="N2733" s="214" t="n"/>
    </row>
    <row r="2734">
      <c r="A2734" s="207" t="n"/>
      <c r="B2734" s="209" t="n"/>
      <c r="C2734" s="207" t="n"/>
      <c r="D2734" s="963" t="n"/>
      <c r="E2734" s="214" t="n"/>
      <c r="F2734" s="207" t="n"/>
      <c r="G2734" s="207" t="n"/>
      <c r="H2734" s="209" t="n"/>
      <c r="I2734" s="209" t="n"/>
      <c r="J2734" s="214" t="n"/>
      <c r="K2734" s="209" t="n"/>
      <c r="L2734" s="425" t="n"/>
      <c r="M2734" s="961" t="n"/>
      <c r="N2734" s="214" t="n"/>
    </row>
    <row r="2735">
      <c r="A2735" s="207" t="n"/>
      <c r="B2735" s="209" t="n"/>
      <c r="C2735" s="207" t="n"/>
      <c r="D2735" s="963" t="n"/>
      <c r="E2735" s="214" t="n"/>
      <c r="F2735" s="207" t="n"/>
      <c r="G2735" s="207" t="n"/>
      <c r="H2735" s="209" t="n"/>
      <c r="I2735" s="209" t="n"/>
      <c r="J2735" s="214" t="n"/>
      <c r="K2735" s="209" t="n"/>
      <c r="L2735" s="425" t="n"/>
      <c r="M2735" s="961" t="n"/>
      <c r="N2735" s="214" t="n"/>
    </row>
    <row r="2736">
      <c r="A2736" s="207" t="n"/>
      <c r="B2736" s="209" t="n"/>
      <c r="C2736" s="207" t="n"/>
      <c r="D2736" s="963" t="n"/>
      <c r="E2736" s="214" t="n"/>
      <c r="F2736" s="207" t="n"/>
      <c r="G2736" s="207" t="n"/>
      <c r="H2736" s="209" t="n"/>
      <c r="I2736" s="209" t="n"/>
      <c r="J2736" s="214" t="n"/>
      <c r="K2736" s="209" t="n"/>
      <c r="L2736" s="425" t="n"/>
      <c r="M2736" s="961" t="n"/>
      <c r="N2736" s="214" t="n"/>
    </row>
    <row r="2737">
      <c r="A2737" s="207" t="n"/>
      <c r="B2737" s="209" t="n"/>
      <c r="C2737" s="207" t="n"/>
      <c r="D2737" s="963" t="n"/>
      <c r="E2737" s="214" t="n"/>
      <c r="F2737" s="207" t="n"/>
      <c r="G2737" s="207" t="n"/>
      <c r="H2737" s="209" t="n"/>
      <c r="I2737" s="209" t="n"/>
      <c r="J2737" s="214" t="n"/>
      <c r="K2737" s="209" t="n"/>
      <c r="L2737" s="425" t="n"/>
      <c r="M2737" s="961" t="n"/>
      <c r="N2737" s="214" t="n"/>
    </row>
    <row r="2738">
      <c r="A2738" s="207" t="n"/>
      <c r="B2738" s="209" t="n"/>
      <c r="C2738" s="207" t="n"/>
      <c r="D2738" s="963" t="n"/>
      <c r="E2738" s="214" t="n"/>
      <c r="F2738" s="207" t="n"/>
      <c r="G2738" s="207" t="n"/>
      <c r="H2738" s="209" t="n"/>
      <c r="I2738" s="209" t="n"/>
      <c r="J2738" s="214" t="n"/>
      <c r="K2738" s="209" t="n"/>
      <c r="L2738" s="425" t="n"/>
      <c r="M2738" s="961" t="n"/>
      <c r="N2738" s="214" t="n"/>
    </row>
    <row r="2739">
      <c r="A2739" s="207" t="n"/>
      <c r="B2739" s="209" t="n"/>
      <c r="C2739" s="207" t="n"/>
      <c r="D2739" s="963" t="n"/>
      <c r="E2739" s="214" t="n"/>
      <c r="F2739" s="207" t="n"/>
      <c r="G2739" s="207" t="n"/>
      <c r="H2739" s="209" t="n"/>
      <c r="I2739" s="209" t="n"/>
      <c r="J2739" s="214" t="n"/>
      <c r="K2739" s="209" t="n"/>
      <c r="L2739" s="425" t="n"/>
      <c r="M2739" s="961" t="n"/>
      <c r="N2739" s="214" t="n"/>
    </row>
    <row r="2740">
      <c r="A2740" s="207" t="n"/>
      <c r="B2740" s="209" t="n"/>
      <c r="C2740" s="207" t="n"/>
      <c r="D2740" s="963" t="n"/>
      <c r="E2740" s="214" t="n"/>
      <c r="F2740" s="207" t="n"/>
      <c r="G2740" s="207" t="n"/>
      <c r="H2740" s="209" t="n"/>
      <c r="I2740" s="209" t="n"/>
      <c r="J2740" s="214" t="n"/>
      <c r="K2740" s="209" t="n"/>
      <c r="L2740" s="425" t="n"/>
      <c r="M2740" s="961" t="n"/>
      <c r="N2740" s="214" t="n"/>
    </row>
    <row r="2741">
      <c r="A2741" s="207" t="n"/>
      <c r="B2741" s="209" t="n"/>
      <c r="C2741" s="207" t="n"/>
      <c r="D2741" s="963" t="n"/>
      <c r="E2741" s="214" t="n"/>
      <c r="F2741" s="207" t="n"/>
      <c r="G2741" s="207" t="n"/>
      <c r="H2741" s="209" t="n"/>
      <c r="I2741" s="209" t="n"/>
      <c r="J2741" s="214" t="n"/>
      <c r="K2741" s="209" t="n"/>
      <c r="L2741" s="425" t="n"/>
      <c r="M2741" s="961" t="n"/>
      <c r="N2741" s="214" t="n"/>
    </row>
    <row r="2742">
      <c r="A2742" s="207" t="n"/>
      <c r="B2742" s="209" t="n"/>
      <c r="C2742" s="207" t="n"/>
      <c r="D2742" s="963" t="n"/>
      <c r="E2742" s="214" t="n"/>
      <c r="F2742" s="207" t="n"/>
      <c r="G2742" s="207" t="n"/>
      <c r="H2742" s="209" t="n"/>
      <c r="I2742" s="209" t="n"/>
      <c r="J2742" s="214" t="n"/>
      <c r="K2742" s="209" t="n"/>
      <c r="L2742" s="425" t="n"/>
      <c r="M2742" s="961" t="n"/>
      <c r="N2742" s="214" t="n"/>
    </row>
    <row r="2743">
      <c r="A2743" s="207" t="n"/>
      <c r="B2743" s="209" t="n"/>
      <c r="C2743" s="207" t="n"/>
      <c r="D2743" s="963" t="n"/>
      <c r="E2743" s="214" t="n"/>
      <c r="F2743" s="207" t="n"/>
      <c r="G2743" s="207" t="n"/>
      <c r="H2743" s="208" t="n"/>
      <c r="I2743" s="208" t="n"/>
      <c r="J2743" s="214" t="n"/>
      <c r="K2743" s="208" t="n"/>
      <c r="L2743" s="424" t="n"/>
      <c r="M2743" s="961" t="n"/>
      <c r="N2743" s="214" t="n"/>
    </row>
    <row r="2744">
      <c r="A2744" s="207" t="n"/>
      <c r="B2744" s="209" t="n"/>
      <c r="C2744" s="207" t="n"/>
      <c r="D2744" s="963" t="n"/>
      <c r="E2744" s="214" t="n"/>
      <c r="F2744" s="207" t="n"/>
      <c r="G2744" s="207" t="n"/>
      <c r="H2744" s="208" t="n"/>
      <c r="I2744" s="208" t="n"/>
      <c r="J2744" s="214" t="n"/>
      <c r="K2744" s="208" t="n"/>
      <c r="L2744" s="424" t="n"/>
      <c r="M2744" s="961" t="n"/>
      <c r="N2744" s="214" t="n"/>
    </row>
    <row r="2745">
      <c r="A2745" s="207" t="n"/>
      <c r="B2745" s="209" t="n"/>
      <c r="C2745" s="207" t="n"/>
      <c r="D2745" s="963" t="n"/>
      <c r="E2745" s="214" t="n"/>
      <c r="F2745" s="207" t="n"/>
      <c r="G2745" s="207" t="n"/>
      <c r="H2745" s="208" t="n"/>
      <c r="I2745" s="208" t="n"/>
      <c r="J2745" s="214" t="n"/>
      <c r="K2745" s="208" t="n"/>
      <c r="L2745" s="424" t="n"/>
      <c r="M2745" s="961" t="n"/>
      <c r="N2745" s="214" t="n"/>
    </row>
    <row r="2746">
      <c r="A2746" s="207" t="n"/>
      <c r="B2746" s="209" t="n"/>
      <c r="C2746" s="207" t="n"/>
      <c r="D2746" s="963" t="n"/>
      <c r="E2746" s="214" t="n"/>
      <c r="F2746" s="207" t="n"/>
      <c r="G2746" s="207" t="n"/>
      <c r="H2746" s="208" t="n"/>
      <c r="I2746" s="208" t="n"/>
      <c r="J2746" s="214" t="n"/>
      <c r="K2746" s="208" t="n"/>
      <c r="L2746" s="424" t="n"/>
      <c r="M2746" s="961" t="n"/>
      <c r="N2746" s="214" t="n"/>
    </row>
    <row r="2747">
      <c r="A2747" s="207" t="n"/>
      <c r="B2747" s="209" t="n"/>
      <c r="C2747" s="207" t="n"/>
      <c r="D2747" s="963" t="n"/>
      <c r="E2747" s="214" t="n"/>
      <c r="F2747" s="207" t="n"/>
      <c r="G2747" s="207" t="n"/>
      <c r="H2747" s="209" t="n"/>
      <c r="I2747" s="209" t="n"/>
      <c r="J2747" s="214" t="n"/>
      <c r="K2747" s="209" t="n"/>
      <c r="L2747" s="425" t="n"/>
      <c r="M2747" s="961" t="n"/>
      <c r="N2747" s="214" t="n"/>
    </row>
    <row r="2748">
      <c r="A2748" s="207" t="n"/>
      <c r="B2748" s="209" t="n"/>
      <c r="C2748" s="207" t="n"/>
      <c r="D2748" s="963" t="n"/>
      <c r="E2748" s="214" t="n"/>
      <c r="F2748" s="207" t="n"/>
      <c r="G2748" s="207" t="n"/>
      <c r="H2748" s="208" t="n"/>
      <c r="I2748" s="208" t="n"/>
      <c r="J2748" s="214" t="n"/>
      <c r="K2748" s="208" t="n"/>
      <c r="L2748" s="424" t="n"/>
      <c r="M2748" s="961" t="n"/>
      <c r="N2748" s="214" t="n"/>
    </row>
    <row r="2749">
      <c r="A2749" s="207" t="n"/>
      <c r="B2749" s="209" t="n"/>
      <c r="C2749" s="207" t="n"/>
      <c r="D2749" s="963" t="n"/>
      <c r="E2749" s="214" t="n"/>
      <c r="F2749" s="207" t="n"/>
      <c r="G2749" s="207" t="n"/>
      <c r="H2749" s="208" t="n"/>
      <c r="I2749" s="208" t="n"/>
      <c r="J2749" s="214" t="n"/>
      <c r="K2749" s="208" t="n"/>
      <c r="L2749" s="424" t="n"/>
      <c r="M2749" s="961" t="n"/>
      <c r="N2749" s="214" t="n"/>
    </row>
    <row r="2750">
      <c r="A2750" s="207" t="n"/>
      <c r="B2750" s="209" t="n"/>
      <c r="C2750" s="207" t="n"/>
      <c r="D2750" s="963" t="n"/>
      <c r="E2750" s="214" t="n"/>
      <c r="F2750" s="207" t="n"/>
      <c r="G2750" s="207" t="n"/>
      <c r="H2750" s="208" t="n"/>
      <c r="I2750" s="208" t="n"/>
      <c r="J2750" s="214" t="n"/>
      <c r="K2750" s="208" t="n"/>
      <c r="L2750" s="424" t="n"/>
      <c r="M2750" s="961" t="n"/>
      <c r="N2750" s="214" t="n"/>
    </row>
    <row r="2751">
      <c r="A2751" s="207" t="n"/>
      <c r="B2751" s="209" t="n"/>
      <c r="C2751" s="207" t="n"/>
      <c r="D2751" s="963" t="n"/>
      <c r="E2751" s="214" t="n"/>
      <c r="F2751" s="207" t="n"/>
      <c r="G2751" s="207" t="n"/>
      <c r="H2751" s="209" t="n"/>
      <c r="I2751" s="209" t="n"/>
      <c r="J2751" s="214" t="n"/>
      <c r="K2751" s="209" t="n"/>
      <c r="L2751" s="425" t="n"/>
      <c r="M2751" s="961" t="n"/>
      <c r="N2751" s="214" t="n"/>
    </row>
    <row r="2752">
      <c r="A2752" s="207" t="n"/>
      <c r="B2752" s="209" t="n"/>
      <c r="C2752" s="207" t="n"/>
      <c r="D2752" s="963" t="n"/>
      <c r="E2752" s="214" t="n"/>
      <c r="F2752" s="207" t="n"/>
      <c r="G2752" s="207" t="n"/>
      <c r="H2752" s="208" t="n"/>
      <c r="I2752" s="208" t="n"/>
      <c r="J2752" s="214" t="n"/>
      <c r="K2752" s="208" t="n"/>
      <c r="L2752" s="424" t="n"/>
      <c r="M2752" s="961" t="n"/>
      <c r="N2752" s="214" t="n"/>
    </row>
    <row r="2753">
      <c r="A2753" s="207" t="n"/>
      <c r="B2753" s="209" t="n"/>
      <c r="C2753" s="207" t="n"/>
      <c r="D2753" s="963" t="n"/>
      <c r="E2753" s="214" t="n"/>
      <c r="F2753" s="207" t="n"/>
      <c r="G2753" s="207" t="n"/>
      <c r="H2753" s="208" t="n"/>
      <c r="I2753" s="208" t="n"/>
      <c r="J2753" s="214" t="n"/>
      <c r="K2753" s="208" t="n"/>
      <c r="L2753" s="424" t="n"/>
      <c r="M2753" s="961" t="n"/>
      <c r="N2753" s="214" t="n"/>
    </row>
    <row r="2754">
      <c r="A2754" s="207" t="n"/>
      <c r="B2754" s="209" t="n"/>
      <c r="C2754" s="207" t="n"/>
      <c r="D2754" s="963" t="n"/>
      <c r="E2754" s="214" t="n"/>
      <c r="F2754" s="207" t="n"/>
      <c r="G2754" s="207" t="n"/>
      <c r="H2754" s="209" t="n"/>
      <c r="I2754" s="209" t="n"/>
      <c r="J2754" s="214" t="n"/>
      <c r="K2754" s="209" t="n"/>
      <c r="L2754" s="425" t="n"/>
      <c r="M2754" s="961" t="n"/>
      <c r="N2754" s="214" t="n"/>
    </row>
    <row r="2755">
      <c r="A2755" s="207" t="n"/>
      <c r="B2755" s="209" t="n"/>
      <c r="C2755" s="207" t="n"/>
      <c r="D2755" s="963" t="n"/>
      <c r="E2755" s="214" t="n"/>
      <c r="F2755" s="207" t="n"/>
      <c r="G2755" s="207" t="n"/>
      <c r="H2755" s="209" t="n"/>
      <c r="I2755" s="209" t="n"/>
      <c r="J2755" s="214" t="n"/>
      <c r="K2755" s="209" t="n"/>
      <c r="L2755" s="425" t="n"/>
      <c r="M2755" s="961" t="n"/>
      <c r="N2755" s="214" t="n"/>
    </row>
    <row r="2756">
      <c r="A2756" s="207" t="n"/>
      <c r="B2756" s="209" t="n"/>
      <c r="C2756" s="207" t="n"/>
      <c r="D2756" s="963" t="n"/>
      <c r="E2756" s="214" t="n"/>
      <c r="F2756" s="207" t="n"/>
      <c r="G2756" s="207" t="n"/>
      <c r="H2756" s="209" t="n"/>
      <c r="I2756" s="209" t="n"/>
      <c r="J2756" s="214" t="n"/>
      <c r="K2756" s="209" t="n"/>
      <c r="L2756" s="425" t="n"/>
      <c r="M2756" s="961" t="n"/>
      <c r="N2756" s="214" t="n"/>
    </row>
    <row r="2757">
      <c r="A2757" s="207" t="n"/>
      <c r="B2757" s="209" t="n"/>
      <c r="C2757" s="207" t="n"/>
      <c r="D2757" s="963" t="n"/>
      <c r="E2757" s="214" t="n"/>
      <c r="F2757" s="207" t="n"/>
      <c r="G2757" s="207" t="n"/>
      <c r="H2757" s="209" t="n"/>
      <c r="I2757" s="209" t="n"/>
      <c r="J2757" s="214" t="n"/>
      <c r="K2757" s="209" t="n"/>
      <c r="L2757" s="425" t="n"/>
      <c r="M2757" s="961" t="n"/>
      <c r="N2757" s="214" t="n"/>
    </row>
    <row r="2758">
      <c r="A2758" s="207" t="n"/>
      <c r="B2758" s="209" t="n"/>
      <c r="C2758" s="207" t="n"/>
      <c r="D2758" s="963" t="n"/>
      <c r="E2758" s="214" t="n"/>
      <c r="F2758" s="207" t="n"/>
      <c r="G2758" s="207" t="n"/>
      <c r="H2758" s="209" t="n"/>
      <c r="I2758" s="209" t="n"/>
      <c r="J2758" s="214" t="n"/>
      <c r="K2758" s="209" t="n"/>
      <c r="L2758" s="425" t="n"/>
      <c r="M2758" s="961" t="n"/>
      <c r="N2758" s="214" t="n"/>
    </row>
    <row r="2759">
      <c r="A2759" s="207" t="n"/>
      <c r="B2759" s="209" t="n"/>
      <c r="C2759" s="207" t="n"/>
      <c r="D2759" s="963" t="n"/>
      <c r="E2759" s="214" t="n"/>
      <c r="F2759" s="207" t="n"/>
      <c r="G2759" s="207" t="n"/>
      <c r="H2759" s="209" t="n"/>
      <c r="I2759" s="209" t="n"/>
      <c r="J2759" s="214" t="n"/>
      <c r="K2759" s="209" t="n"/>
      <c r="L2759" s="425" t="n"/>
      <c r="M2759" s="961" t="n"/>
      <c r="N2759" s="214" t="n"/>
    </row>
    <row r="2760">
      <c r="A2760" s="207" t="n"/>
      <c r="B2760" s="209" t="n"/>
      <c r="C2760" s="207" t="n"/>
      <c r="D2760" s="963" t="n"/>
      <c r="E2760" s="214" t="n"/>
      <c r="F2760" s="207" t="n"/>
      <c r="G2760" s="207" t="n"/>
      <c r="H2760" s="209" t="n"/>
      <c r="I2760" s="209" t="n"/>
      <c r="J2760" s="214" t="n"/>
      <c r="K2760" s="209" t="n"/>
      <c r="L2760" s="425" t="n"/>
      <c r="M2760" s="961" t="n"/>
      <c r="N2760" s="214" t="n"/>
    </row>
    <row r="2761">
      <c r="A2761" s="207" t="n"/>
      <c r="B2761" s="209" t="n"/>
      <c r="C2761" s="207" t="n"/>
      <c r="D2761" s="963" t="n"/>
      <c r="E2761" s="215" t="n"/>
      <c r="F2761" s="209" t="n"/>
      <c r="G2761" s="209" t="n"/>
      <c r="H2761" s="209" t="n"/>
      <c r="I2761" s="209" t="n"/>
      <c r="J2761" s="215" t="n"/>
      <c r="K2761" s="209" t="n"/>
      <c r="L2761" s="425" t="n"/>
      <c r="M2761" s="962" t="n"/>
      <c r="N2761" s="215" t="n"/>
    </row>
    <row r="2762">
      <c r="A2762" s="207" t="n"/>
      <c r="B2762" s="209" t="n"/>
      <c r="C2762" s="207" t="n"/>
      <c r="D2762" s="963" t="n"/>
      <c r="E2762" s="215" t="n"/>
      <c r="F2762" s="209" t="n"/>
      <c r="G2762" s="209" t="n"/>
      <c r="H2762" s="209" t="n"/>
      <c r="I2762" s="209" t="n"/>
      <c r="J2762" s="215" t="n"/>
      <c r="K2762" s="209" t="n"/>
      <c r="L2762" s="425" t="n"/>
      <c r="M2762" s="962" t="n"/>
      <c r="N2762" s="215" t="n"/>
    </row>
    <row r="2763">
      <c r="A2763" s="207" t="n"/>
      <c r="B2763" s="209" t="n"/>
      <c r="C2763" s="207" t="n"/>
      <c r="D2763" s="963" t="n"/>
      <c r="E2763" s="214" t="n"/>
      <c r="F2763" s="207" t="n"/>
      <c r="G2763" s="207" t="n"/>
      <c r="H2763" s="209" t="n"/>
      <c r="I2763" s="209" t="n"/>
      <c r="J2763" s="214" t="n"/>
      <c r="K2763" s="209" t="n"/>
      <c r="L2763" s="425" t="n"/>
      <c r="M2763" s="961" t="n"/>
      <c r="N2763" s="214" t="n"/>
    </row>
    <row r="2764">
      <c r="A2764" s="207" t="n"/>
      <c r="B2764" s="209" t="n"/>
      <c r="C2764" s="207" t="n"/>
      <c r="D2764" s="963" t="n"/>
      <c r="E2764" s="214" t="n"/>
      <c r="F2764" s="207" t="n"/>
      <c r="G2764" s="207" t="n"/>
      <c r="H2764" s="209" t="n"/>
      <c r="I2764" s="209" t="n"/>
      <c r="J2764" s="214" t="n"/>
      <c r="K2764" s="209" t="n"/>
      <c r="L2764" s="425" t="n"/>
      <c r="M2764" s="961" t="n"/>
      <c r="N2764" s="214" t="n"/>
    </row>
    <row r="2765">
      <c r="A2765" s="207" t="n"/>
      <c r="B2765" s="209" t="n"/>
      <c r="C2765" s="207" t="n"/>
      <c r="D2765" s="963" t="n"/>
      <c r="E2765" s="214" t="n"/>
      <c r="F2765" s="207" t="n"/>
      <c r="G2765" s="207" t="n"/>
      <c r="H2765" s="208" t="n"/>
      <c r="I2765" s="208" t="n"/>
      <c r="J2765" s="214" t="n"/>
      <c r="K2765" s="208" t="n"/>
      <c r="L2765" s="424" t="n"/>
      <c r="M2765" s="961" t="n"/>
      <c r="N2765" s="214" t="n"/>
    </row>
    <row r="2766">
      <c r="A2766" s="207" t="n"/>
      <c r="B2766" s="209" t="n"/>
      <c r="C2766" s="207" t="n"/>
      <c r="D2766" s="963" t="n"/>
      <c r="E2766" s="214" t="n"/>
      <c r="F2766" s="207" t="n"/>
      <c r="G2766" s="207" t="n"/>
      <c r="H2766" s="208" t="n"/>
      <c r="I2766" s="208" t="n"/>
      <c r="J2766" s="214" t="n"/>
      <c r="K2766" s="208" t="n"/>
      <c r="L2766" s="424" t="n"/>
      <c r="M2766" s="961" t="n"/>
      <c r="N2766" s="214" t="n"/>
    </row>
    <row r="2767">
      <c r="A2767" s="207" t="n"/>
      <c r="B2767" s="209" t="n"/>
      <c r="C2767" s="207" t="n"/>
      <c r="D2767" s="963" t="n"/>
      <c r="E2767" s="214" t="n"/>
      <c r="F2767" s="207" t="n"/>
      <c r="G2767" s="207" t="n"/>
      <c r="H2767" s="208" t="n"/>
      <c r="I2767" s="208" t="n"/>
      <c r="J2767" s="214" t="n"/>
      <c r="K2767" s="208" t="n"/>
      <c r="L2767" s="424" t="n"/>
      <c r="M2767" s="961" t="n"/>
      <c r="N2767" s="214" t="n"/>
    </row>
    <row r="2768">
      <c r="A2768" s="207" t="n"/>
      <c r="B2768" s="209" t="n"/>
      <c r="C2768" s="207" t="n"/>
      <c r="D2768" s="963" t="n"/>
      <c r="E2768" s="214" t="n"/>
      <c r="F2768" s="207" t="n"/>
      <c r="G2768" s="207" t="n"/>
      <c r="H2768" s="208" t="n"/>
      <c r="I2768" s="208" t="n"/>
      <c r="J2768" s="214" t="n"/>
      <c r="K2768" s="208" t="n"/>
      <c r="L2768" s="424" t="n"/>
      <c r="M2768" s="961" t="n"/>
      <c r="N2768" s="214" t="n"/>
    </row>
    <row r="2769">
      <c r="A2769" s="207" t="n"/>
      <c r="B2769" s="209" t="n"/>
      <c r="C2769" s="207" t="n"/>
      <c r="D2769" s="963" t="n"/>
      <c r="E2769" s="214" t="n"/>
      <c r="F2769" s="207" t="n"/>
      <c r="G2769" s="207" t="n"/>
      <c r="H2769" s="208" t="n"/>
      <c r="I2769" s="208" t="n"/>
      <c r="J2769" s="214" t="n"/>
      <c r="K2769" s="208" t="n"/>
      <c r="L2769" s="424" t="n"/>
      <c r="M2769" s="961" t="n"/>
      <c r="N2769" s="214" t="n"/>
    </row>
    <row r="2770">
      <c r="A2770" s="207" t="n"/>
      <c r="B2770" s="209" t="n"/>
      <c r="C2770" s="207" t="n"/>
      <c r="D2770" s="963" t="n"/>
      <c r="E2770" s="214" t="n"/>
      <c r="F2770" s="207" t="n"/>
      <c r="G2770" s="207" t="n"/>
      <c r="H2770" s="208" t="n"/>
      <c r="I2770" s="208" t="n"/>
      <c r="J2770" s="214" t="n"/>
      <c r="K2770" s="208" t="n"/>
      <c r="L2770" s="424" t="n"/>
      <c r="M2770" s="961" t="n"/>
      <c r="N2770" s="214" t="n"/>
    </row>
    <row r="2771">
      <c r="A2771" s="207" t="n"/>
      <c r="B2771" s="209" t="n"/>
      <c r="C2771" s="207" t="n"/>
      <c r="D2771" s="963" t="n"/>
      <c r="E2771" s="214" t="n"/>
      <c r="F2771" s="207" t="n"/>
      <c r="G2771" s="207" t="n"/>
      <c r="H2771" s="208" t="n"/>
      <c r="I2771" s="208" t="n"/>
      <c r="J2771" s="214" t="n"/>
      <c r="K2771" s="208" t="n"/>
      <c r="L2771" s="424" t="n"/>
      <c r="M2771" s="961" t="n"/>
      <c r="N2771" s="214" t="n"/>
    </row>
    <row r="2772">
      <c r="A2772" s="207" t="n"/>
      <c r="B2772" s="209" t="n"/>
      <c r="C2772" s="207" t="n"/>
      <c r="D2772" s="963" t="n"/>
      <c r="E2772" s="214" t="n"/>
      <c r="F2772" s="207" t="n"/>
      <c r="G2772" s="207" t="n"/>
      <c r="H2772" s="208" t="n"/>
      <c r="I2772" s="208" t="n"/>
      <c r="J2772" s="214" t="n"/>
      <c r="K2772" s="208" t="n"/>
      <c r="L2772" s="424" t="n"/>
      <c r="M2772" s="961" t="n"/>
      <c r="N2772" s="214" t="n"/>
    </row>
    <row r="2773">
      <c r="A2773" s="207" t="n"/>
      <c r="B2773" s="209" t="n"/>
      <c r="C2773" s="207" t="n"/>
      <c r="D2773" s="963" t="n"/>
      <c r="E2773" s="214" t="n"/>
      <c r="F2773" s="207" t="n"/>
      <c r="G2773" s="207" t="n"/>
      <c r="H2773" s="208" t="n"/>
      <c r="I2773" s="208" t="n"/>
      <c r="J2773" s="214" t="n"/>
      <c r="K2773" s="208" t="n"/>
      <c r="L2773" s="424" t="n"/>
      <c r="M2773" s="961" t="n"/>
      <c r="N2773" s="214" t="n"/>
    </row>
    <row r="2774">
      <c r="A2774" s="207" t="n"/>
      <c r="B2774" s="209" t="n"/>
      <c r="C2774" s="207" t="n"/>
      <c r="D2774" s="963" t="n"/>
      <c r="E2774" s="214" t="n"/>
      <c r="F2774" s="207" t="n"/>
      <c r="G2774" s="207" t="n"/>
      <c r="H2774" s="208" t="n"/>
      <c r="I2774" s="208" t="n"/>
      <c r="J2774" s="214" t="n"/>
      <c r="K2774" s="208" t="n"/>
      <c r="L2774" s="424" t="n"/>
      <c r="M2774" s="961" t="n"/>
      <c r="N2774" s="214" t="n"/>
    </row>
    <row r="2775">
      <c r="A2775" s="207" t="n"/>
      <c r="B2775" s="209" t="n"/>
      <c r="C2775" s="207" t="n"/>
      <c r="D2775" s="963" t="n"/>
      <c r="E2775" s="214" t="n"/>
      <c r="F2775" s="207" t="n"/>
      <c r="G2775" s="207" t="n"/>
      <c r="H2775" s="208" t="n"/>
      <c r="I2775" s="208" t="n"/>
      <c r="J2775" s="214" t="n"/>
      <c r="K2775" s="208" t="n"/>
      <c r="L2775" s="424" t="n"/>
      <c r="M2775" s="961" t="n"/>
      <c r="N2775" s="214" t="n"/>
    </row>
    <row r="2776">
      <c r="A2776" s="207" t="n"/>
      <c r="B2776" s="209" t="n"/>
      <c r="C2776" s="207" t="n"/>
      <c r="D2776" s="963" t="n"/>
      <c r="E2776" s="214" t="n"/>
      <c r="F2776" s="207" t="n"/>
      <c r="G2776" s="207" t="n"/>
      <c r="H2776" s="208" t="n"/>
      <c r="I2776" s="208" t="n"/>
      <c r="J2776" s="214" t="n"/>
      <c r="K2776" s="208" t="n"/>
      <c r="L2776" s="424" t="n"/>
      <c r="M2776" s="961" t="n"/>
      <c r="N2776" s="214" t="n"/>
    </row>
    <row r="2777">
      <c r="A2777" s="207" t="n"/>
      <c r="B2777" s="209" t="n"/>
      <c r="C2777" s="207" t="n"/>
      <c r="D2777" s="963" t="n"/>
      <c r="E2777" s="214" t="n"/>
      <c r="F2777" s="207" t="n"/>
      <c r="G2777" s="207" t="n"/>
      <c r="H2777" s="208" t="n"/>
      <c r="I2777" s="208" t="n"/>
      <c r="J2777" s="214" t="n"/>
      <c r="K2777" s="208" t="n"/>
      <c r="L2777" s="424" t="n"/>
      <c r="M2777" s="961" t="n"/>
      <c r="N2777" s="214" t="n"/>
    </row>
    <row r="2778">
      <c r="A2778" s="207" t="n"/>
      <c r="B2778" s="209" t="n"/>
      <c r="C2778" s="207" t="n"/>
      <c r="D2778" s="963" t="n"/>
      <c r="E2778" s="214" t="n"/>
      <c r="F2778" s="207" t="n"/>
      <c r="G2778" s="207" t="n"/>
      <c r="H2778" s="208" t="n"/>
      <c r="I2778" s="208" t="n"/>
      <c r="J2778" s="214" t="n"/>
      <c r="K2778" s="208" t="n"/>
      <c r="L2778" s="424" t="n"/>
      <c r="M2778" s="961" t="n"/>
      <c r="N2778" s="214" t="n"/>
    </row>
    <row r="2779">
      <c r="A2779" s="207" t="n"/>
      <c r="B2779" s="209" t="n"/>
      <c r="C2779" s="207" t="n"/>
      <c r="D2779" s="963" t="n"/>
      <c r="E2779" s="214" t="n"/>
      <c r="F2779" s="207" t="n"/>
      <c r="G2779" s="207" t="n"/>
      <c r="H2779" s="208" t="n"/>
      <c r="I2779" s="208" t="n"/>
      <c r="J2779" s="214" t="n"/>
      <c r="K2779" s="208" t="n"/>
      <c r="L2779" s="424" t="n"/>
      <c r="M2779" s="961" t="n"/>
      <c r="N2779" s="214" t="n"/>
    </row>
    <row r="2780">
      <c r="A2780" s="207" t="n"/>
      <c r="B2780" s="209" t="n"/>
      <c r="C2780" s="207" t="n"/>
      <c r="D2780" s="963" t="n"/>
      <c r="E2780" s="214" t="n"/>
      <c r="F2780" s="207" t="n"/>
      <c r="G2780" s="207" t="n"/>
      <c r="H2780" s="208" t="n"/>
      <c r="I2780" s="208" t="n"/>
      <c r="J2780" s="214" t="n"/>
      <c r="K2780" s="208" t="n"/>
      <c r="L2780" s="424" t="n"/>
      <c r="M2780" s="961" t="n"/>
      <c r="N2780" s="214" t="n"/>
    </row>
    <row r="2781">
      <c r="A2781" s="207" t="n"/>
      <c r="B2781" s="209" t="n"/>
      <c r="C2781" s="207" t="n"/>
      <c r="D2781" s="963" t="n"/>
      <c r="E2781" s="214" t="n"/>
      <c r="F2781" s="207" t="n"/>
      <c r="G2781" s="207" t="n"/>
      <c r="H2781" s="208" t="n"/>
      <c r="I2781" s="208" t="n"/>
      <c r="J2781" s="214" t="n"/>
      <c r="K2781" s="208" t="n"/>
      <c r="L2781" s="424" t="n"/>
      <c r="M2781" s="961" t="n"/>
      <c r="N2781" s="214" t="n"/>
    </row>
    <row r="2782">
      <c r="A2782" s="207" t="n"/>
      <c r="B2782" s="209" t="n"/>
      <c r="C2782" s="207" t="n"/>
      <c r="D2782" s="963" t="n"/>
      <c r="E2782" s="214" t="n"/>
      <c r="F2782" s="207" t="n"/>
      <c r="G2782" s="207" t="n"/>
      <c r="H2782" s="208" t="n"/>
      <c r="I2782" s="208" t="n"/>
      <c r="J2782" s="214" t="n"/>
      <c r="K2782" s="208" t="n"/>
      <c r="L2782" s="424" t="n"/>
      <c r="M2782" s="961" t="n"/>
      <c r="N2782" s="214" t="n"/>
    </row>
    <row r="2783">
      <c r="A2783" s="207" t="n"/>
      <c r="B2783" s="209" t="n"/>
      <c r="C2783" s="207" t="n"/>
      <c r="D2783" s="963" t="n"/>
      <c r="E2783" s="214" t="n"/>
      <c r="F2783" s="207" t="n"/>
      <c r="G2783" s="207" t="n"/>
      <c r="H2783" s="208" t="n"/>
      <c r="I2783" s="208" t="n"/>
      <c r="J2783" s="214" t="n"/>
      <c r="K2783" s="208" t="n"/>
      <c r="L2783" s="424" t="n"/>
      <c r="M2783" s="961" t="n"/>
      <c r="N2783" s="214" t="n"/>
    </row>
    <row r="2784">
      <c r="A2784" s="207" t="n"/>
      <c r="B2784" s="209" t="n"/>
      <c r="C2784" s="207" t="n"/>
      <c r="D2784" s="963" t="n"/>
      <c r="E2784" s="214" t="n"/>
      <c r="F2784" s="207" t="n"/>
      <c r="G2784" s="207" t="n"/>
      <c r="H2784" s="209" t="n"/>
      <c r="I2784" s="209" t="n"/>
      <c r="J2784" s="214" t="n"/>
      <c r="K2784" s="209" t="n"/>
      <c r="L2784" s="425" t="n"/>
      <c r="M2784" s="961" t="n"/>
      <c r="N2784" s="214" t="n"/>
    </row>
    <row r="2785">
      <c r="A2785" s="207" t="n"/>
      <c r="B2785" s="209" t="n"/>
      <c r="C2785" s="207" t="n"/>
      <c r="D2785" s="963" t="n"/>
      <c r="E2785" s="214" t="n"/>
      <c r="F2785" s="207" t="n"/>
      <c r="G2785" s="207" t="n"/>
      <c r="H2785" s="209" t="n"/>
      <c r="I2785" s="209" t="n"/>
      <c r="J2785" s="214" t="n"/>
      <c r="K2785" s="209" t="n"/>
      <c r="L2785" s="425" t="n"/>
      <c r="M2785" s="961" t="n"/>
      <c r="N2785" s="214" t="n"/>
    </row>
    <row r="2786">
      <c r="A2786" s="207" t="n"/>
      <c r="B2786" s="209" t="n"/>
      <c r="C2786" s="207" t="n"/>
      <c r="D2786" s="963" t="n"/>
      <c r="E2786" s="214" t="n"/>
      <c r="F2786" s="207" t="n"/>
      <c r="G2786" s="207" t="n"/>
      <c r="H2786" s="209" t="n"/>
      <c r="I2786" s="209" t="n"/>
      <c r="J2786" s="214" t="n"/>
      <c r="K2786" s="209" t="n"/>
      <c r="L2786" s="425" t="n"/>
      <c r="M2786" s="961" t="n"/>
      <c r="N2786" s="214" t="n"/>
    </row>
    <row r="2787">
      <c r="A2787" s="207" t="n"/>
      <c r="B2787" s="209" t="n"/>
      <c r="C2787" s="207" t="n"/>
      <c r="D2787" s="963" t="n"/>
      <c r="E2787" s="214" t="n"/>
      <c r="F2787" s="207" t="n"/>
      <c r="G2787" s="207" t="n"/>
      <c r="H2787" s="209" t="n"/>
      <c r="I2787" s="209" t="n"/>
      <c r="J2787" s="214" t="n"/>
      <c r="K2787" s="209" t="n"/>
      <c r="L2787" s="425" t="n"/>
      <c r="M2787" s="961" t="n"/>
      <c r="N2787" s="214" t="n"/>
    </row>
    <row r="2788">
      <c r="A2788" s="207" t="n"/>
      <c r="B2788" s="209" t="n"/>
      <c r="C2788" s="207" t="n"/>
      <c r="D2788" s="963" t="n"/>
      <c r="E2788" s="214" t="n"/>
      <c r="F2788" s="207" t="n"/>
      <c r="G2788" s="207" t="n"/>
      <c r="H2788" s="208" t="n"/>
      <c r="I2788" s="208" t="n"/>
      <c r="J2788" s="214" t="n"/>
      <c r="K2788" s="208" t="n"/>
      <c r="L2788" s="424" t="n"/>
      <c r="M2788" s="961" t="n"/>
      <c r="N2788" s="214" t="n"/>
    </row>
    <row r="2789">
      <c r="A2789" s="209" t="n"/>
      <c r="B2789" s="209" t="n"/>
      <c r="C2789" s="209" t="n"/>
      <c r="D2789" s="960" t="n"/>
      <c r="E2789" s="215" t="n"/>
      <c r="F2789" s="209" t="n"/>
      <c r="G2789" s="209" t="n"/>
      <c r="H2789" s="209" t="n"/>
      <c r="I2789" s="209" t="n"/>
      <c r="J2789" s="215" t="n"/>
      <c r="K2789" s="209" t="n"/>
      <c r="L2789" s="425" t="n"/>
      <c r="M2789" s="962" t="n"/>
      <c r="N2789" s="215" t="n"/>
    </row>
    <row r="2790">
      <c r="A2790" s="207" t="n"/>
      <c r="B2790" s="209" t="n"/>
      <c r="C2790" s="207" t="n"/>
      <c r="D2790" s="963" t="n"/>
      <c r="E2790" s="214" t="n"/>
      <c r="F2790" s="207" t="n"/>
      <c r="G2790" s="207" t="n"/>
      <c r="H2790" s="208" t="n"/>
      <c r="I2790" s="208" t="n"/>
      <c r="J2790" s="214" t="n"/>
      <c r="K2790" s="208" t="n"/>
      <c r="L2790" s="424" t="n"/>
      <c r="M2790" s="961" t="n"/>
      <c r="N2790" s="214" t="n"/>
    </row>
    <row r="2791">
      <c r="A2791" s="207" t="n"/>
      <c r="B2791" s="209" t="n"/>
      <c r="C2791" s="207" t="n"/>
      <c r="D2791" s="963" t="n"/>
      <c r="E2791" s="214" t="n"/>
      <c r="F2791" s="207" t="n"/>
      <c r="G2791" s="207" t="n"/>
      <c r="H2791" s="208" t="n"/>
      <c r="I2791" s="208" t="n"/>
      <c r="J2791" s="214" t="n"/>
      <c r="K2791" s="208" t="n"/>
      <c r="L2791" s="424" t="n"/>
      <c r="M2791" s="961" t="n"/>
      <c r="N2791" s="214" t="n"/>
    </row>
    <row r="2792">
      <c r="A2792" s="207" t="n"/>
      <c r="B2792" s="209" t="n"/>
      <c r="C2792" s="207" t="n"/>
      <c r="D2792" s="963" t="n"/>
      <c r="E2792" s="214" t="n"/>
      <c r="F2792" s="207" t="n"/>
      <c r="G2792" s="207" t="n"/>
      <c r="H2792" s="208" t="n"/>
      <c r="I2792" s="208" t="n"/>
      <c r="J2792" s="214" t="n"/>
      <c r="K2792" s="208" t="n"/>
      <c r="L2792" s="424" t="n"/>
      <c r="M2792" s="961" t="n"/>
      <c r="N2792" s="214" t="n"/>
    </row>
    <row r="2793">
      <c r="A2793" s="207" t="n"/>
      <c r="B2793" s="209" t="n"/>
      <c r="C2793" s="207" t="n"/>
      <c r="D2793" s="963" t="n"/>
      <c r="E2793" s="214" t="n"/>
      <c r="F2793" s="207" t="n"/>
      <c r="G2793" s="207" t="n"/>
      <c r="H2793" s="208" t="n"/>
      <c r="I2793" s="208" t="n"/>
      <c r="J2793" s="214" t="n"/>
      <c r="K2793" s="208" t="n"/>
      <c r="L2793" s="424" t="n"/>
      <c r="M2793" s="961" t="n"/>
      <c r="N2793" s="214" t="n"/>
    </row>
    <row r="2794">
      <c r="A2794" s="207" t="n"/>
      <c r="B2794" s="209" t="n"/>
      <c r="C2794" s="207" t="n"/>
      <c r="D2794" s="963" t="n"/>
      <c r="E2794" s="214" t="n"/>
      <c r="F2794" s="207" t="n"/>
      <c r="G2794" s="207" t="n"/>
      <c r="H2794" s="208" t="n"/>
      <c r="I2794" s="208" t="n"/>
      <c r="J2794" s="214" t="n"/>
      <c r="K2794" s="208" t="n"/>
      <c r="L2794" s="424" t="n"/>
      <c r="M2794" s="961" t="n"/>
      <c r="N2794" s="214" t="n"/>
    </row>
    <row r="2795">
      <c r="A2795" s="209" t="n"/>
      <c r="B2795" s="209" t="n"/>
      <c r="C2795" s="209" t="n"/>
      <c r="D2795" s="960" t="n"/>
      <c r="E2795" s="215" t="n"/>
      <c r="F2795" s="209" t="n"/>
      <c r="G2795" s="209" t="n"/>
      <c r="H2795" s="209" t="n"/>
      <c r="I2795" s="209" t="n"/>
      <c r="J2795" s="215" t="n"/>
      <c r="K2795" s="209" t="n"/>
      <c r="L2795" s="425" t="n"/>
      <c r="M2795" s="962" t="n"/>
      <c r="N2795" s="215" t="n"/>
    </row>
    <row r="2796">
      <c r="A2796" s="207" t="n"/>
      <c r="B2796" s="209" t="n"/>
      <c r="C2796" s="207" t="n"/>
      <c r="D2796" s="963" t="n"/>
      <c r="E2796" s="214" t="n"/>
      <c r="F2796" s="207" t="n"/>
      <c r="G2796" s="207" t="n"/>
      <c r="H2796" s="209" t="n"/>
      <c r="I2796" s="209" t="n"/>
      <c r="J2796" s="214" t="n"/>
      <c r="K2796" s="209" t="n"/>
      <c r="L2796" s="425" t="n"/>
      <c r="M2796" s="961" t="n"/>
      <c r="N2796" s="214" t="n"/>
    </row>
    <row r="2797">
      <c r="A2797" s="207" t="n"/>
      <c r="B2797" s="209" t="n"/>
      <c r="C2797" s="207" t="n"/>
      <c r="D2797" s="963" t="n"/>
      <c r="E2797" s="214" t="n"/>
      <c r="F2797" s="207" t="n"/>
      <c r="G2797" s="207" t="n"/>
      <c r="H2797" s="208" t="n"/>
      <c r="I2797" s="208" t="n"/>
      <c r="J2797" s="214" t="n"/>
      <c r="K2797" s="208" t="n"/>
      <c r="L2797" s="424" t="n"/>
      <c r="M2797" s="961" t="n"/>
      <c r="N2797" s="214" t="n"/>
    </row>
    <row r="2798">
      <c r="A2798" s="207" t="n"/>
      <c r="B2798" s="209" t="n"/>
      <c r="C2798" s="207" t="n"/>
      <c r="D2798" s="963" t="n"/>
      <c r="E2798" s="214" t="n"/>
      <c r="F2798" s="207" t="n"/>
      <c r="G2798" s="207" t="n"/>
      <c r="H2798" s="208" t="n"/>
      <c r="I2798" s="208" t="n"/>
      <c r="J2798" s="214" t="n"/>
      <c r="K2798" s="208" t="n"/>
      <c r="L2798" s="424" t="n"/>
      <c r="M2798" s="961" t="n"/>
      <c r="N2798" s="214" t="n"/>
    </row>
    <row r="2799">
      <c r="A2799" s="207" t="n"/>
      <c r="B2799" s="209" t="n"/>
      <c r="C2799" s="207" t="n"/>
      <c r="D2799" s="963" t="n"/>
      <c r="E2799" s="214" t="n"/>
      <c r="F2799" s="207" t="n"/>
      <c r="G2799" s="207" t="n"/>
      <c r="H2799" s="208" t="n"/>
      <c r="I2799" s="208" t="n"/>
      <c r="J2799" s="214" t="n"/>
      <c r="K2799" s="208" t="n"/>
      <c r="L2799" s="424" t="n"/>
      <c r="M2799" s="961" t="n"/>
      <c r="N2799" s="214" t="n"/>
    </row>
    <row r="2800">
      <c r="A2800" s="207" t="n"/>
      <c r="B2800" s="209" t="n"/>
      <c r="C2800" s="207" t="n"/>
      <c r="D2800" s="963" t="n"/>
      <c r="E2800" s="214" t="n"/>
      <c r="F2800" s="207" t="n"/>
      <c r="G2800" s="208" t="n"/>
      <c r="H2800" s="208" t="n"/>
      <c r="I2800" s="208" t="n"/>
      <c r="J2800" s="214" t="n"/>
      <c r="K2800" s="208" t="n"/>
      <c r="L2800" s="424" t="n"/>
      <c r="M2800" s="961" t="n"/>
      <c r="N2800" s="214" t="n"/>
    </row>
    <row r="2801">
      <c r="A2801" s="207" t="n"/>
      <c r="B2801" s="209" t="n"/>
      <c r="C2801" s="207" t="n"/>
      <c r="D2801" s="963" t="n"/>
      <c r="E2801" s="214" t="n"/>
      <c r="F2801" s="207" t="n"/>
      <c r="G2801" s="208" t="n"/>
      <c r="H2801" s="208" t="n"/>
      <c r="I2801" s="208" t="n"/>
      <c r="J2801" s="214" t="n"/>
      <c r="K2801" s="208" t="n"/>
      <c r="L2801" s="424" t="n"/>
      <c r="M2801" s="961" t="n"/>
      <c r="N2801" s="214" t="n"/>
    </row>
    <row r="2802">
      <c r="A2802" s="207" t="n"/>
      <c r="B2802" s="209" t="n"/>
      <c r="C2802" s="207" t="n"/>
      <c r="D2802" s="963" t="n"/>
      <c r="E2802" s="214" t="n"/>
      <c r="F2802" s="207" t="n"/>
      <c r="G2802" s="208" t="n"/>
      <c r="H2802" s="208" t="n"/>
      <c r="I2802" s="208" t="n"/>
      <c r="J2802" s="214" t="n"/>
      <c r="K2802" s="208" t="n"/>
      <c r="L2802" s="424" t="n"/>
      <c r="M2802" s="961" t="n"/>
      <c r="N2802" s="214" t="n"/>
    </row>
    <row r="2803">
      <c r="A2803" s="207" t="n"/>
      <c r="B2803" s="209" t="n"/>
      <c r="C2803" s="207" t="n"/>
      <c r="D2803" s="963" t="n"/>
      <c r="E2803" s="214" t="n"/>
      <c r="F2803" s="207" t="n"/>
      <c r="G2803" s="208" t="n"/>
      <c r="H2803" s="208" t="n"/>
      <c r="I2803" s="208" t="n"/>
      <c r="J2803" s="214" t="n"/>
      <c r="K2803" s="208" t="n"/>
      <c r="L2803" s="424" t="n"/>
      <c r="M2803" s="961" t="n"/>
      <c r="N2803" s="214" t="n"/>
    </row>
    <row r="2804">
      <c r="A2804" s="207" t="n"/>
      <c r="B2804" s="209" t="n"/>
      <c r="C2804" s="207" t="n"/>
      <c r="D2804" s="963" t="n"/>
      <c r="E2804" s="214" t="n"/>
      <c r="F2804" s="207" t="n"/>
      <c r="G2804" s="208" t="n"/>
      <c r="H2804" s="208" t="n"/>
      <c r="I2804" s="208" t="n"/>
      <c r="J2804" s="214" t="n"/>
      <c r="K2804" s="208" t="n"/>
      <c r="L2804" s="424" t="n"/>
      <c r="M2804" s="961" t="n"/>
      <c r="N2804" s="214" t="n"/>
    </row>
    <row r="2805">
      <c r="A2805" s="209" t="n"/>
      <c r="B2805" s="209" t="n"/>
      <c r="C2805" s="209" t="n"/>
      <c r="D2805" s="960" t="n"/>
      <c r="E2805" s="215" t="n"/>
      <c r="F2805" s="209" t="n"/>
      <c r="G2805" s="209" t="n"/>
      <c r="H2805" s="209" t="n"/>
      <c r="I2805" s="209" t="n"/>
      <c r="J2805" s="215" t="n"/>
      <c r="K2805" s="209" t="n"/>
      <c r="L2805" s="425" t="n"/>
      <c r="M2805" s="962" t="n"/>
      <c r="N2805" s="215" t="n"/>
    </row>
    <row r="2806">
      <c r="A2806" s="207" t="n"/>
      <c r="B2806" s="209" t="n"/>
      <c r="C2806" s="207" t="n"/>
      <c r="D2806" s="963" t="n"/>
      <c r="E2806" s="214" t="n"/>
      <c r="F2806" s="207" t="n"/>
      <c r="G2806" s="209" t="n"/>
      <c r="H2806" s="209" t="n"/>
      <c r="I2806" s="209" t="n"/>
      <c r="J2806" s="214" t="n"/>
      <c r="K2806" s="209" t="n"/>
      <c r="L2806" s="425" t="n"/>
      <c r="M2806" s="961" t="n"/>
      <c r="N2806" s="214" t="n"/>
    </row>
    <row r="2807">
      <c r="A2807" s="209" t="n"/>
      <c r="B2807" s="209" t="n"/>
      <c r="C2807" s="209" t="n"/>
      <c r="D2807" s="960" t="n"/>
      <c r="E2807" s="215" t="n"/>
      <c r="F2807" s="209" t="n"/>
      <c r="G2807" s="209" t="n"/>
      <c r="H2807" s="209" t="n"/>
      <c r="I2807" s="209" t="n"/>
      <c r="J2807" s="215" t="n"/>
      <c r="K2807" s="209" t="n"/>
      <c r="L2807" s="425" t="n"/>
      <c r="M2807" s="962" t="n"/>
      <c r="N2807" s="215" t="n"/>
    </row>
    <row r="2808">
      <c r="A2808" s="207" t="n"/>
      <c r="B2808" s="209" t="n"/>
      <c r="C2808" s="207" t="n"/>
      <c r="D2808" s="963" t="n"/>
      <c r="E2808" s="214" t="n"/>
      <c r="F2808" s="207" t="n"/>
      <c r="G2808" s="208" t="n"/>
      <c r="H2808" s="208" t="n"/>
      <c r="I2808" s="208" t="n"/>
      <c r="J2808" s="214" t="n"/>
      <c r="K2808" s="208" t="n"/>
      <c r="L2808" s="424" t="n"/>
      <c r="M2808" s="961" t="n"/>
      <c r="N2808" s="214" t="n"/>
    </row>
    <row r="2809">
      <c r="A2809" s="209" t="n"/>
      <c r="B2809" s="209" t="n"/>
      <c r="C2809" s="209" t="n"/>
      <c r="D2809" s="960" t="n"/>
      <c r="E2809" s="215" t="n"/>
      <c r="F2809" s="209" t="n"/>
      <c r="G2809" s="209" t="n"/>
      <c r="H2809" s="209" t="n"/>
      <c r="I2809" s="209" t="n"/>
      <c r="J2809" s="215" t="n"/>
      <c r="K2809" s="209" t="n"/>
      <c r="L2809" s="425" t="n"/>
      <c r="M2809" s="962" t="n"/>
      <c r="N2809" s="215" t="n"/>
    </row>
    <row r="2810">
      <c r="A2810" s="207" t="n"/>
      <c r="B2810" s="209" t="n"/>
      <c r="C2810" s="207" t="n"/>
      <c r="D2810" s="963" t="n"/>
      <c r="E2810" s="214" t="n"/>
      <c r="F2810" s="207" t="n"/>
      <c r="G2810" s="208" t="n"/>
      <c r="H2810" s="208" t="n"/>
      <c r="I2810" s="208" t="n"/>
      <c r="J2810" s="214" t="n"/>
      <c r="K2810" s="208" t="n"/>
      <c r="L2810" s="424" t="n"/>
      <c r="M2810" s="961" t="n"/>
      <c r="N2810" s="214" t="n"/>
    </row>
    <row r="2811">
      <c r="A2811" s="209" t="n"/>
      <c r="B2811" s="209" t="n"/>
      <c r="C2811" s="209" t="n"/>
      <c r="D2811" s="960" t="n"/>
      <c r="E2811" s="215" t="n"/>
      <c r="F2811" s="209" t="n"/>
      <c r="G2811" s="209" t="n"/>
      <c r="H2811" s="209" t="n"/>
      <c r="I2811" s="209" t="n"/>
      <c r="J2811" s="215" t="n"/>
      <c r="K2811" s="209" t="n"/>
      <c r="L2811" s="425" t="n"/>
      <c r="M2811" s="962" t="n"/>
      <c r="N2811" s="215" t="n"/>
    </row>
    <row r="2812">
      <c r="A2812" s="207" t="n"/>
      <c r="B2812" s="209" t="n"/>
      <c r="C2812" s="207" t="n"/>
      <c r="D2812" s="963" t="n"/>
      <c r="E2812" s="214" t="n"/>
      <c r="F2812" s="207" t="n"/>
      <c r="G2812" s="208" t="n"/>
      <c r="H2812" s="208" t="n"/>
      <c r="I2812" s="208" t="n"/>
      <c r="J2812" s="214" t="n"/>
      <c r="K2812" s="208" t="n"/>
      <c r="L2812" s="424" t="n"/>
      <c r="M2812" s="961" t="n"/>
      <c r="N2812" s="214" t="n"/>
    </row>
    <row r="2813">
      <c r="A2813" s="209" t="n"/>
      <c r="B2813" s="209" t="n"/>
      <c r="C2813" s="209" t="n"/>
      <c r="D2813" s="960" t="n"/>
      <c r="E2813" s="215" t="n"/>
      <c r="F2813" s="209" t="n"/>
      <c r="G2813" s="209" t="n"/>
      <c r="H2813" s="209" t="n"/>
      <c r="I2813" s="209" t="n"/>
      <c r="J2813" s="215" t="n"/>
      <c r="K2813" s="209" t="n"/>
      <c r="L2813" s="425" t="n"/>
      <c r="M2813" s="962" t="n"/>
      <c r="N2813" s="215" t="n"/>
    </row>
    <row r="2814">
      <c r="A2814" s="207" t="n"/>
      <c r="B2814" s="209" t="n"/>
      <c r="C2814" s="207" t="n"/>
      <c r="D2814" s="963" t="n"/>
      <c r="E2814" s="214" t="n"/>
      <c r="F2814" s="207" t="n"/>
      <c r="G2814" s="208" t="n"/>
      <c r="H2814" s="208" t="n"/>
      <c r="I2814" s="208" t="n"/>
      <c r="J2814" s="214" t="n"/>
      <c r="K2814" s="208" t="n"/>
      <c r="L2814" s="424" t="n"/>
      <c r="M2814" s="961" t="n"/>
      <c r="N2814" s="214" t="n"/>
    </row>
    <row r="2815">
      <c r="A2815" s="209" t="n"/>
      <c r="B2815" s="209" t="n"/>
      <c r="C2815" s="209" t="n"/>
      <c r="D2815" s="960" t="n"/>
      <c r="E2815" s="215" t="n"/>
      <c r="F2815" s="209" t="n"/>
      <c r="G2815" s="209" t="n"/>
      <c r="H2815" s="209" t="n"/>
      <c r="I2815" s="209" t="n"/>
      <c r="J2815" s="215" t="n"/>
      <c r="K2815" s="209" t="n"/>
      <c r="L2815" s="425" t="n"/>
      <c r="M2815" s="962" t="n"/>
      <c r="N2815" s="215" t="n"/>
    </row>
    <row r="2816">
      <c r="A2816" s="207" t="n"/>
      <c r="B2816" s="209" t="n"/>
      <c r="C2816" s="207" t="n"/>
      <c r="D2816" s="963" t="n"/>
      <c r="E2816" s="214" t="n"/>
      <c r="F2816" s="207" t="n"/>
      <c r="G2816" s="209" t="n"/>
      <c r="H2816" s="209" t="n"/>
      <c r="I2816" s="209" t="n"/>
      <c r="J2816" s="214" t="n"/>
      <c r="K2816" s="209" t="n"/>
      <c r="L2816" s="425" t="n"/>
      <c r="M2816" s="961" t="n"/>
      <c r="N2816" s="214" t="n"/>
    </row>
    <row r="2817">
      <c r="A2817" s="207" t="n"/>
      <c r="B2817" s="209" t="n"/>
      <c r="C2817" s="207" t="n"/>
      <c r="D2817" s="963" t="n"/>
      <c r="E2817" s="214" t="n"/>
      <c r="F2817" s="207" t="n"/>
      <c r="G2817" s="209" t="n"/>
      <c r="H2817" s="209" t="n"/>
      <c r="I2817" s="209" t="n"/>
      <c r="J2817" s="214" t="n"/>
      <c r="K2817" s="209" t="n"/>
      <c r="L2817" s="425" t="n"/>
      <c r="M2817" s="961" t="n"/>
      <c r="N2817" s="214" t="n"/>
    </row>
    <row r="2818">
      <c r="A2818" s="207" t="n"/>
      <c r="B2818" s="209" t="n"/>
      <c r="C2818" s="207" t="n"/>
      <c r="D2818" s="963" t="n"/>
      <c r="E2818" s="214" t="n"/>
      <c r="F2818" s="207" t="n"/>
      <c r="G2818" s="209" t="n"/>
      <c r="H2818" s="209" t="n"/>
      <c r="I2818" s="209" t="n"/>
      <c r="J2818" s="214" t="n"/>
      <c r="K2818" s="209" t="n"/>
      <c r="L2818" s="425" t="n"/>
      <c r="M2818" s="961" t="n"/>
      <c r="N2818" s="214" t="n"/>
    </row>
    <row r="2819">
      <c r="A2819" s="207" t="n"/>
      <c r="B2819" s="209" t="n"/>
      <c r="C2819" s="207" t="n"/>
      <c r="D2819" s="963" t="n"/>
      <c r="E2819" s="214" t="n"/>
      <c r="F2819" s="207" t="n"/>
      <c r="G2819" s="209" t="n"/>
      <c r="H2819" s="209" t="n"/>
      <c r="I2819" s="209" t="n"/>
      <c r="J2819" s="214" t="n"/>
      <c r="K2819" s="209" t="n"/>
      <c r="L2819" s="425" t="n"/>
      <c r="M2819" s="961" t="n"/>
      <c r="N2819" s="214" t="n"/>
    </row>
    <row r="2820">
      <c r="A2820" s="207" t="n"/>
      <c r="B2820" s="209" t="n"/>
      <c r="C2820" s="207" t="n"/>
      <c r="D2820" s="963" t="n"/>
      <c r="E2820" s="214" t="n"/>
      <c r="F2820" s="207" t="n"/>
      <c r="G2820" s="209" t="n"/>
      <c r="H2820" s="209" t="n"/>
      <c r="I2820" s="209" t="n"/>
      <c r="J2820" s="214" t="n"/>
      <c r="K2820" s="209" t="n"/>
      <c r="L2820" s="425" t="n"/>
      <c r="M2820" s="961" t="n"/>
      <c r="N2820" s="214" t="n"/>
    </row>
    <row r="2821">
      <c r="A2821" s="207" t="n"/>
      <c r="B2821" s="209" t="n"/>
      <c r="C2821" s="207" t="n"/>
      <c r="D2821" s="963" t="n"/>
      <c r="E2821" s="214" t="n"/>
      <c r="F2821" s="207" t="n"/>
      <c r="G2821" s="209" t="n"/>
      <c r="H2821" s="209" t="n"/>
      <c r="I2821" s="209" t="n"/>
      <c r="J2821" s="214" t="n"/>
      <c r="K2821" s="209" t="n"/>
      <c r="L2821" s="425" t="n"/>
      <c r="M2821" s="961" t="n"/>
      <c r="N2821" s="214" t="n"/>
    </row>
    <row r="2822">
      <c r="A2822" s="207" t="n"/>
      <c r="B2822" s="209" t="n"/>
      <c r="C2822" s="207" t="n"/>
      <c r="D2822" s="963" t="n"/>
      <c r="E2822" s="214" t="n"/>
      <c r="F2822" s="207" t="n"/>
      <c r="G2822" s="208" t="n"/>
      <c r="H2822" s="208" t="n"/>
      <c r="I2822" s="208" t="n"/>
      <c r="J2822" s="214" t="n"/>
      <c r="K2822" s="208" t="n"/>
      <c r="L2822" s="424" t="n"/>
      <c r="M2822" s="961" t="n"/>
      <c r="N2822" s="214" t="n"/>
    </row>
    <row r="2823">
      <c r="A2823" s="207" t="n"/>
      <c r="B2823" s="209" t="n"/>
      <c r="C2823" s="207" t="n"/>
      <c r="D2823" s="963" t="n"/>
      <c r="E2823" s="214" t="n"/>
      <c r="F2823" s="207" t="n"/>
      <c r="G2823" s="209" t="n"/>
      <c r="H2823" s="209" t="n"/>
      <c r="I2823" s="209" t="n"/>
      <c r="J2823" s="214" t="n"/>
      <c r="K2823" s="209" t="n"/>
      <c r="L2823" s="425" t="n"/>
      <c r="M2823" s="961" t="n"/>
      <c r="N2823" s="214" t="n"/>
    </row>
    <row r="2824">
      <c r="A2824" s="207" t="n"/>
      <c r="B2824" s="209" t="n"/>
      <c r="C2824" s="207" t="n"/>
      <c r="D2824" s="963" t="n"/>
      <c r="E2824" s="214" t="n"/>
      <c r="F2824" s="207" t="n"/>
      <c r="G2824" s="208" t="n"/>
      <c r="H2824" s="208" t="n"/>
      <c r="I2824" s="208" t="n"/>
      <c r="J2824" s="214" t="n"/>
      <c r="K2824" s="208" t="n"/>
      <c r="L2824" s="424" t="n"/>
      <c r="M2824" s="961" t="n"/>
      <c r="N2824" s="214" t="n"/>
    </row>
    <row r="2825">
      <c r="A2825" s="207" t="n"/>
      <c r="B2825" s="209" t="n"/>
      <c r="C2825" s="207" t="n"/>
      <c r="D2825" s="963" t="n"/>
      <c r="E2825" s="214" t="n"/>
      <c r="F2825" s="207" t="n"/>
      <c r="G2825" s="209" t="n"/>
      <c r="H2825" s="209" t="n"/>
      <c r="I2825" s="209" t="n"/>
      <c r="J2825" s="214" t="n"/>
      <c r="K2825" s="209" t="n"/>
      <c r="L2825" s="425" t="n"/>
      <c r="M2825" s="961" t="n"/>
      <c r="N2825" s="214" t="n"/>
    </row>
    <row r="2826">
      <c r="A2826" s="207" t="n"/>
      <c r="B2826" s="209" t="n"/>
      <c r="C2826" s="207" t="n"/>
      <c r="D2826" s="963" t="n"/>
      <c r="E2826" s="214" t="n"/>
      <c r="F2826" s="207" t="n"/>
      <c r="G2826" s="208" t="n"/>
      <c r="H2826" s="208" t="n"/>
      <c r="I2826" s="208" t="n"/>
      <c r="J2826" s="214" t="n"/>
      <c r="K2826" s="208" t="n"/>
      <c r="L2826" s="424" t="n"/>
      <c r="M2826" s="961" t="n"/>
      <c r="N2826" s="214" t="n"/>
    </row>
    <row r="2827">
      <c r="A2827" s="207" t="n"/>
      <c r="B2827" s="209" t="n"/>
      <c r="C2827" s="207" t="n"/>
      <c r="D2827" s="963" t="n"/>
      <c r="E2827" s="214" t="n"/>
      <c r="F2827" s="207" t="n"/>
      <c r="G2827" s="209" t="n"/>
      <c r="H2827" s="209" t="n"/>
      <c r="I2827" s="209" t="n"/>
      <c r="J2827" s="214" t="n"/>
      <c r="K2827" s="209" t="n"/>
      <c r="L2827" s="425" t="n"/>
      <c r="M2827" s="961" t="n"/>
      <c r="N2827" s="214" t="n"/>
    </row>
    <row r="2828">
      <c r="A2828" s="207" t="n"/>
      <c r="B2828" s="209" t="n"/>
      <c r="C2828" s="207" t="n"/>
      <c r="D2828" s="963" t="n"/>
      <c r="E2828" s="214" t="n"/>
      <c r="F2828" s="207" t="n"/>
      <c r="G2828" s="209" t="n"/>
      <c r="H2828" s="209" t="n"/>
      <c r="I2828" s="209" t="n"/>
      <c r="J2828" s="214" t="n"/>
      <c r="K2828" s="209" t="n"/>
      <c r="L2828" s="425" t="n"/>
      <c r="M2828" s="961" t="n"/>
      <c r="N2828" s="214" t="n"/>
    </row>
    <row r="2829">
      <c r="A2829" s="207" t="n"/>
      <c r="B2829" s="209" t="n"/>
      <c r="C2829" s="207" t="n"/>
      <c r="D2829" s="963" t="n"/>
      <c r="E2829" s="214" t="n"/>
      <c r="F2829" s="207" t="n"/>
      <c r="G2829" s="209" t="n"/>
      <c r="H2829" s="209" t="n"/>
      <c r="I2829" s="209" t="n"/>
      <c r="J2829" s="214" t="n"/>
      <c r="K2829" s="209" t="n"/>
      <c r="L2829" s="425" t="n"/>
      <c r="M2829" s="961" t="n"/>
      <c r="N2829" s="214" t="n"/>
    </row>
    <row r="2830">
      <c r="A2830" s="207" t="n"/>
      <c r="B2830" s="209" t="n"/>
      <c r="C2830" s="207" t="n"/>
      <c r="D2830" s="963" t="n"/>
      <c r="E2830" s="214" t="n"/>
      <c r="F2830" s="207" t="n"/>
      <c r="G2830" s="209" t="n"/>
      <c r="H2830" s="209" t="n"/>
      <c r="I2830" s="209" t="n"/>
      <c r="J2830" s="214" t="n"/>
      <c r="K2830" s="209" t="n"/>
      <c r="L2830" s="425" t="n"/>
      <c r="M2830" s="961" t="n"/>
      <c r="N2830" s="214" t="n"/>
    </row>
    <row r="2831">
      <c r="A2831" s="207" t="n"/>
      <c r="B2831" s="209" t="n"/>
      <c r="C2831" s="207" t="n"/>
      <c r="D2831" s="963" t="n"/>
      <c r="E2831" s="214" t="n"/>
      <c r="F2831" s="207" t="n"/>
      <c r="G2831" s="209" t="n"/>
      <c r="H2831" s="209" t="n"/>
      <c r="I2831" s="209" t="n"/>
      <c r="J2831" s="214" t="n"/>
      <c r="K2831" s="209" t="n"/>
      <c r="L2831" s="425" t="n"/>
      <c r="M2831" s="961" t="n"/>
      <c r="N2831" s="214" t="n"/>
    </row>
    <row r="2832">
      <c r="A2832" s="207" t="n"/>
      <c r="B2832" s="209" t="n"/>
      <c r="C2832" s="207" t="n"/>
      <c r="D2832" s="963" t="n"/>
      <c r="E2832" s="214" t="n"/>
      <c r="F2832" s="207" t="n"/>
      <c r="G2832" s="209" t="n"/>
      <c r="H2832" s="209" t="n"/>
      <c r="I2832" s="209" t="n"/>
      <c r="J2832" s="214" t="n"/>
      <c r="K2832" s="209" t="n"/>
      <c r="L2832" s="425" t="n"/>
      <c r="M2832" s="961" t="n"/>
      <c r="N2832" s="214" t="n"/>
    </row>
    <row r="2833">
      <c r="A2833" s="207" t="n"/>
      <c r="B2833" s="209" t="n"/>
      <c r="C2833" s="207" t="n"/>
      <c r="D2833" s="963" t="n"/>
      <c r="E2833" s="214" t="n"/>
      <c r="F2833" s="207" t="n"/>
      <c r="G2833" s="209" t="n"/>
      <c r="H2833" s="209" t="n"/>
      <c r="I2833" s="209" t="n"/>
      <c r="J2833" s="214" t="n"/>
      <c r="K2833" s="209" t="n"/>
      <c r="L2833" s="425" t="n"/>
      <c r="M2833" s="961" t="n"/>
      <c r="N2833" s="214" t="n"/>
    </row>
    <row r="2834">
      <c r="A2834" s="207" t="n"/>
      <c r="B2834" s="209" t="n"/>
      <c r="C2834" s="207" t="n"/>
      <c r="D2834" s="963" t="n"/>
      <c r="E2834" s="214" t="n"/>
      <c r="F2834" s="207" t="n"/>
      <c r="G2834" s="209" t="n"/>
      <c r="H2834" s="209" t="n"/>
      <c r="I2834" s="209" t="n"/>
      <c r="J2834" s="214" t="n"/>
      <c r="K2834" s="209" t="n"/>
      <c r="L2834" s="425" t="n"/>
      <c r="M2834" s="961" t="n"/>
      <c r="N2834" s="214" t="n"/>
    </row>
    <row r="2835">
      <c r="A2835" s="207" t="n"/>
      <c r="B2835" s="209" t="n"/>
      <c r="C2835" s="207" t="n"/>
      <c r="D2835" s="963" t="n"/>
      <c r="E2835" s="214" t="n"/>
      <c r="F2835" s="207" t="n"/>
      <c r="G2835" s="209" t="n"/>
      <c r="H2835" s="209" t="n"/>
      <c r="I2835" s="209" t="n"/>
      <c r="J2835" s="214" t="n"/>
      <c r="K2835" s="209" t="n"/>
      <c r="L2835" s="425" t="n"/>
      <c r="M2835" s="961" t="n"/>
      <c r="N2835" s="214" t="n"/>
    </row>
    <row r="2836">
      <c r="A2836" s="207" t="n"/>
      <c r="B2836" s="209" t="n"/>
      <c r="C2836" s="207" t="n"/>
      <c r="D2836" s="963" t="n"/>
      <c r="E2836" s="214" t="n"/>
      <c r="F2836" s="207" t="n"/>
      <c r="G2836" s="209" t="n"/>
      <c r="H2836" s="209" t="n"/>
      <c r="I2836" s="209" t="n"/>
      <c r="J2836" s="214" t="n"/>
      <c r="K2836" s="209" t="n"/>
      <c r="L2836" s="425" t="n"/>
      <c r="M2836" s="961" t="n"/>
      <c r="N2836" s="214" t="n"/>
    </row>
    <row r="2837">
      <c r="A2837" s="207" t="n"/>
      <c r="B2837" s="209" t="n"/>
      <c r="C2837" s="207" t="n"/>
      <c r="D2837" s="963" t="n"/>
      <c r="E2837" s="214" t="n"/>
      <c r="F2837" s="207" t="n"/>
      <c r="G2837" s="209" t="n"/>
      <c r="H2837" s="209" t="n"/>
      <c r="I2837" s="209" t="n"/>
      <c r="J2837" s="214" t="n"/>
      <c r="K2837" s="209" t="n"/>
      <c r="L2837" s="425" t="n"/>
      <c r="M2837" s="961" t="n"/>
      <c r="N2837" s="214" t="n"/>
    </row>
    <row r="2838">
      <c r="A2838" s="207" t="n"/>
      <c r="B2838" s="209" t="n"/>
      <c r="C2838" s="207" t="n"/>
      <c r="D2838" s="963" t="n"/>
      <c r="E2838" s="214" t="n"/>
      <c r="F2838" s="207" t="n"/>
      <c r="G2838" s="208" t="n"/>
      <c r="H2838" s="208" t="n"/>
      <c r="I2838" s="208" t="n"/>
      <c r="J2838" s="214" t="n"/>
      <c r="K2838" s="208" t="n"/>
      <c r="L2838" s="424" t="n"/>
      <c r="M2838" s="961" t="n"/>
      <c r="N2838" s="214" t="n"/>
    </row>
    <row r="2839">
      <c r="A2839" s="207" t="n"/>
      <c r="B2839" s="209" t="n"/>
      <c r="C2839" s="207" t="n"/>
      <c r="D2839" s="963" t="n"/>
      <c r="E2839" s="214" t="n"/>
      <c r="F2839" s="207" t="n"/>
      <c r="G2839" s="208" t="n"/>
      <c r="H2839" s="208" t="n"/>
      <c r="I2839" s="208" t="n"/>
      <c r="J2839" s="214" t="n"/>
      <c r="K2839" s="208" t="n"/>
      <c r="L2839" s="424" t="n"/>
      <c r="M2839" s="961" t="n"/>
      <c r="N2839" s="214" t="n"/>
    </row>
    <row r="2840">
      <c r="A2840" s="207" t="n"/>
      <c r="B2840" s="209" t="n"/>
      <c r="C2840" s="207" t="n"/>
      <c r="D2840" s="963" t="n"/>
      <c r="E2840" s="214" t="n"/>
      <c r="F2840" s="207" t="n"/>
      <c r="G2840" s="209" t="n"/>
      <c r="H2840" s="209" t="n"/>
      <c r="I2840" s="209" t="n"/>
      <c r="J2840" s="214" t="n"/>
      <c r="K2840" s="209" t="n"/>
      <c r="L2840" s="425" t="n"/>
      <c r="M2840" s="961" t="n"/>
      <c r="N2840" s="214" t="n"/>
    </row>
    <row r="2841">
      <c r="A2841" s="207" t="n"/>
      <c r="B2841" s="209" t="n"/>
      <c r="C2841" s="207" t="n"/>
      <c r="D2841" s="963" t="n"/>
      <c r="E2841" s="214" t="n"/>
      <c r="F2841" s="207" t="n"/>
      <c r="G2841" s="208" t="n"/>
      <c r="H2841" s="208" t="n"/>
      <c r="I2841" s="208" t="n"/>
      <c r="J2841" s="214" t="n"/>
      <c r="K2841" s="208" t="n"/>
      <c r="L2841" s="424" t="n"/>
      <c r="M2841" s="961" t="n"/>
      <c r="N2841" s="214" t="n"/>
    </row>
    <row r="2842">
      <c r="A2842" s="207" t="n"/>
      <c r="B2842" s="209" t="n"/>
      <c r="C2842" s="207" t="n"/>
      <c r="D2842" s="963" t="n"/>
      <c r="E2842" s="214" t="n"/>
      <c r="F2842" s="207" t="n"/>
      <c r="G2842" s="208" t="n"/>
      <c r="H2842" s="208" t="n"/>
      <c r="I2842" s="208" t="n"/>
      <c r="J2842" s="214" t="n"/>
      <c r="K2842" s="208" t="n"/>
      <c r="L2842" s="424" t="n"/>
      <c r="M2842" s="961" t="n"/>
      <c r="N2842" s="214" t="n"/>
    </row>
    <row r="2843">
      <c r="A2843" s="207" t="n"/>
      <c r="B2843" s="209" t="n"/>
      <c r="C2843" s="207" t="n"/>
      <c r="D2843" s="963" t="n"/>
      <c r="E2843" s="214" t="n"/>
      <c r="F2843" s="207" t="n"/>
      <c r="G2843" s="208" t="n"/>
      <c r="H2843" s="208" t="n"/>
      <c r="I2843" s="208" t="n"/>
      <c r="J2843" s="214" t="n"/>
      <c r="K2843" s="208" t="n"/>
      <c r="L2843" s="424" t="n"/>
      <c r="M2843" s="961" t="n"/>
      <c r="N2843" s="214" t="n"/>
    </row>
    <row r="2844">
      <c r="A2844" s="207" t="n"/>
      <c r="B2844" s="209" t="n"/>
      <c r="C2844" s="207" t="n"/>
      <c r="D2844" s="963" t="n"/>
      <c r="E2844" s="214" t="n"/>
      <c r="F2844" s="207" t="n"/>
      <c r="G2844" s="209" t="n"/>
      <c r="H2844" s="209" t="n"/>
      <c r="I2844" s="209" t="n"/>
      <c r="J2844" s="214" t="n"/>
      <c r="K2844" s="209" t="n"/>
      <c r="L2844" s="425" t="n"/>
      <c r="M2844" s="961" t="n"/>
      <c r="N2844" s="214" t="n"/>
    </row>
    <row r="2845">
      <c r="A2845" s="207" t="n"/>
      <c r="B2845" s="209" t="n"/>
      <c r="C2845" s="207" t="n"/>
      <c r="D2845" s="963" t="n"/>
      <c r="E2845" s="214" t="n"/>
      <c r="F2845" s="207" t="n"/>
      <c r="G2845" s="209" t="n"/>
      <c r="H2845" s="209" t="n"/>
      <c r="I2845" s="209" t="n"/>
      <c r="J2845" s="214" t="n"/>
      <c r="K2845" s="209" t="n"/>
      <c r="L2845" s="425" t="n"/>
      <c r="M2845" s="961" t="n"/>
      <c r="N2845" s="214" t="n"/>
    </row>
    <row r="2846">
      <c r="A2846" s="207" t="n"/>
      <c r="B2846" s="209" t="n"/>
      <c r="C2846" s="207" t="n"/>
      <c r="D2846" s="963" t="n"/>
      <c r="E2846" s="214" t="n"/>
      <c r="F2846" s="207" t="n"/>
      <c r="G2846" s="208" t="n"/>
      <c r="H2846" s="208" t="n"/>
      <c r="I2846" s="208" t="n"/>
      <c r="J2846" s="214" t="n"/>
      <c r="K2846" s="208" t="n"/>
      <c r="L2846" s="424" t="n"/>
      <c r="M2846" s="961" t="n"/>
      <c r="N2846" s="214" t="n"/>
    </row>
    <row r="2847">
      <c r="A2847" s="207" t="n"/>
      <c r="B2847" s="209" t="n"/>
      <c r="C2847" s="207" t="n"/>
      <c r="D2847" s="963" t="n"/>
      <c r="E2847" s="214" t="n"/>
      <c r="F2847" s="207" t="n"/>
      <c r="G2847" s="208" t="n"/>
      <c r="H2847" s="208" t="n"/>
      <c r="I2847" s="208" t="n"/>
      <c r="J2847" s="214" t="n"/>
      <c r="K2847" s="208" t="n"/>
      <c r="L2847" s="424" t="n"/>
      <c r="M2847" s="961" t="n"/>
      <c r="N2847" s="214" t="n"/>
    </row>
    <row r="2848">
      <c r="A2848" s="207" t="n"/>
      <c r="B2848" s="209" t="n"/>
      <c r="C2848" s="207" t="n"/>
      <c r="D2848" s="963" t="n"/>
      <c r="E2848" s="214" t="n"/>
      <c r="F2848" s="207" t="n"/>
      <c r="G2848" s="208" t="n"/>
      <c r="H2848" s="208" t="n"/>
      <c r="I2848" s="208" t="n"/>
      <c r="J2848" s="214" t="n"/>
      <c r="K2848" s="208" t="n"/>
      <c r="L2848" s="424" t="n"/>
      <c r="M2848" s="961" t="n"/>
      <c r="N2848" s="214" t="n"/>
    </row>
    <row r="2849">
      <c r="A2849" s="207" t="n"/>
      <c r="B2849" s="209" t="n"/>
      <c r="C2849" s="207" t="n"/>
      <c r="D2849" s="963" t="n"/>
      <c r="E2849" s="214" t="n"/>
      <c r="F2849" s="207" t="n"/>
      <c r="G2849" s="208" t="n"/>
      <c r="H2849" s="208" t="n"/>
      <c r="I2849" s="208" t="n"/>
      <c r="J2849" s="214" t="n"/>
      <c r="K2849" s="208" t="n"/>
      <c r="L2849" s="424" t="n"/>
      <c r="M2849" s="961" t="n"/>
      <c r="N2849" s="214" t="n"/>
    </row>
    <row r="2850">
      <c r="A2850" s="207" t="n"/>
      <c r="B2850" s="209" t="n"/>
      <c r="C2850" s="207" t="n"/>
      <c r="D2850" s="963" t="n"/>
      <c r="E2850" s="214" t="n"/>
      <c r="F2850" s="207" t="n"/>
      <c r="G2850" s="208" t="n"/>
      <c r="H2850" s="208" t="n"/>
      <c r="I2850" s="208" t="n"/>
      <c r="J2850" s="214" t="n"/>
      <c r="K2850" s="208" t="n"/>
      <c r="L2850" s="424" t="n"/>
      <c r="M2850" s="961" t="n"/>
      <c r="N2850" s="214" t="n"/>
    </row>
    <row r="2851">
      <c r="A2851" s="207" t="n"/>
      <c r="B2851" s="209" t="n"/>
      <c r="C2851" s="207" t="n"/>
      <c r="D2851" s="963" t="n"/>
      <c r="E2851" s="214" t="n"/>
      <c r="F2851" s="207" t="n"/>
      <c r="G2851" s="208" t="n"/>
      <c r="H2851" s="208" t="n"/>
      <c r="I2851" s="208" t="n"/>
      <c r="J2851" s="214" t="n"/>
      <c r="K2851" s="208" t="n"/>
      <c r="L2851" s="424" t="n"/>
      <c r="M2851" s="961" t="n"/>
      <c r="N2851" s="214" t="n"/>
    </row>
    <row r="2852">
      <c r="A2852" s="207" t="n"/>
      <c r="B2852" s="209" t="n"/>
      <c r="C2852" s="207" t="n"/>
      <c r="D2852" s="963" t="n"/>
      <c r="E2852" s="214" t="n"/>
      <c r="F2852" s="207" t="n"/>
      <c r="G2852" s="208" t="n"/>
      <c r="H2852" s="208" t="n"/>
      <c r="I2852" s="208" t="n"/>
      <c r="J2852" s="214" t="n"/>
      <c r="K2852" s="208" t="n"/>
      <c r="L2852" s="424" t="n"/>
      <c r="M2852" s="961" t="n"/>
      <c r="N2852" s="214" t="n"/>
    </row>
    <row r="2853">
      <c r="A2853" s="207" t="n"/>
      <c r="B2853" s="209" t="n"/>
      <c r="C2853" s="207" t="n"/>
      <c r="D2853" s="963" t="n"/>
      <c r="E2853" s="214" t="n"/>
      <c r="F2853" s="207" t="n"/>
      <c r="G2853" s="208" t="n"/>
      <c r="H2853" s="208" t="n"/>
      <c r="I2853" s="208" t="n"/>
      <c r="J2853" s="214" t="n"/>
      <c r="K2853" s="208" t="n"/>
      <c r="L2853" s="424" t="n"/>
      <c r="M2853" s="961" t="n"/>
      <c r="N2853" s="214" t="n"/>
    </row>
    <row r="2854">
      <c r="A2854" s="207" t="n"/>
      <c r="B2854" s="209" t="n"/>
      <c r="C2854" s="207" t="n"/>
      <c r="D2854" s="963" t="n"/>
      <c r="E2854" s="214" t="n"/>
      <c r="F2854" s="207" t="n"/>
      <c r="G2854" s="208" t="n"/>
      <c r="H2854" s="208" t="n"/>
      <c r="I2854" s="208" t="n"/>
      <c r="J2854" s="214" t="n"/>
      <c r="K2854" s="208" t="n"/>
      <c r="L2854" s="424" t="n"/>
      <c r="M2854" s="961" t="n"/>
      <c r="N2854" s="214" t="n"/>
    </row>
    <row r="2855">
      <c r="A2855" s="207" t="n"/>
      <c r="B2855" s="209" t="n"/>
      <c r="C2855" s="207" t="n"/>
      <c r="D2855" s="963" t="n"/>
      <c r="E2855" s="214" t="n"/>
      <c r="F2855" s="207" t="n"/>
      <c r="G2855" s="208" t="n"/>
      <c r="H2855" s="208" t="n"/>
      <c r="I2855" s="208" t="n"/>
      <c r="J2855" s="214" t="n"/>
      <c r="K2855" s="208" t="n"/>
      <c r="L2855" s="424" t="n"/>
      <c r="M2855" s="961" t="n"/>
      <c r="N2855" s="214" t="n"/>
    </row>
    <row r="2856">
      <c r="A2856" s="207" t="n"/>
      <c r="B2856" s="209" t="n"/>
      <c r="C2856" s="207" t="n"/>
      <c r="D2856" s="963" t="n"/>
      <c r="E2856" s="214" t="n"/>
      <c r="F2856" s="207" t="n"/>
      <c r="G2856" s="208" t="n"/>
      <c r="H2856" s="208" t="n"/>
      <c r="I2856" s="208" t="n"/>
      <c r="J2856" s="214" t="n"/>
      <c r="K2856" s="208" t="n"/>
      <c r="L2856" s="424" t="n"/>
      <c r="M2856" s="961" t="n"/>
      <c r="N2856" s="214" t="n"/>
    </row>
    <row r="2857">
      <c r="A2857" s="207" t="n"/>
      <c r="B2857" s="209" t="n"/>
      <c r="C2857" s="207" t="n"/>
      <c r="D2857" s="963" t="n"/>
      <c r="E2857" s="214" t="n"/>
      <c r="F2857" s="207" t="n"/>
      <c r="G2857" s="208" t="n"/>
      <c r="H2857" s="208" t="n"/>
      <c r="I2857" s="208" t="n"/>
      <c r="J2857" s="214" t="n"/>
      <c r="K2857" s="208" t="n"/>
      <c r="L2857" s="424" t="n"/>
      <c r="M2857" s="961" t="n"/>
      <c r="N2857" s="214" t="n"/>
    </row>
    <row r="2858">
      <c r="A2858" s="207" t="n"/>
      <c r="B2858" s="209" t="n"/>
      <c r="C2858" s="207" t="n"/>
      <c r="D2858" s="963" t="n"/>
      <c r="E2858" s="214" t="n"/>
      <c r="F2858" s="207" t="n"/>
      <c r="G2858" s="208" t="n"/>
      <c r="H2858" s="208" t="n"/>
      <c r="I2858" s="208" t="n"/>
      <c r="J2858" s="214" t="n"/>
      <c r="K2858" s="208" t="n"/>
      <c r="L2858" s="424" t="n"/>
      <c r="M2858" s="961" t="n"/>
      <c r="N2858" s="214" t="n"/>
    </row>
    <row r="2859">
      <c r="A2859" s="207" t="n"/>
      <c r="B2859" s="209" t="n"/>
      <c r="C2859" s="207" t="n"/>
      <c r="D2859" s="963" t="n"/>
      <c r="E2859" s="214" t="n"/>
      <c r="F2859" s="207" t="n"/>
      <c r="G2859" s="208" t="n"/>
      <c r="H2859" s="208" t="n"/>
      <c r="I2859" s="208" t="n"/>
      <c r="J2859" s="214" t="n"/>
      <c r="K2859" s="208" t="n"/>
      <c r="L2859" s="424" t="n"/>
      <c r="M2859" s="961" t="n"/>
      <c r="N2859" s="214" t="n"/>
    </row>
    <row r="2860">
      <c r="A2860" s="207" t="n"/>
      <c r="B2860" s="209" t="n"/>
      <c r="C2860" s="207" t="n"/>
      <c r="D2860" s="963" t="n"/>
      <c r="E2860" s="214" t="n"/>
      <c r="F2860" s="207" t="n"/>
      <c r="G2860" s="208" t="n"/>
      <c r="H2860" s="208" t="n"/>
      <c r="I2860" s="208" t="n"/>
      <c r="J2860" s="214" t="n"/>
      <c r="K2860" s="208" t="n"/>
      <c r="L2860" s="424" t="n"/>
      <c r="M2860" s="961" t="n"/>
      <c r="N2860" s="214" t="n"/>
    </row>
    <row r="2861">
      <c r="A2861" s="207" t="n"/>
      <c r="B2861" s="209" t="n"/>
      <c r="C2861" s="207" t="n"/>
      <c r="D2861" s="963" t="n"/>
      <c r="E2861" s="214" t="n"/>
      <c r="F2861" s="207" t="n"/>
      <c r="G2861" s="208" t="n"/>
      <c r="H2861" s="208" t="n"/>
      <c r="I2861" s="208" t="n"/>
      <c r="J2861" s="214" t="n"/>
      <c r="K2861" s="208" t="n"/>
      <c r="L2861" s="424" t="n"/>
      <c r="M2861" s="961" t="n"/>
      <c r="N2861" s="214" t="n"/>
    </row>
    <row r="2862">
      <c r="A2862" s="207" t="n"/>
      <c r="B2862" s="209" t="n"/>
      <c r="C2862" s="207" t="n"/>
      <c r="D2862" s="963" t="n"/>
      <c r="E2862" s="214" t="n"/>
      <c r="F2862" s="207" t="n"/>
      <c r="G2862" s="208" t="n"/>
      <c r="H2862" s="208" t="n"/>
      <c r="I2862" s="208" t="n"/>
      <c r="J2862" s="214" t="n"/>
      <c r="K2862" s="208" t="n"/>
      <c r="L2862" s="424" t="n"/>
      <c r="M2862" s="961" t="n"/>
      <c r="N2862" s="214" t="n"/>
    </row>
    <row r="2863">
      <c r="A2863" s="207" t="n"/>
      <c r="B2863" s="209" t="n"/>
      <c r="C2863" s="207" t="n"/>
      <c r="D2863" s="963" t="n"/>
      <c r="E2863" s="214" t="n"/>
      <c r="F2863" s="207" t="n"/>
      <c r="G2863" s="208" t="n"/>
      <c r="H2863" s="208" t="n"/>
      <c r="I2863" s="208" t="n"/>
      <c r="J2863" s="214" t="n"/>
      <c r="K2863" s="208" t="n"/>
      <c r="L2863" s="424" t="n"/>
      <c r="M2863" s="961" t="n"/>
      <c r="N2863" s="214" t="n"/>
    </row>
    <row r="2864">
      <c r="A2864" s="207" t="n"/>
      <c r="B2864" s="209" t="n"/>
      <c r="C2864" s="207" t="n"/>
      <c r="D2864" s="963" t="n"/>
      <c r="E2864" s="214" t="n"/>
      <c r="F2864" s="207" t="n"/>
      <c r="G2864" s="208" t="n"/>
      <c r="H2864" s="208" t="n"/>
      <c r="I2864" s="208" t="n"/>
      <c r="J2864" s="214" t="n"/>
      <c r="K2864" s="208" t="n"/>
      <c r="L2864" s="424" t="n"/>
      <c r="M2864" s="961" t="n"/>
      <c r="N2864" s="214" t="n"/>
    </row>
    <row r="2865">
      <c r="A2865" s="207" t="n"/>
      <c r="B2865" s="209" t="n"/>
      <c r="C2865" s="207" t="n"/>
      <c r="D2865" s="963" t="n"/>
      <c r="E2865" s="214" t="n"/>
      <c r="F2865" s="207" t="n"/>
      <c r="G2865" s="208" t="n"/>
      <c r="H2865" s="208" t="n"/>
      <c r="I2865" s="208" t="n"/>
      <c r="J2865" s="214" t="n"/>
      <c r="K2865" s="208" t="n"/>
      <c r="L2865" s="424" t="n"/>
      <c r="M2865" s="961" t="n"/>
      <c r="N2865" s="214" t="n"/>
    </row>
    <row r="2866">
      <c r="A2866" s="207" t="n"/>
      <c r="B2866" s="209" t="n"/>
      <c r="C2866" s="207" t="n"/>
      <c r="D2866" s="963" t="n"/>
      <c r="E2866" s="214" t="n"/>
      <c r="F2866" s="207" t="n"/>
      <c r="G2866" s="208" t="n"/>
      <c r="H2866" s="208" t="n"/>
      <c r="I2866" s="208" t="n"/>
      <c r="J2866" s="214" t="n"/>
      <c r="K2866" s="208" t="n"/>
      <c r="L2866" s="424" t="n"/>
      <c r="M2866" s="961" t="n"/>
      <c r="N2866" s="214" t="n"/>
    </row>
    <row r="2867">
      <c r="A2867" s="207" t="n"/>
      <c r="B2867" s="209" t="n"/>
      <c r="C2867" s="207" t="n"/>
      <c r="D2867" s="963" t="n"/>
      <c r="E2867" s="214" t="n"/>
      <c r="F2867" s="207" t="n"/>
      <c r="G2867" s="208" t="n"/>
      <c r="H2867" s="208" t="n"/>
      <c r="I2867" s="208" t="n"/>
      <c r="J2867" s="214" t="n"/>
      <c r="K2867" s="208" t="n"/>
      <c r="L2867" s="424" t="n"/>
      <c r="M2867" s="961" t="n"/>
      <c r="N2867" s="214" t="n"/>
    </row>
    <row r="2868">
      <c r="A2868" s="207" t="n"/>
      <c r="B2868" s="209" t="n"/>
      <c r="C2868" s="207" t="n"/>
      <c r="D2868" s="963" t="n"/>
      <c r="E2868" s="214" t="n"/>
      <c r="F2868" s="207" t="n"/>
      <c r="G2868" s="208" t="n"/>
      <c r="H2868" s="208" t="n"/>
      <c r="I2868" s="208" t="n"/>
      <c r="J2868" s="214" t="n"/>
      <c r="K2868" s="208" t="n"/>
      <c r="L2868" s="424" t="n"/>
      <c r="M2868" s="961" t="n"/>
      <c r="N2868" s="214" t="n"/>
    </row>
    <row r="2869">
      <c r="A2869" s="207" t="n"/>
      <c r="B2869" s="209" t="n"/>
      <c r="C2869" s="207" t="n"/>
      <c r="D2869" s="963" t="n"/>
      <c r="E2869" s="214" t="n"/>
      <c r="F2869" s="207" t="n"/>
      <c r="G2869" s="208" t="n"/>
      <c r="H2869" s="208" t="n"/>
      <c r="I2869" s="208" t="n"/>
      <c r="J2869" s="214" t="n"/>
      <c r="K2869" s="208" t="n"/>
      <c r="L2869" s="424" t="n"/>
      <c r="M2869" s="961" t="n"/>
      <c r="N2869" s="214" t="n"/>
    </row>
    <row r="2870">
      <c r="A2870" s="207" t="n"/>
      <c r="B2870" s="209" t="n"/>
      <c r="C2870" s="207" t="n"/>
      <c r="D2870" s="963" t="n"/>
      <c r="E2870" s="214" t="n"/>
      <c r="F2870" s="207" t="n"/>
      <c r="G2870" s="208" t="n"/>
      <c r="H2870" s="208" t="n"/>
      <c r="I2870" s="208" t="n"/>
      <c r="J2870" s="214" t="n"/>
      <c r="K2870" s="208" t="n"/>
      <c r="L2870" s="424" t="n"/>
      <c r="M2870" s="961" t="n"/>
      <c r="N2870" s="214" t="n"/>
    </row>
    <row r="2871">
      <c r="A2871" s="207" t="n"/>
      <c r="B2871" s="209" t="n"/>
      <c r="C2871" s="207" t="n"/>
      <c r="D2871" s="963" t="n"/>
      <c r="E2871" s="214" t="n"/>
      <c r="F2871" s="207" t="n"/>
      <c r="G2871" s="208" t="n"/>
      <c r="H2871" s="208" t="n"/>
      <c r="I2871" s="208" t="n"/>
      <c r="J2871" s="214" t="n"/>
      <c r="K2871" s="208" t="n"/>
      <c r="L2871" s="424" t="n"/>
      <c r="M2871" s="961" t="n"/>
      <c r="N2871" s="214" t="n"/>
    </row>
    <row r="2872">
      <c r="A2872" s="207" t="n"/>
      <c r="B2872" s="209" t="n"/>
      <c r="C2872" s="207" t="n"/>
      <c r="D2872" s="963" t="n"/>
      <c r="E2872" s="214" t="n"/>
      <c r="F2872" s="207" t="n"/>
      <c r="G2872" s="208" t="n"/>
      <c r="H2872" s="208" t="n"/>
      <c r="I2872" s="208" t="n"/>
      <c r="J2872" s="214" t="n"/>
      <c r="K2872" s="208" t="n"/>
      <c r="L2872" s="424" t="n"/>
      <c r="M2872" s="961" t="n"/>
      <c r="N2872" s="214" t="n"/>
    </row>
    <row r="2873">
      <c r="A2873" s="207" t="n"/>
      <c r="B2873" s="209" t="n"/>
      <c r="C2873" s="207" t="n"/>
      <c r="D2873" s="963" t="n"/>
      <c r="E2873" s="214" t="n"/>
      <c r="F2873" s="207" t="n"/>
      <c r="G2873" s="208" t="n"/>
      <c r="H2873" s="208" t="n"/>
      <c r="I2873" s="208" t="n"/>
      <c r="J2873" s="214" t="n"/>
      <c r="K2873" s="208" t="n"/>
      <c r="L2873" s="424" t="n"/>
      <c r="M2873" s="961" t="n"/>
      <c r="N2873" s="214" t="n"/>
    </row>
    <row r="2874">
      <c r="A2874" s="207" t="n"/>
      <c r="B2874" s="209" t="n"/>
      <c r="C2874" s="207" t="n"/>
      <c r="D2874" s="963" t="n"/>
      <c r="E2874" s="214" t="n"/>
      <c r="F2874" s="207" t="n"/>
      <c r="G2874" s="208" t="n"/>
      <c r="H2874" s="208" t="n"/>
      <c r="I2874" s="208" t="n"/>
      <c r="J2874" s="214" t="n"/>
      <c r="K2874" s="208" t="n"/>
      <c r="L2874" s="424" t="n"/>
      <c r="M2874" s="961" t="n"/>
      <c r="N2874" s="214" t="n"/>
    </row>
    <row r="2875">
      <c r="A2875" s="207" t="n"/>
      <c r="B2875" s="209" t="n"/>
      <c r="C2875" s="207" t="n"/>
      <c r="D2875" s="963" t="n"/>
      <c r="E2875" s="214" t="n"/>
      <c r="F2875" s="207" t="n"/>
      <c r="G2875" s="208" t="n"/>
      <c r="H2875" s="208" t="n"/>
      <c r="I2875" s="208" t="n"/>
      <c r="J2875" s="214" t="n"/>
      <c r="K2875" s="208" t="n"/>
      <c r="L2875" s="424" t="n"/>
      <c r="M2875" s="961" t="n"/>
      <c r="N2875" s="214" t="n"/>
    </row>
    <row r="2876">
      <c r="A2876" s="207" t="n"/>
      <c r="B2876" s="209" t="n"/>
      <c r="C2876" s="207" t="n"/>
      <c r="D2876" s="963" t="n"/>
      <c r="E2876" s="214" t="n"/>
      <c r="F2876" s="207" t="n"/>
      <c r="G2876" s="208" t="n"/>
      <c r="H2876" s="208" t="n"/>
      <c r="I2876" s="208" t="n"/>
      <c r="J2876" s="214" t="n"/>
      <c r="K2876" s="208" t="n"/>
      <c r="L2876" s="424" t="n"/>
      <c r="M2876" s="961" t="n"/>
      <c r="N2876" s="214" t="n"/>
    </row>
    <row r="2877">
      <c r="A2877" s="207" t="n"/>
      <c r="B2877" s="209" t="n"/>
      <c r="C2877" s="207" t="n"/>
      <c r="D2877" s="963" t="n"/>
      <c r="E2877" s="214" t="n"/>
      <c r="F2877" s="207" t="n"/>
      <c r="G2877" s="208" t="n"/>
      <c r="H2877" s="208" t="n"/>
      <c r="I2877" s="208" t="n"/>
      <c r="J2877" s="214" t="n"/>
      <c r="K2877" s="208" t="n"/>
      <c r="L2877" s="424" t="n"/>
      <c r="M2877" s="961" t="n"/>
      <c r="N2877" s="214" t="n"/>
    </row>
    <row r="2878">
      <c r="A2878" s="207" t="n"/>
      <c r="B2878" s="209" t="n"/>
      <c r="C2878" s="207" t="n"/>
      <c r="D2878" s="963" t="n"/>
      <c r="E2878" s="214" t="n"/>
      <c r="F2878" s="207" t="n"/>
      <c r="G2878" s="208" t="n"/>
      <c r="H2878" s="208" t="n"/>
      <c r="I2878" s="208" t="n"/>
      <c r="J2878" s="214" t="n"/>
      <c r="K2878" s="208" t="n"/>
      <c r="L2878" s="424" t="n"/>
      <c r="M2878" s="961" t="n"/>
      <c r="N2878" s="214" t="n"/>
    </row>
    <row r="2879">
      <c r="A2879" s="207" t="n"/>
      <c r="B2879" s="209" t="n"/>
      <c r="C2879" s="207" t="n"/>
      <c r="D2879" s="963" t="n"/>
      <c r="E2879" s="214" t="n"/>
      <c r="F2879" s="207" t="n"/>
      <c r="G2879" s="208" t="n"/>
      <c r="H2879" s="208" t="n"/>
      <c r="I2879" s="208" t="n"/>
      <c r="J2879" s="214" t="n"/>
      <c r="K2879" s="208" t="n"/>
      <c r="L2879" s="424" t="n"/>
      <c r="M2879" s="961" t="n"/>
      <c r="N2879" s="214" t="n"/>
    </row>
    <row r="2880">
      <c r="A2880" s="207" t="n"/>
      <c r="B2880" s="209" t="n"/>
      <c r="C2880" s="207" t="n"/>
      <c r="D2880" s="963" t="n"/>
      <c r="E2880" s="214" t="n"/>
      <c r="F2880" s="207" t="n"/>
      <c r="G2880" s="208" t="n"/>
      <c r="H2880" s="208" t="n"/>
      <c r="I2880" s="208" t="n"/>
      <c r="J2880" s="214" t="n"/>
      <c r="K2880" s="208" t="n"/>
      <c r="L2880" s="424" t="n"/>
      <c r="M2880" s="961" t="n"/>
      <c r="N2880" s="214" t="n"/>
    </row>
    <row r="2881">
      <c r="A2881" s="207" t="n"/>
      <c r="B2881" s="209" t="n"/>
      <c r="C2881" s="207" t="n"/>
      <c r="D2881" s="963" t="n"/>
      <c r="E2881" s="214" t="n"/>
      <c r="F2881" s="207" t="n"/>
      <c r="G2881" s="208" t="n"/>
      <c r="H2881" s="208" t="n"/>
      <c r="I2881" s="208" t="n"/>
      <c r="J2881" s="214" t="n"/>
      <c r="K2881" s="208" t="n"/>
      <c r="L2881" s="424" t="n"/>
      <c r="M2881" s="961" t="n"/>
      <c r="N2881" s="214" t="n"/>
    </row>
    <row r="2882">
      <c r="A2882" s="207" t="n"/>
      <c r="B2882" s="209" t="n"/>
      <c r="C2882" s="207" t="n"/>
      <c r="D2882" s="963" t="n"/>
      <c r="E2882" s="214" t="n"/>
      <c r="F2882" s="207" t="n"/>
      <c r="G2882" s="208" t="n"/>
      <c r="H2882" s="208" t="n"/>
      <c r="I2882" s="208" t="n"/>
      <c r="J2882" s="214" t="n"/>
      <c r="K2882" s="208" t="n"/>
      <c r="L2882" s="424" t="n"/>
      <c r="M2882" s="961" t="n"/>
      <c r="N2882" s="214" t="n"/>
    </row>
    <row r="2883">
      <c r="A2883" s="207" t="n"/>
      <c r="B2883" s="209" t="n"/>
      <c r="C2883" s="207" t="n"/>
      <c r="D2883" s="963" t="n"/>
      <c r="E2883" s="214" t="n"/>
      <c r="F2883" s="207" t="n"/>
      <c r="G2883" s="208" t="n"/>
      <c r="H2883" s="208" t="n"/>
      <c r="I2883" s="208" t="n"/>
      <c r="J2883" s="214" t="n"/>
      <c r="K2883" s="208" t="n"/>
      <c r="L2883" s="424" t="n"/>
      <c r="M2883" s="961" t="n"/>
      <c r="N2883" s="214" t="n"/>
    </row>
    <row r="2884">
      <c r="A2884" s="207" t="n"/>
      <c r="B2884" s="209" t="n"/>
      <c r="C2884" s="207" t="n"/>
      <c r="D2884" s="963" t="n"/>
      <c r="E2884" s="214" t="n"/>
      <c r="F2884" s="207" t="n"/>
      <c r="G2884" s="208" t="n"/>
      <c r="H2884" s="208" t="n"/>
      <c r="I2884" s="208" t="n"/>
      <c r="J2884" s="214" t="n"/>
      <c r="K2884" s="208" t="n"/>
      <c r="L2884" s="424" t="n"/>
      <c r="M2884" s="961" t="n"/>
      <c r="N2884" s="214" t="n"/>
    </row>
    <row r="2885">
      <c r="A2885" s="207" t="n"/>
      <c r="B2885" s="209" t="n"/>
      <c r="C2885" s="207" t="n"/>
      <c r="D2885" s="963" t="n"/>
      <c r="E2885" s="214" t="n"/>
      <c r="F2885" s="207" t="n"/>
      <c r="G2885" s="208" t="n"/>
      <c r="H2885" s="208" t="n"/>
      <c r="I2885" s="208" t="n"/>
      <c r="J2885" s="214" t="n"/>
      <c r="K2885" s="208" t="n"/>
      <c r="L2885" s="424" t="n"/>
      <c r="M2885" s="961" t="n"/>
      <c r="N2885" s="214" t="n"/>
    </row>
    <row r="2886">
      <c r="A2886" s="207" t="n"/>
      <c r="B2886" s="209" t="n"/>
      <c r="C2886" s="207" t="n"/>
      <c r="D2886" s="963" t="n"/>
      <c r="E2886" s="214" t="n"/>
      <c r="F2886" s="207" t="n"/>
      <c r="G2886" s="208" t="n"/>
      <c r="H2886" s="208" t="n"/>
      <c r="I2886" s="208" t="n"/>
      <c r="J2886" s="214" t="n"/>
      <c r="K2886" s="208" t="n"/>
      <c r="L2886" s="424" t="n"/>
      <c r="M2886" s="961" t="n"/>
      <c r="N2886" s="214" t="n"/>
    </row>
    <row r="2887">
      <c r="A2887" s="207" t="n"/>
      <c r="B2887" s="209" t="n"/>
      <c r="C2887" s="207" t="n"/>
      <c r="D2887" s="963" t="n"/>
      <c r="E2887" s="214" t="n"/>
      <c r="F2887" s="207" t="n"/>
      <c r="G2887" s="208" t="n"/>
      <c r="H2887" s="208" t="n"/>
      <c r="I2887" s="208" t="n"/>
      <c r="J2887" s="214" t="n"/>
      <c r="K2887" s="208" t="n"/>
      <c r="L2887" s="424" t="n"/>
      <c r="M2887" s="961" t="n"/>
      <c r="N2887" s="214" t="n"/>
    </row>
    <row r="2888">
      <c r="A2888" s="207" t="n"/>
      <c r="B2888" s="209" t="n"/>
      <c r="C2888" s="207" t="n"/>
      <c r="D2888" s="963" t="n"/>
      <c r="E2888" s="214" t="n"/>
      <c r="F2888" s="207" t="n"/>
      <c r="G2888" s="208" t="n"/>
      <c r="H2888" s="208" t="n"/>
      <c r="I2888" s="208" t="n"/>
      <c r="J2888" s="214" t="n"/>
      <c r="K2888" s="208" t="n"/>
      <c r="L2888" s="424" t="n"/>
      <c r="M2888" s="961" t="n"/>
      <c r="N2888" s="214" t="n"/>
    </row>
    <row r="2889">
      <c r="A2889" s="207" t="n"/>
      <c r="B2889" s="209" t="n"/>
      <c r="C2889" s="207" t="n"/>
      <c r="D2889" s="963" t="n"/>
      <c r="E2889" s="214" t="n"/>
      <c r="F2889" s="207" t="n"/>
      <c r="G2889" s="208" t="n"/>
      <c r="H2889" s="208" t="n"/>
      <c r="I2889" s="208" t="n"/>
      <c r="J2889" s="214" t="n"/>
      <c r="K2889" s="208" t="n"/>
      <c r="L2889" s="424" t="n"/>
      <c r="M2889" s="961" t="n"/>
      <c r="N2889" s="214" t="n"/>
    </row>
    <row r="2890">
      <c r="A2890" s="207" t="n"/>
      <c r="B2890" s="209" t="n"/>
      <c r="C2890" s="207" t="n"/>
      <c r="D2890" s="963" t="n"/>
      <c r="E2890" s="214" t="n"/>
      <c r="F2890" s="207" t="n"/>
      <c r="G2890" s="208" t="n"/>
      <c r="H2890" s="208" t="n"/>
      <c r="I2890" s="208" t="n"/>
      <c r="J2890" s="214" t="n"/>
      <c r="K2890" s="208" t="n"/>
      <c r="L2890" s="424" t="n"/>
      <c r="M2890" s="961" t="n"/>
      <c r="N2890" s="214" t="n"/>
    </row>
    <row r="2891">
      <c r="A2891" s="207" t="n"/>
      <c r="B2891" s="209" t="n"/>
      <c r="C2891" s="207" t="n"/>
      <c r="D2891" s="963" t="n"/>
      <c r="E2891" s="214" t="n"/>
      <c r="F2891" s="207" t="n"/>
      <c r="G2891" s="208" t="n"/>
      <c r="H2891" s="208" t="n"/>
      <c r="I2891" s="208" t="n"/>
      <c r="J2891" s="214" t="n"/>
      <c r="K2891" s="208" t="n"/>
      <c r="L2891" s="424" t="n"/>
      <c r="M2891" s="961" t="n"/>
      <c r="N2891" s="214" t="n"/>
    </row>
    <row r="2892">
      <c r="A2892" s="207" t="n"/>
      <c r="B2892" s="209" t="n"/>
      <c r="C2892" s="207" t="n"/>
      <c r="D2892" s="963" t="n"/>
      <c r="E2892" s="214" t="n"/>
      <c r="F2892" s="207" t="n"/>
      <c r="G2892" s="208" t="n"/>
      <c r="H2892" s="208" t="n"/>
      <c r="I2892" s="208" t="n"/>
      <c r="J2892" s="214" t="n"/>
      <c r="K2892" s="208" t="n"/>
      <c r="L2892" s="424" t="n"/>
      <c r="M2892" s="961" t="n"/>
      <c r="N2892" s="214" t="n"/>
    </row>
    <row r="2893">
      <c r="A2893" s="207" t="n"/>
      <c r="B2893" s="209" t="n"/>
      <c r="C2893" s="207" t="n"/>
      <c r="D2893" s="963" t="n"/>
      <c r="E2893" s="214" t="n"/>
      <c r="F2893" s="207" t="n"/>
      <c r="G2893" s="208" t="n"/>
      <c r="H2893" s="208" t="n"/>
      <c r="I2893" s="208" t="n"/>
      <c r="J2893" s="214" t="n"/>
      <c r="K2893" s="208" t="n"/>
      <c r="L2893" s="424" t="n"/>
      <c r="M2893" s="961" t="n"/>
      <c r="N2893" s="214" t="n"/>
    </row>
    <row r="2894">
      <c r="A2894" s="207" t="n"/>
      <c r="B2894" s="209" t="n"/>
      <c r="C2894" s="207" t="n"/>
      <c r="D2894" s="963" t="n"/>
      <c r="E2894" s="214" t="n"/>
      <c r="F2894" s="207" t="n"/>
      <c r="G2894" s="208" t="n"/>
      <c r="H2894" s="208" t="n"/>
      <c r="I2894" s="208" t="n"/>
      <c r="J2894" s="214" t="n"/>
      <c r="K2894" s="208" t="n"/>
      <c r="L2894" s="424" t="n"/>
      <c r="M2894" s="961" t="n"/>
      <c r="N2894" s="214" t="n"/>
    </row>
    <row r="2895">
      <c r="A2895" s="207" t="n"/>
      <c r="B2895" s="209" t="n"/>
      <c r="C2895" s="207" t="n"/>
      <c r="D2895" s="963" t="n"/>
      <c r="E2895" s="214" t="n"/>
      <c r="F2895" s="207" t="n"/>
      <c r="G2895" s="208" t="n"/>
      <c r="H2895" s="208" t="n"/>
      <c r="I2895" s="208" t="n"/>
      <c r="J2895" s="214" t="n"/>
      <c r="K2895" s="208" t="n"/>
      <c r="L2895" s="424" t="n"/>
      <c r="M2895" s="961" t="n"/>
      <c r="N2895" s="214" t="n"/>
    </row>
    <row r="2896">
      <c r="A2896" s="207" t="n"/>
      <c r="B2896" s="209" t="n"/>
      <c r="C2896" s="207" t="n"/>
      <c r="D2896" s="963" t="n"/>
      <c r="E2896" s="214" t="n"/>
      <c r="F2896" s="207" t="n"/>
      <c r="G2896" s="208" t="n"/>
      <c r="H2896" s="208" t="n"/>
      <c r="I2896" s="208" t="n"/>
      <c r="J2896" s="214" t="n"/>
      <c r="K2896" s="208" t="n"/>
      <c r="L2896" s="424" t="n"/>
      <c r="M2896" s="961" t="n"/>
      <c r="N2896" s="214" t="n"/>
    </row>
    <row r="2897">
      <c r="A2897" s="207" t="n"/>
      <c r="B2897" s="209" t="n"/>
      <c r="C2897" s="207" t="n"/>
      <c r="D2897" s="963" t="n"/>
      <c r="E2897" s="214" t="n"/>
      <c r="F2897" s="207" t="n"/>
      <c r="G2897" s="208" t="n"/>
      <c r="H2897" s="208" t="n"/>
      <c r="I2897" s="208" t="n"/>
      <c r="J2897" s="214" t="n"/>
      <c r="K2897" s="208" t="n"/>
      <c r="L2897" s="424" t="n"/>
      <c r="M2897" s="961" t="n"/>
      <c r="N2897" s="214" t="n"/>
    </row>
    <row r="2898">
      <c r="A2898" s="207" t="n"/>
      <c r="B2898" s="209" t="n"/>
      <c r="C2898" s="207" t="n"/>
      <c r="D2898" s="963" t="n"/>
      <c r="E2898" s="214" t="n"/>
      <c r="F2898" s="207" t="n"/>
      <c r="G2898" s="208" t="n"/>
      <c r="H2898" s="208" t="n"/>
      <c r="I2898" s="208" t="n"/>
      <c r="J2898" s="214" t="n"/>
      <c r="K2898" s="208" t="n"/>
      <c r="L2898" s="424" t="n"/>
      <c r="M2898" s="961" t="n"/>
      <c r="N2898" s="214" t="n"/>
    </row>
    <row r="2899">
      <c r="A2899" s="207" t="n"/>
      <c r="B2899" s="209" t="n"/>
      <c r="C2899" s="207" t="n"/>
      <c r="D2899" s="963" t="n"/>
      <c r="E2899" s="214" t="n"/>
      <c r="F2899" s="207" t="n"/>
      <c r="G2899" s="208" t="n"/>
      <c r="H2899" s="208" t="n"/>
      <c r="I2899" s="208" t="n"/>
      <c r="J2899" s="214" t="n"/>
      <c r="K2899" s="208" t="n"/>
      <c r="L2899" s="424" t="n"/>
      <c r="M2899" s="961" t="n"/>
      <c r="N2899" s="214" t="n"/>
    </row>
    <row r="2900">
      <c r="A2900" s="207" t="n"/>
      <c r="B2900" s="209" t="n"/>
      <c r="C2900" s="207" t="n"/>
      <c r="D2900" s="963" t="n"/>
      <c r="E2900" s="214" t="n"/>
      <c r="F2900" s="207" t="n"/>
      <c r="G2900" s="208" t="n"/>
      <c r="H2900" s="208" t="n"/>
      <c r="I2900" s="208" t="n"/>
      <c r="J2900" s="214" t="n"/>
      <c r="K2900" s="208" t="n"/>
      <c r="L2900" s="424" t="n"/>
      <c r="M2900" s="961" t="n"/>
      <c r="N2900" s="214" t="n"/>
    </row>
    <row r="2901">
      <c r="A2901" s="207" t="n"/>
      <c r="B2901" s="209" t="n"/>
      <c r="C2901" s="207" t="n"/>
      <c r="D2901" s="963" t="n"/>
      <c r="E2901" s="214" t="n"/>
      <c r="F2901" s="207" t="n"/>
      <c r="G2901" s="208" t="n"/>
      <c r="H2901" s="208" t="n"/>
      <c r="I2901" s="208" t="n"/>
      <c r="J2901" s="214" t="n"/>
      <c r="K2901" s="208" t="n"/>
      <c r="L2901" s="424" t="n"/>
      <c r="M2901" s="961" t="n"/>
      <c r="N2901" s="214" t="n"/>
    </row>
    <row r="2902" ht="12.75" customHeight="1">
      <c r="A2902" s="207" t="n"/>
      <c r="B2902" s="209" t="n"/>
      <c r="C2902" s="207" t="n"/>
      <c r="D2902" s="963" t="n"/>
      <c r="E2902" s="214" t="n"/>
      <c r="F2902" s="207" t="n"/>
      <c r="G2902" s="209" t="n"/>
      <c r="H2902" s="209" t="n"/>
      <c r="I2902" s="209" t="n"/>
      <c r="J2902" s="214" t="n"/>
      <c r="K2902" s="209" t="n"/>
      <c r="L2902" s="425" t="n"/>
      <c r="M2902" s="961" t="n"/>
      <c r="N2902" s="214" t="n"/>
    </row>
    <row r="2903">
      <c r="A2903" s="207" t="n"/>
      <c r="B2903" s="209" t="n"/>
      <c r="C2903" s="207" t="n"/>
      <c r="D2903" s="963" t="n"/>
      <c r="E2903" s="214" t="n"/>
      <c r="F2903" s="207" t="n"/>
      <c r="G2903" s="208" t="n"/>
      <c r="H2903" s="208" t="n"/>
      <c r="I2903" s="208" t="n"/>
      <c r="J2903" s="214" t="n"/>
      <c r="K2903" s="208" t="n"/>
      <c r="L2903" s="424" t="n"/>
      <c r="M2903" s="961" t="n"/>
      <c r="N2903" s="214" t="n"/>
    </row>
    <row r="2904">
      <c r="A2904" s="207" t="n"/>
      <c r="B2904" s="209" t="n"/>
      <c r="C2904" s="207" t="n"/>
      <c r="D2904" s="963" t="n"/>
      <c r="E2904" s="214" t="n"/>
      <c r="F2904" s="207" t="n"/>
      <c r="G2904" s="208" t="n"/>
      <c r="H2904" s="208" t="n"/>
      <c r="I2904" s="208" t="n"/>
      <c r="J2904" s="214" t="n"/>
      <c r="K2904" s="208" t="n"/>
      <c r="L2904" s="424" t="n"/>
      <c r="M2904" s="961" t="n"/>
      <c r="N2904" s="214" t="n"/>
    </row>
    <row r="2905">
      <c r="A2905" s="207" t="n"/>
      <c r="B2905" s="209" t="n"/>
      <c r="C2905" s="207" t="n"/>
      <c r="D2905" s="963" t="n"/>
      <c r="E2905" s="214" t="n"/>
      <c r="F2905" s="207" t="n"/>
      <c r="G2905" s="207" t="n"/>
      <c r="H2905" s="208" t="n"/>
      <c r="I2905" s="208" t="n"/>
      <c r="J2905" s="214" t="n"/>
      <c r="K2905" s="208" t="n"/>
      <c r="L2905" s="424" t="n"/>
      <c r="M2905" s="961" t="n"/>
      <c r="N2905" s="214" t="n"/>
    </row>
    <row r="2906">
      <c r="A2906" s="207" t="n"/>
      <c r="B2906" s="209" t="n"/>
      <c r="C2906" s="207" t="n"/>
      <c r="D2906" s="963" t="n"/>
      <c r="E2906" s="214" t="n"/>
      <c r="F2906" s="207" t="n"/>
      <c r="G2906" s="207" t="n"/>
      <c r="H2906" s="208" t="n"/>
      <c r="I2906" s="208" t="n"/>
      <c r="J2906" s="214" t="n"/>
      <c r="K2906" s="208" t="n"/>
      <c r="L2906" s="424" t="n"/>
      <c r="M2906" s="961" t="n"/>
      <c r="N2906" s="214" t="n"/>
    </row>
    <row r="2907">
      <c r="A2907" s="207" t="n"/>
      <c r="B2907" s="209" t="n"/>
      <c r="C2907" s="207" t="n"/>
      <c r="D2907" s="963" t="n"/>
      <c r="E2907" s="214" t="n"/>
      <c r="F2907" s="207" t="n"/>
      <c r="G2907" s="207" t="n"/>
      <c r="H2907" s="208" t="n"/>
      <c r="I2907" s="208" t="n"/>
      <c r="J2907" s="214" t="n"/>
      <c r="K2907" s="208" t="n"/>
      <c r="L2907" s="424" t="n"/>
      <c r="M2907" s="961" t="n"/>
      <c r="N2907" s="214" t="n"/>
    </row>
    <row r="2908">
      <c r="A2908" s="209" t="n"/>
      <c r="B2908" s="209" t="n"/>
      <c r="C2908" s="207" t="n"/>
      <c r="D2908" s="963" t="n"/>
      <c r="E2908" s="214" t="n"/>
      <c r="F2908" s="207" t="n"/>
      <c r="G2908" s="207" t="n"/>
      <c r="H2908" s="208" t="n"/>
      <c r="I2908" s="208" t="n"/>
      <c r="J2908" s="214" t="n"/>
      <c r="K2908" s="208" t="n"/>
      <c r="L2908" s="424" t="n"/>
      <c r="M2908" s="961" t="n"/>
      <c r="N2908" s="214" t="n"/>
    </row>
    <row r="2909">
      <c r="A2909" s="209" t="n"/>
      <c r="B2909" s="209" t="n"/>
      <c r="C2909" s="207" t="n"/>
      <c r="D2909" s="963" t="n"/>
      <c r="E2909" s="214" t="n"/>
      <c r="F2909" s="207" t="n"/>
      <c r="G2909" s="207" t="n"/>
      <c r="H2909" s="208" t="n"/>
      <c r="I2909" s="208" t="n"/>
      <c r="J2909" s="214" t="n"/>
      <c r="K2909" s="208" t="n"/>
      <c r="L2909" s="424" t="n"/>
      <c r="M2909" s="961" t="n"/>
      <c r="N2909" s="214" t="n"/>
    </row>
    <row r="2910">
      <c r="A2910" s="209" t="n"/>
      <c r="B2910" s="209" t="n"/>
      <c r="C2910" s="207" t="n"/>
      <c r="D2910" s="963" t="n"/>
      <c r="E2910" s="214" t="n"/>
      <c r="F2910" s="207" t="n"/>
      <c r="G2910" s="207" t="n"/>
      <c r="H2910" s="208" t="n"/>
      <c r="I2910" s="208" t="n"/>
      <c r="J2910" s="214" t="n"/>
      <c r="K2910" s="208" t="n"/>
      <c r="L2910" s="424" t="n"/>
      <c r="M2910" s="961" t="n"/>
      <c r="N2910" s="214" t="n"/>
    </row>
    <row r="2911">
      <c r="A2911" s="209" t="n"/>
      <c r="B2911" s="209" t="n"/>
      <c r="C2911" s="207" t="n"/>
      <c r="D2911" s="963" t="n"/>
      <c r="E2911" s="214" t="n"/>
      <c r="F2911" s="207" t="n"/>
      <c r="G2911" s="207" t="n"/>
      <c r="H2911" s="208" t="n"/>
      <c r="I2911" s="208" t="n"/>
      <c r="J2911" s="214" t="n"/>
      <c r="K2911" s="208" t="n"/>
      <c r="L2911" s="424" t="n"/>
      <c r="M2911" s="961" t="n"/>
      <c r="N2911" s="214" t="n"/>
    </row>
    <row r="2912">
      <c r="A2912" s="209" t="n"/>
      <c r="B2912" s="209" t="n"/>
      <c r="C2912" s="207" t="n"/>
      <c r="D2912" s="963" t="n"/>
      <c r="E2912" s="214" t="n"/>
      <c r="F2912" s="207" t="n"/>
      <c r="G2912" s="207" t="n"/>
      <c r="H2912" s="208" t="n"/>
      <c r="I2912" s="208" t="n"/>
      <c r="J2912" s="214" t="n"/>
      <c r="K2912" s="208" t="n"/>
      <c r="L2912" s="424" t="n"/>
      <c r="M2912" s="961" t="n"/>
      <c r="N2912" s="214" t="n"/>
    </row>
    <row r="2913">
      <c r="A2913" s="209" t="n"/>
      <c r="B2913" s="209" t="n"/>
      <c r="C2913" s="207" t="n"/>
      <c r="D2913" s="963" t="n"/>
      <c r="E2913" s="214" t="n"/>
      <c r="F2913" s="207" t="n"/>
      <c r="G2913" s="207" t="n"/>
      <c r="H2913" s="208" t="n"/>
      <c r="I2913" s="208" t="n"/>
      <c r="J2913" s="214" t="n"/>
      <c r="K2913" s="208" t="n"/>
      <c r="L2913" s="424" t="n"/>
      <c r="M2913" s="961" t="n"/>
      <c r="N2913" s="214" t="n"/>
    </row>
    <row r="2914">
      <c r="A2914" s="209" t="n"/>
      <c r="B2914" s="209" t="n"/>
      <c r="C2914" s="207" t="n"/>
      <c r="D2914" s="963" t="n"/>
      <c r="E2914" s="214" t="n"/>
      <c r="F2914" s="207" t="n"/>
      <c r="G2914" s="207" t="n"/>
      <c r="H2914" s="208" t="n"/>
      <c r="I2914" s="208" t="n"/>
      <c r="J2914" s="214" t="n"/>
      <c r="K2914" s="208" t="n"/>
      <c r="L2914" s="424" t="n"/>
      <c r="M2914" s="961" t="n"/>
      <c r="N2914" s="214" t="n"/>
    </row>
    <row r="2915">
      <c r="A2915" s="209" t="n"/>
      <c r="B2915" s="209" t="n"/>
      <c r="C2915" s="207" t="n"/>
      <c r="D2915" s="963" t="n"/>
      <c r="E2915" s="214" t="n"/>
      <c r="F2915" s="207" t="n"/>
      <c r="G2915" s="207" t="n"/>
      <c r="H2915" s="208" t="n"/>
      <c r="I2915" s="208" t="n"/>
      <c r="J2915" s="214" t="n"/>
      <c r="K2915" s="208" t="n"/>
      <c r="L2915" s="424" t="n"/>
      <c r="M2915" s="961" t="n"/>
      <c r="N2915" s="214" t="n"/>
    </row>
    <row r="2916">
      <c r="A2916" s="209" t="n"/>
      <c r="B2916" s="209" t="n"/>
      <c r="C2916" s="207" t="n"/>
      <c r="D2916" s="963" t="n"/>
      <c r="E2916" s="214" t="n"/>
      <c r="F2916" s="207" t="n"/>
      <c r="G2916" s="207" t="n"/>
      <c r="H2916" s="208" t="n"/>
      <c r="I2916" s="208" t="n"/>
      <c r="J2916" s="214" t="n"/>
      <c r="K2916" s="208" t="n"/>
      <c r="L2916" s="424" t="n"/>
      <c r="M2916" s="961" t="n"/>
      <c r="N2916" s="214" t="n"/>
    </row>
    <row r="2917">
      <c r="A2917" s="209" t="n"/>
      <c r="B2917" s="209" t="n"/>
      <c r="C2917" s="207" t="n"/>
      <c r="D2917" s="963" t="n"/>
      <c r="E2917" s="214" t="n"/>
      <c r="F2917" s="207" t="n"/>
      <c r="G2917" s="207" t="n"/>
      <c r="H2917" s="208" t="n"/>
      <c r="I2917" s="208" t="n"/>
      <c r="J2917" s="214" t="n"/>
      <c r="K2917" s="208" t="n"/>
      <c r="L2917" s="424" t="n"/>
      <c r="M2917" s="961" t="n"/>
      <c r="N2917" s="214" t="n"/>
    </row>
    <row r="2918" ht="12.75" customHeight="1">
      <c r="A2918" s="209" t="n"/>
      <c r="B2918" s="209" t="n"/>
      <c r="C2918" s="207" t="n"/>
      <c r="D2918" s="963" t="n"/>
      <c r="E2918" s="215" t="n"/>
      <c r="F2918" s="209" t="n"/>
      <c r="G2918" s="209" t="n"/>
      <c r="H2918" s="209" t="n"/>
      <c r="I2918" s="209" t="n"/>
      <c r="J2918" s="215" t="n"/>
      <c r="K2918" s="209" t="n"/>
      <c r="L2918" s="425" t="n"/>
      <c r="M2918" s="962" t="n"/>
      <c r="N2918" s="215" t="n"/>
    </row>
    <row r="2919" ht="12.75" customHeight="1">
      <c r="A2919" s="209" t="n"/>
      <c r="B2919" s="209" t="n"/>
      <c r="C2919" s="207" t="n"/>
      <c r="D2919" s="963" t="n"/>
      <c r="E2919" s="215" t="n"/>
      <c r="F2919" s="209" t="n"/>
      <c r="G2919" s="209" t="n"/>
      <c r="H2919" s="209" t="n"/>
      <c r="I2919" s="209" t="n"/>
      <c r="J2919" s="215" t="n"/>
      <c r="K2919" s="209" t="n"/>
      <c r="L2919" s="425" t="n"/>
      <c r="M2919" s="962" t="n"/>
      <c r="N2919" s="215" t="n"/>
    </row>
    <row r="2920" ht="12.75" customHeight="1">
      <c r="A2920" s="209" t="n"/>
      <c r="B2920" s="209" t="n"/>
      <c r="C2920" s="207" t="n"/>
      <c r="D2920" s="963" t="n"/>
      <c r="E2920" s="215" t="n"/>
      <c r="F2920" s="209" t="n"/>
      <c r="G2920" s="209" t="n"/>
      <c r="H2920" s="209" t="n"/>
      <c r="I2920" s="209" t="n"/>
      <c r="J2920" s="215" t="n"/>
      <c r="K2920" s="209" t="n"/>
      <c r="L2920" s="425" t="n"/>
      <c r="M2920" s="962" t="n"/>
      <c r="N2920" s="215" t="n"/>
    </row>
    <row r="2921">
      <c r="A2921" s="209" t="n"/>
      <c r="B2921" s="209" t="n"/>
      <c r="C2921" s="207" t="n"/>
      <c r="D2921" s="963" t="n"/>
      <c r="E2921" s="215" t="n"/>
      <c r="F2921" s="209" t="n"/>
      <c r="G2921" s="209" t="n"/>
      <c r="H2921" s="209" t="n"/>
      <c r="I2921" s="209" t="n"/>
      <c r="J2921" s="215" t="n"/>
      <c r="K2921" s="209" t="n"/>
      <c r="L2921" s="425" t="n"/>
      <c r="M2921" s="962" t="n"/>
      <c r="N2921" s="215" t="n"/>
    </row>
    <row r="2922" ht="12.75" customHeight="1">
      <c r="A2922" s="209" t="n"/>
      <c r="B2922" s="209" t="n"/>
      <c r="C2922" s="207" t="n"/>
      <c r="D2922" s="963" t="n"/>
      <c r="E2922" s="215" t="n"/>
      <c r="F2922" s="209" t="n"/>
      <c r="G2922" s="209" t="n"/>
      <c r="H2922" s="209" t="n"/>
      <c r="I2922" s="209" t="n"/>
      <c r="J2922" s="215" t="n"/>
      <c r="K2922" s="209" t="n"/>
      <c r="L2922" s="425" t="n"/>
      <c r="M2922" s="962" t="n"/>
      <c r="N2922" s="215" t="n"/>
    </row>
    <row r="2923" ht="12.75" customHeight="1">
      <c r="A2923" s="209" t="n"/>
      <c r="B2923" s="209" t="n"/>
      <c r="C2923" s="207" t="n"/>
      <c r="D2923" s="963" t="n"/>
      <c r="E2923" s="215" t="n"/>
      <c r="F2923" s="209" t="n"/>
      <c r="G2923" s="209" t="n"/>
      <c r="H2923" s="209" t="n"/>
      <c r="I2923" s="209" t="n"/>
      <c r="J2923" s="215" t="n"/>
      <c r="K2923" s="209" t="n"/>
      <c r="L2923" s="425" t="n"/>
      <c r="M2923" s="962" t="n"/>
      <c r="N2923" s="215" t="n"/>
    </row>
    <row r="2924" ht="12.75" customHeight="1">
      <c r="A2924" s="209" t="n"/>
      <c r="B2924" s="209" t="n"/>
      <c r="C2924" s="207" t="n"/>
      <c r="D2924" s="963" t="n"/>
      <c r="E2924" s="215" t="n"/>
      <c r="F2924" s="209" t="n"/>
      <c r="G2924" s="209" t="n"/>
      <c r="H2924" s="209" t="n"/>
      <c r="I2924" s="209" t="n"/>
      <c r="J2924" s="215" t="n"/>
      <c r="K2924" s="209" t="n"/>
      <c r="L2924" s="425" t="n"/>
      <c r="M2924" s="962" t="n"/>
      <c r="N2924" s="215" t="n"/>
    </row>
    <row r="2925" ht="12.75" customHeight="1">
      <c r="A2925" s="209" t="n"/>
      <c r="B2925" s="209" t="n"/>
      <c r="C2925" s="207" t="n"/>
      <c r="D2925" s="963" t="n"/>
      <c r="E2925" s="215" t="n"/>
      <c r="F2925" s="209" t="n"/>
      <c r="G2925" s="209" t="n"/>
      <c r="H2925" s="209" t="n"/>
      <c r="I2925" s="209" t="n"/>
      <c r="J2925" s="215" t="n"/>
      <c r="K2925" s="209" t="n"/>
      <c r="L2925" s="425" t="n"/>
      <c r="M2925" s="962" t="n"/>
      <c r="N2925" s="215" t="n"/>
    </row>
    <row r="2926">
      <c r="A2926" s="209" t="n"/>
      <c r="B2926" s="209" t="n"/>
      <c r="C2926" s="207" t="n"/>
      <c r="D2926" s="963" t="n"/>
      <c r="E2926" s="215" t="n"/>
      <c r="F2926" s="209" t="n"/>
      <c r="G2926" s="209" t="n"/>
      <c r="H2926" s="209" t="n"/>
      <c r="I2926" s="209" t="n"/>
      <c r="J2926" s="215" t="n"/>
      <c r="K2926" s="209" t="n"/>
      <c r="L2926" s="425" t="n"/>
      <c r="M2926" s="962" t="n"/>
      <c r="N2926" s="215" t="n"/>
    </row>
    <row r="2927">
      <c r="A2927" s="209" t="n"/>
      <c r="B2927" s="209" t="n"/>
      <c r="C2927" s="207" t="n"/>
      <c r="D2927" s="963" t="n"/>
      <c r="E2927" s="215" t="n"/>
      <c r="F2927" s="209" t="n"/>
      <c r="G2927" s="209" t="n"/>
      <c r="H2927" s="209" t="n"/>
      <c r="I2927" s="209" t="n"/>
      <c r="J2927" s="215" t="n"/>
      <c r="K2927" s="209" t="n"/>
      <c r="L2927" s="425" t="n"/>
      <c r="M2927" s="962" t="n"/>
      <c r="N2927" s="215" t="n"/>
    </row>
    <row r="2928">
      <c r="A2928" s="209" t="n"/>
      <c r="B2928" s="209" t="n"/>
      <c r="C2928" s="207" t="n"/>
      <c r="D2928" s="963" t="n"/>
      <c r="E2928" s="215" t="n"/>
      <c r="F2928" s="209" t="n"/>
      <c r="G2928" s="209" t="n"/>
      <c r="H2928" s="209" t="n"/>
      <c r="I2928" s="209" t="n"/>
      <c r="J2928" s="215" t="n"/>
      <c r="K2928" s="209" t="n"/>
      <c r="L2928" s="425" t="n"/>
      <c r="M2928" s="962" t="n"/>
      <c r="N2928" s="215" t="n"/>
    </row>
    <row r="2929" ht="12.75" customHeight="1">
      <c r="A2929" s="209" t="n"/>
      <c r="B2929" s="209" t="n"/>
      <c r="C2929" s="207" t="n"/>
      <c r="D2929" s="963" t="n"/>
      <c r="E2929" s="215" t="n"/>
      <c r="F2929" s="209" t="n"/>
      <c r="G2929" s="209" t="n"/>
      <c r="H2929" s="209" t="n"/>
      <c r="I2929" s="209" t="n"/>
      <c r="J2929" s="215" t="n"/>
      <c r="K2929" s="209" t="n"/>
      <c r="L2929" s="425" t="n"/>
      <c r="M2929" s="962" t="n"/>
      <c r="N2929" s="215" t="n"/>
    </row>
    <row r="2930" ht="12.75" customHeight="1">
      <c r="A2930" s="209" t="n"/>
      <c r="B2930" s="209" t="n"/>
      <c r="C2930" s="207" t="n"/>
      <c r="D2930" s="963" t="n"/>
      <c r="E2930" s="215" t="n"/>
      <c r="F2930" s="209" t="n"/>
      <c r="G2930" s="209" t="n"/>
      <c r="H2930" s="209" t="n"/>
      <c r="I2930" s="209" t="n"/>
      <c r="J2930" s="215" t="n"/>
      <c r="K2930" s="209" t="n"/>
      <c r="L2930" s="425" t="n"/>
      <c r="M2930" s="962" t="n"/>
      <c r="N2930" s="215" t="n"/>
    </row>
    <row r="2931" ht="12.75" customHeight="1">
      <c r="A2931" s="209" t="n"/>
      <c r="B2931" s="209" t="n"/>
      <c r="C2931" s="207" t="n"/>
      <c r="D2931" s="963" t="n"/>
      <c r="E2931" s="215" t="n"/>
      <c r="F2931" s="209" t="n"/>
      <c r="G2931" s="209" t="n"/>
      <c r="H2931" s="209" t="n"/>
      <c r="I2931" s="209" t="n"/>
      <c r="J2931" s="215" t="n"/>
      <c r="K2931" s="209" t="n"/>
      <c r="L2931" s="425" t="n"/>
      <c r="M2931" s="962" t="n"/>
      <c r="N2931" s="215" t="n"/>
    </row>
    <row r="2932" ht="12.75" customHeight="1">
      <c r="A2932" s="209" t="n"/>
      <c r="B2932" s="209" t="n"/>
      <c r="C2932" s="207" t="n"/>
      <c r="D2932" s="963" t="n"/>
      <c r="E2932" s="215" t="n"/>
      <c r="F2932" s="209" t="n"/>
      <c r="G2932" s="209" t="n"/>
      <c r="H2932" s="209" t="n"/>
      <c r="I2932" s="209" t="n"/>
      <c r="J2932" s="215" t="n"/>
      <c r="K2932" s="209" t="n"/>
      <c r="L2932" s="425" t="n"/>
      <c r="M2932" s="962" t="n"/>
      <c r="N2932" s="215" t="n"/>
    </row>
    <row r="2933">
      <c r="A2933" s="209" t="n"/>
      <c r="B2933" s="209" t="n"/>
      <c r="C2933" s="209" t="n"/>
      <c r="D2933" s="960" t="n"/>
      <c r="E2933" s="215" t="n"/>
      <c r="F2933" s="209" t="n"/>
      <c r="G2933" s="209" t="n"/>
      <c r="H2933" s="209" t="n"/>
      <c r="I2933" s="209" t="n"/>
      <c r="J2933" s="215" t="n"/>
      <c r="K2933" s="209" t="n"/>
      <c r="L2933" s="425" t="n"/>
      <c r="M2933" s="962" t="n"/>
      <c r="N2933" s="215" t="n"/>
    </row>
    <row r="2934">
      <c r="A2934" s="209" t="n"/>
      <c r="B2934" s="209" t="n"/>
      <c r="C2934" s="209" t="n"/>
      <c r="D2934" s="960" t="n"/>
      <c r="E2934" s="215" t="n"/>
      <c r="F2934" s="209" t="n"/>
      <c r="G2934" s="209" t="n"/>
      <c r="H2934" s="209" t="n"/>
      <c r="I2934" s="209" t="n"/>
      <c r="J2934" s="215" t="n"/>
      <c r="K2934" s="209" t="n"/>
      <c r="L2934" s="425" t="n"/>
      <c r="M2934" s="962" t="n"/>
      <c r="N2934" s="215" t="n"/>
    </row>
    <row r="2935">
      <c r="A2935" s="209" t="n"/>
      <c r="B2935" s="209" t="n"/>
      <c r="C2935" s="209" t="n"/>
      <c r="D2935" s="960" t="n"/>
      <c r="E2935" s="215" t="n"/>
      <c r="F2935" s="209" t="n"/>
      <c r="G2935" s="209" t="n"/>
      <c r="H2935" s="209" t="n"/>
      <c r="I2935" s="209" t="n"/>
      <c r="J2935" s="215" t="n"/>
      <c r="K2935" s="209" t="n"/>
      <c r="L2935" s="425" t="n"/>
      <c r="M2935" s="962" t="n"/>
      <c r="N2935" s="215" t="n"/>
    </row>
    <row r="2936">
      <c r="A2936" s="209" t="n"/>
      <c r="B2936" s="209" t="n"/>
      <c r="C2936" s="209" t="n"/>
      <c r="D2936" s="960" t="n"/>
      <c r="E2936" s="215" t="n"/>
      <c r="F2936" s="209" t="n"/>
      <c r="G2936" s="209" t="n"/>
      <c r="H2936" s="209" t="n"/>
      <c r="I2936" s="209" t="n"/>
      <c r="J2936" s="215" t="n"/>
      <c r="K2936" s="209" t="n"/>
      <c r="L2936" s="425" t="n"/>
      <c r="M2936" s="962" t="n"/>
      <c r="N2936" s="215" t="n"/>
    </row>
    <row r="2937">
      <c r="A2937" s="209" t="n"/>
      <c r="B2937" s="209" t="n"/>
      <c r="C2937" s="209" t="n"/>
      <c r="D2937" s="960" t="n"/>
      <c r="E2937" s="215" t="n"/>
      <c r="F2937" s="209" t="n"/>
      <c r="G2937" s="209" t="n"/>
      <c r="H2937" s="209" t="n"/>
      <c r="I2937" s="209" t="n"/>
      <c r="J2937" s="215" t="n"/>
      <c r="K2937" s="209" t="n"/>
      <c r="L2937" s="425" t="n"/>
      <c r="M2937" s="962" t="n"/>
      <c r="N2937" s="215" t="n"/>
    </row>
    <row r="2938">
      <c r="A2938" s="209" t="n"/>
      <c r="B2938" s="209" t="n"/>
      <c r="C2938" s="209" t="n"/>
      <c r="D2938" s="960" t="n"/>
      <c r="E2938" s="215" t="n"/>
      <c r="F2938" s="209" t="n"/>
      <c r="G2938" s="209" t="n"/>
      <c r="H2938" s="209" t="n"/>
      <c r="I2938" s="209" t="n"/>
      <c r="J2938" s="215" t="n"/>
      <c r="K2938" s="209" t="n"/>
      <c r="L2938" s="425" t="n"/>
      <c r="M2938" s="962" t="n"/>
      <c r="N2938" s="215" t="n"/>
    </row>
    <row r="2939">
      <c r="A2939" s="209" t="n"/>
      <c r="B2939" s="209" t="n"/>
      <c r="C2939" s="209" t="n"/>
      <c r="D2939" s="960" t="n"/>
      <c r="E2939" s="215" t="n"/>
      <c r="F2939" s="209" t="n"/>
      <c r="G2939" s="209" t="n"/>
      <c r="H2939" s="209" t="n"/>
      <c r="I2939" s="209" t="n"/>
      <c r="J2939" s="215" t="n"/>
      <c r="K2939" s="209" t="n"/>
      <c r="L2939" s="425" t="n"/>
      <c r="M2939" s="962" t="n"/>
      <c r="N2939" s="215" t="n"/>
    </row>
    <row r="2940">
      <c r="A2940" s="209" t="n"/>
      <c r="B2940" s="209" t="n"/>
      <c r="C2940" s="209" t="n"/>
      <c r="D2940" s="960" t="n"/>
      <c r="E2940" s="215" t="n"/>
      <c r="F2940" s="209" t="n"/>
      <c r="G2940" s="209" t="n"/>
      <c r="H2940" s="209" t="n"/>
      <c r="I2940" s="209" t="n"/>
      <c r="J2940" s="215" t="n"/>
      <c r="K2940" s="209" t="n"/>
      <c r="L2940" s="425" t="n"/>
      <c r="M2940" s="962" t="n"/>
      <c r="N2940" s="215" t="n"/>
    </row>
    <row r="2941">
      <c r="A2941" s="209" t="n"/>
      <c r="B2941" s="209" t="n"/>
      <c r="C2941" s="209" t="n"/>
      <c r="D2941" s="960" t="n"/>
      <c r="E2941" s="215" t="n"/>
      <c r="F2941" s="209" t="n"/>
      <c r="G2941" s="209" t="n"/>
      <c r="H2941" s="209" t="n"/>
      <c r="I2941" s="209" t="n"/>
      <c r="J2941" s="215" t="n"/>
      <c r="K2941" s="209" t="n"/>
      <c r="L2941" s="425" t="n"/>
      <c r="M2941" s="962" t="n"/>
      <c r="N2941" s="215" t="n"/>
    </row>
    <row r="2942">
      <c r="A2942" s="209" t="n"/>
      <c r="B2942" s="209" t="n"/>
      <c r="C2942" s="207" t="n"/>
      <c r="D2942" s="963" t="n"/>
      <c r="E2942" s="214" t="n"/>
      <c r="F2942" s="207" t="n"/>
      <c r="G2942" s="207" t="n"/>
      <c r="H2942" s="209" t="n"/>
      <c r="I2942" s="209" t="n"/>
      <c r="J2942" s="214" t="n"/>
      <c r="K2942" s="209" t="n"/>
      <c r="L2942" s="425" t="n"/>
      <c r="M2942" s="962" t="n"/>
      <c r="N2942" s="214" t="n"/>
    </row>
    <row r="2943">
      <c r="A2943" s="209" t="n"/>
      <c r="B2943" s="209" t="n"/>
      <c r="C2943" s="207" t="n"/>
      <c r="D2943" s="963" t="n"/>
      <c r="E2943" s="215" t="n"/>
      <c r="F2943" s="209" t="n"/>
      <c r="G2943" s="209" t="n"/>
      <c r="H2943" s="209" t="n"/>
      <c r="I2943" s="209" t="n"/>
      <c r="J2943" s="215" t="n"/>
      <c r="K2943" s="209" t="n"/>
      <c r="L2943" s="425" t="n"/>
      <c r="M2943" s="962" t="n"/>
      <c r="N2943" s="215" t="n"/>
    </row>
    <row r="2944" ht="12.75" customHeight="1">
      <c r="A2944" s="209" t="n"/>
      <c r="B2944" s="209" t="n"/>
      <c r="C2944" s="207" t="n"/>
      <c r="D2944" s="963" t="n"/>
      <c r="E2944" s="215" t="n"/>
      <c r="F2944" s="209" t="n"/>
      <c r="G2944" s="209" t="n"/>
      <c r="H2944" s="209" t="n"/>
      <c r="I2944" s="209" t="n"/>
      <c r="J2944" s="215" t="n"/>
      <c r="K2944" s="209" t="n"/>
      <c r="L2944" s="425" t="n"/>
      <c r="M2944" s="962" t="n"/>
      <c r="N2944" s="215" t="n"/>
    </row>
    <row r="2945" ht="12.75" customHeight="1">
      <c r="A2945" s="209" t="n"/>
      <c r="B2945" s="209" t="n"/>
      <c r="C2945" s="207" t="n"/>
      <c r="D2945" s="963" t="n"/>
      <c r="E2945" s="215" t="n"/>
      <c r="F2945" s="209" t="n"/>
      <c r="G2945" s="209" t="n"/>
      <c r="H2945" s="209" t="n"/>
      <c r="I2945" s="209" t="n"/>
      <c r="J2945" s="215" t="n"/>
      <c r="K2945" s="209" t="n"/>
      <c r="L2945" s="425" t="n"/>
      <c r="M2945" s="962" t="n"/>
      <c r="N2945" s="215" t="n"/>
    </row>
    <row r="2946" ht="12.75" customHeight="1">
      <c r="A2946" s="209" t="n"/>
      <c r="B2946" s="209" t="n"/>
      <c r="C2946" s="207" t="n"/>
      <c r="D2946" s="963" t="n"/>
      <c r="E2946" s="215" t="n"/>
      <c r="F2946" s="209" t="n"/>
      <c r="G2946" s="209" t="n"/>
      <c r="H2946" s="209" t="n"/>
      <c r="I2946" s="209" t="n"/>
      <c r="J2946" s="215" t="n"/>
      <c r="K2946" s="209" t="n"/>
      <c r="L2946" s="425" t="n"/>
      <c r="M2946" s="962" t="n"/>
      <c r="N2946" s="215" t="n"/>
    </row>
    <row r="2947" ht="12.75" customHeight="1">
      <c r="A2947" s="209" t="n"/>
      <c r="B2947" s="209" t="n"/>
      <c r="C2947" s="207" t="n"/>
      <c r="D2947" s="963" t="n"/>
      <c r="E2947" s="215" t="n"/>
      <c r="F2947" s="209" t="n"/>
      <c r="G2947" s="209" t="n"/>
      <c r="H2947" s="209" t="n"/>
      <c r="I2947" s="209" t="n"/>
      <c r="J2947" s="215" t="n"/>
      <c r="K2947" s="209" t="n"/>
      <c r="L2947" s="425" t="n"/>
      <c r="M2947" s="962" t="n"/>
      <c r="N2947" s="215" t="n"/>
    </row>
    <row r="2948" ht="12.75" customHeight="1">
      <c r="A2948" s="209" t="n"/>
      <c r="B2948" s="209" t="n"/>
      <c r="C2948" s="207" t="n"/>
      <c r="D2948" s="963" t="n"/>
      <c r="E2948" s="215" t="n"/>
      <c r="F2948" s="209" t="n"/>
      <c r="G2948" s="209" t="n"/>
      <c r="H2948" s="209" t="n"/>
      <c r="I2948" s="209" t="n"/>
      <c r="J2948" s="215" t="n"/>
      <c r="K2948" s="209" t="n"/>
      <c r="L2948" s="425" t="n"/>
      <c r="M2948" s="962" t="n"/>
      <c r="N2948" s="215" t="n"/>
    </row>
    <row r="2949" ht="12.75" customHeight="1">
      <c r="A2949" s="209" t="n"/>
      <c r="B2949" s="209" t="n"/>
      <c r="C2949" s="207" t="n"/>
      <c r="D2949" s="963" t="n"/>
      <c r="E2949" s="215" t="n"/>
      <c r="F2949" s="209" t="n"/>
      <c r="G2949" s="209" t="n"/>
      <c r="H2949" s="209" t="n"/>
      <c r="I2949" s="209" t="n"/>
      <c r="J2949" s="215" t="n"/>
      <c r="K2949" s="209" t="n"/>
      <c r="L2949" s="425" t="n"/>
      <c r="M2949" s="962" t="n"/>
      <c r="N2949" s="215" t="n"/>
    </row>
    <row r="2950" ht="12.75" customHeight="1">
      <c r="A2950" s="209" t="n"/>
      <c r="B2950" s="209" t="n"/>
      <c r="C2950" s="207" t="n"/>
      <c r="D2950" s="963" t="n"/>
      <c r="E2950" s="215" t="n"/>
      <c r="F2950" s="209" t="n"/>
      <c r="G2950" s="209" t="n"/>
      <c r="H2950" s="209" t="n"/>
      <c r="I2950" s="209" t="n"/>
      <c r="J2950" s="215" t="n"/>
      <c r="K2950" s="209" t="n"/>
      <c r="L2950" s="425" t="n"/>
      <c r="M2950" s="962" t="n"/>
      <c r="N2950" s="215" t="n"/>
    </row>
    <row r="2951" ht="12.75" customHeight="1">
      <c r="A2951" s="209" t="n"/>
      <c r="B2951" s="209" t="n"/>
      <c r="C2951" s="207" t="n"/>
      <c r="D2951" s="963" t="n"/>
      <c r="E2951" s="215" t="n"/>
      <c r="F2951" s="209" t="n"/>
      <c r="G2951" s="209" t="n"/>
      <c r="H2951" s="209" t="n"/>
      <c r="I2951" s="209" t="n"/>
      <c r="J2951" s="215" t="n"/>
      <c r="K2951" s="209" t="n"/>
      <c r="L2951" s="425" t="n"/>
      <c r="M2951" s="962" t="n"/>
      <c r="N2951" s="215" t="n"/>
    </row>
    <row r="2952">
      <c r="A2952" s="209" t="n"/>
      <c r="B2952" s="209" t="n"/>
      <c r="C2952" s="207" t="n"/>
      <c r="D2952" s="963" t="n"/>
      <c r="E2952" s="214" t="n"/>
      <c r="F2952" s="207" t="n"/>
      <c r="G2952" s="207" t="n"/>
      <c r="H2952" s="209" t="n"/>
      <c r="I2952" s="209" t="n"/>
      <c r="J2952" s="214" t="n"/>
      <c r="K2952" s="209" t="n"/>
      <c r="L2952" s="425" t="n"/>
      <c r="M2952" s="962" t="n"/>
      <c r="N2952" s="214" t="n"/>
    </row>
    <row r="2953" ht="12.75" customHeight="1">
      <c r="A2953" s="209" t="n"/>
      <c r="B2953" s="209" t="n"/>
      <c r="C2953" s="207" t="n"/>
      <c r="D2953" s="963" t="n"/>
      <c r="E2953" s="215" t="n"/>
      <c r="F2953" s="209" t="n"/>
      <c r="G2953" s="209" t="n"/>
      <c r="H2953" s="209" t="n"/>
      <c r="I2953" s="209" t="n"/>
      <c r="J2953" s="215" t="n"/>
      <c r="K2953" s="209" t="n"/>
      <c r="L2953" s="425" t="n"/>
      <c r="M2953" s="962" t="n"/>
      <c r="N2953" s="215" t="n"/>
    </row>
    <row r="2954" ht="12.75" customHeight="1">
      <c r="A2954" s="209" t="n"/>
      <c r="B2954" s="209" t="n"/>
      <c r="C2954" s="207" t="n"/>
      <c r="D2954" s="963" t="n"/>
      <c r="E2954" s="215" t="n"/>
      <c r="F2954" s="209" t="n"/>
      <c r="G2954" s="209" t="n"/>
      <c r="H2954" s="209" t="n"/>
      <c r="I2954" s="209" t="n"/>
      <c r="J2954" s="215" t="n"/>
      <c r="K2954" s="209" t="n"/>
      <c r="L2954" s="425" t="n"/>
      <c r="M2954" s="962" t="n"/>
      <c r="N2954" s="215" t="n"/>
    </row>
    <row r="2955">
      <c r="A2955" s="209" t="n"/>
      <c r="B2955" s="209" t="n"/>
      <c r="C2955" s="207" t="n"/>
      <c r="D2955" s="963" t="n"/>
      <c r="E2955" s="215" t="n"/>
      <c r="F2955" s="209" t="n"/>
      <c r="G2955" s="209" t="n"/>
      <c r="H2955" s="209" t="n"/>
      <c r="I2955" s="209" t="n"/>
      <c r="J2955" s="215" t="n"/>
      <c r="K2955" s="209" t="n"/>
      <c r="L2955" s="425" t="n"/>
      <c r="M2955" s="962" t="n"/>
      <c r="N2955" s="215" t="n"/>
    </row>
    <row r="2956">
      <c r="A2956" s="209" t="n"/>
      <c r="B2956" s="209" t="n"/>
      <c r="C2956" s="207" t="n"/>
      <c r="D2956" s="963" t="n"/>
      <c r="E2956" s="215" t="n"/>
      <c r="F2956" s="209" t="n"/>
      <c r="G2956" s="209" t="n"/>
      <c r="H2956" s="209" t="n"/>
      <c r="I2956" s="209" t="n"/>
      <c r="J2956" s="215" t="n"/>
      <c r="K2956" s="209" t="n"/>
      <c r="L2956" s="425" t="n"/>
      <c r="M2956" s="962" t="n"/>
      <c r="N2956" s="215" t="n"/>
    </row>
    <row r="2957" ht="12.75" customHeight="1">
      <c r="A2957" s="209" t="n"/>
      <c r="B2957" s="209" t="n"/>
      <c r="C2957" s="207" t="n"/>
      <c r="D2957" s="963" t="n"/>
      <c r="E2957" s="215" t="n"/>
      <c r="F2957" s="209" t="n"/>
      <c r="G2957" s="209" t="n"/>
      <c r="H2957" s="209" t="n"/>
      <c r="I2957" s="209" t="n"/>
      <c r="J2957" s="215" t="n"/>
      <c r="K2957" s="209" t="n"/>
      <c r="L2957" s="425" t="n"/>
      <c r="M2957" s="962" t="n"/>
      <c r="N2957" s="215" t="n"/>
    </row>
    <row r="2958">
      <c r="A2958" s="209" t="n"/>
      <c r="B2958" s="209" t="n"/>
      <c r="C2958" s="207" t="n"/>
      <c r="D2958" s="963" t="n"/>
      <c r="E2958" s="214" t="n"/>
      <c r="F2958" s="207" t="n"/>
      <c r="G2958" s="207" t="n"/>
      <c r="H2958" s="208" t="n"/>
      <c r="I2958" s="208" t="n"/>
      <c r="J2958" s="214" t="n"/>
      <c r="K2958" s="208" t="n"/>
      <c r="L2958" s="424" t="n"/>
      <c r="M2958" s="961" t="n"/>
      <c r="N2958" s="214" t="n"/>
    </row>
    <row r="2959">
      <c r="A2959" s="209" t="n"/>
      <c r="B2959" s="209" t="n"/>
      <c r="C2959" s="209" t="n"/>
      <c r="D2959" s="960" t="n"/>
      <c r="E2959" s="215" t="n"/>
      <c r="F2959" s="209" t="n"/>
      <c r="G2959" s="209" t="n"/>
      <c r="H2959" s="209" t="n"/>
      <c r="I2959" s="209" t="n"/>
      <c r="J2959" s="215" t="n"/>
      <c r="K2959" s="209" t="n"/>
      <c r="L2959" s="425" t="n"/>
      <c r="M2959" s="962" t="n"/>
      <c r="N2959" s="215" t="n"/>
    </row>
    <row r="2960">
      <c r="A2960" s="209" t="n"/>
      <c r="B2960" s="209" t="n"/>
      <c r="C2960" s="207" t="n"/>
      <c r="D2960" s="963" t="n"/>
      <c r="E2960" s="214" t="n"/>
      <c r="F2960" s="207" t="n"/>
      <c r="G2960" s="207" t="n"/>
      <c r="H2960" s="208" t="n"/>
      <c r="I2960" s="208" t="n"/>
      <c r="J2960" s="214" t="n"/>
      <c r="K2960" s="208" t="n"/>
      <c r="L2960" s="424" t="n"/>
      <c r="M2960" s="961" t="n"/>
      <c r="N2960" s="214" t="n"/>
    </row>
    <row r="2961">
      <c r="A2961" s="209" t="n"/>
      <c r="B2961" s="209" t="n"/>
      <c r="C2961" s="207" t="n"/>
      <c r="D2961" s="963" t="n"/>
      <c r="E2961" s="214" t="n"/>
      <c r="F2961" s="207" t="n"/>
      <c r="G2961" s="207" t="n"/>
      <c r="H2961" s="208" t="n"/>
      <c r="I2961" s="208" t="n"/>
      <c r="J2961" s="214" t="n"/>
      <c r="K2961" s="208" t="n"/>
      <c r="L2961" s="424" t="n"/>
      <c r="M2961" s="961" t="n"/>
      <c r="N2961" s="214" t="n"/>
    </row>
    <row r="2962">
      <c r="A2962" s="209" t="n"/>
      <c r="B2962" s="209" t="n"/>
      <c r="C2962" s="209" t="n"/>
      <c r="D2962" s="960" t="n"/>
      <c r="E2962" s="215" t="n"/>
      <c r="F2962" s="209" t="n"/>
      <c r="G2962" s="209" t="n"/>
      <c r="H2962" s="209" t="n"/>
      <c r="I2962" s="209" t="n"/>
      <c r="J2962" s="215" t="n"/>
      <c r="K2962" s="209" t="n"/>
      <c r="L2962" s="425" t="n"/>
      <c r="M2962" s="962" t="n"/>
      <c r="N2962" s="215" t="n"/>
    </row>
    <row r="2963">
      <c r="A2963" s="209" t="n"/>
      <c r="B2963" s="209" t="n"/>
      <c r="C2963" s="207" t="n"/>
      <c r="D2963" s="963" t="n"/>
      <c r="E2963" s="214" t="n"/>
      <c r="F2963" s="207" t="n"/>
      <c r="G2963" s="207" t="n"/>
      <c r="H2963" s="208" t="n"/>
      <c r="I2963" s="208" t="n"/>
      <c r="J2963" s="214" t="n"/>
      <c r="K2963" s="208" t="n"/>
      <c r="L2963" s="424" t="n"/>
      <c r="M2963" s="961" t="n"/>
      <c r="N2963" s="214" t="n"/>
    </row>
    <row r="2964">
      <c r="A2964" s="209" t="n"/>
      <c r="B2964" s="209" t="n"/>
      <c r="C2964" s="207" t="n"/>
      <c r="D2964" s="963" t="n"/>
      <c r="E2964" s="214" t="n"/>
      <c r="F2964" s="207" t="n"/>
      <c r="G2964" s="207" t="n"/>
      <c r="H2964" s="208" t="n"/>
      <c r="I2964" s="208" t="n"/>
      <c r="J2964" s="214" t="n"/>
      <c r="K2964" s="208" t="n"/>
      <c r="L2964" s="424" t="n"/>
      <c r="M2964" s="961" t="n"/>
      <c r="N2964" s="214" t="n"/>
    </row>
    <row r="2965">
      <c r="A2965" s="209" t="n"/>
      <c r="B2965" s="209" t="n"/>
      <c r="C2965" s="209" t="n"/>
      <c r="D2965" s="960" t="n"/>
      <c r="E2965" s="215" t="n"/>
      <c r="F2965" s="209" t="n"/>
      <c r="G2965" s="209" t="n"/>
      <c r="H2965" s="209" t="n"/>
      <c r="I2965" s="209" t="n"/>
      <c r="J2965" s="215" t="n"/>
      <c r="K2965" s="209" t="n"/>
      <c r="L2965" s="425" t="n"/>
      <c r="M2965" s="962" t="n"/>
      <c r="N2965" s="215" t="n"/>
    </row>
    <row r="2966">
      <c r="A2966" s="209" t="n"/>
      <c r="B2966" s="209" t="n"/>
      <c r="C2966" s="207" t="n"/>
      <c r="D2966" s="963" t="n"/>
      <c r="E2966" s="214" t="n"/>
      <c r="F2966" s="207" t="n"/>
      <c r="G2966" s="207" t="n"/>
      <c r="H2966" s="208" t="n"/>
      <c r="I2966" s="208" t="n"/>
      <c r="J2966" s="214" t="n"/>
      <c r="K2966" s="208" t="n"/>
      <c r="L2966" s="424" t="n"/>
      <c r="M2966" s="961" t="n"/>
      <c r="N2966" s="214" t="n"/>
    </row>
    <row r="2967">
      <c r="A2967" s="209" t="n"/>
      <c r="B2967" s="209" t="n"/>
      <c r="C2967" s="207" t="n"/>
      <c r="D2967" s="963" t="n"/>
      <c r="E2967" s="214" t="n"/>
      <c r="F2967" s="207" t="n"/>
      <c r="G2967" s="207" t="n"/>
      <c r="H2967" s="208" t="n"/>
      <c r="I2967" s="208" t="n"/>
      <c r="J2967" s="214" t="n"/>
      <c r="K2967" s="208" t="n"/>
      <c r="L2967" s="424" t="n"/>
      <c r="M2967" s="961" t="n"/>
      <c r="N2967" s="214" t="n"/>
    </row>
    <row r="2968">
      <c r="A2968" s="209" t="n"/>
      <c r="B2968" s="209" t="n"/>
      <c r="C2968" s="207" t="n"/>
      <c r="D2968" s="963" t="n"/>
      <c r="E2968" s="214" t="n"/>
      <c r="F2968" s="207" t="n"/>
      <c r="G2968" s="207" t="n"/>
      <c r="H2968" s="208" t="n"/>
      <c r="I2968" s="208" t="n"/>
      <c r="J2968" s="214" t="n"/>
      <c r="K2968" s="208" t="n"/>
      <c r="L2968" s="424" t="n"/>
      <c r="M2968" s="961" t="n"/>
      <c r="N2968" s="214" t="n"/>
    </row>
    <row r="2969">
      <c r="A2969" s="209" t="n"/>
      <c r="B2969" s="209" t="n"/>
      <c r="C2969" s="207" t="n"/>
      <c r="D2969" s="963" t="n"/>
      <c r="E2969" s="214" t="n"/>
      <c r="F2969" s="207" t="n"/>
      <c r="G2969" s="207" t="n"/>
      <c r="H2969" s="208" t="n"/>
      <c r="I2969" s="208" t="n"/>
      <c r="J2969" s="214" t="n"/>
      <c r="K2969" s="208" t="n"/>
      <c r="L2969" s="424" t="n"/>
      <c r="M2969" s="961" t="n"/>
      <c r="N2969" s="214" t="n"/>
    </row>
    <row r="2970">
      <c r="A2970" s="209" t="n"/>
      <c r="B2970" s="209" t="n"/>
      <c r="C2970" s="207" t="n"/>
      <c r="D2970" s="963" t="n"/>
      <c r="E2970" s="214" t="n"/>
      <c r="F2970" s="207" t="n"/>
      <c r="G2970" s="207" t="n"/>
      <c r="H2970" s="208" t="n"/>
      <c r="I2970" s="208" t="n"/>
      <c r="J2970" s="214" t="n"/>
      <c r="K2970" s="208" t="n"/>
      <c r="L2970" s="424" t="n"/>
      <c r="M2970" s="961" t="n"/>
      <c r="N2970" s="214" t="n"/>
    </row>
    <row r="2971">
      <c r="A2971" s="209" t="n"/>
      <c r="B2971" s="209" t="n"/>
      <c r="C2971" s="207" t="n"/>
      <c r="D2971" s="963" t="n"/>
      <c r="E2971" s="214" t="n"/>
      <c r="F2971" s="207" t="n"/>
      <c r="G2971" s="207" t="n"/>
      <c r="H2971" s="208" t="n"/>
      <c r="I2971" s="208" t="n"/>
      <c r="J2971" s="214" t="n"/>
      <c r="K2971" s="208" t="n"/>
      <c r="L2971" s="424" t="n"/>
      <c r="M2971" s="961" t="n"/>
      <c r="N2971" s="214" t="n"/>
    </row>
    <row r="2972">
      <c r="A2972" s="209" t="n"/>
      <c r="B2972" s="209" t="n"/>
      <c r="C2972" s="207" t="n"/>
      <c r="D2972" s="963" t="n"/>
      <c r="E2972" s="214" t="n"/>
      <c r="F2972" s="207" t="n"/>
      <c r="G2972" s="207" t="n"/>
      <c r="H2972" s="208" t="n"/>
      <c r="I2972" s="208" t="n"/>
      <c r="J2972" s="214" t="n"/>
      <c r="K2972" s="208" t="n"/>
      <c r="L2972" s="424" t="n"/>
      <c r="M2972" s="961" t="n"/>
      <c r="N2972" s="214" t="n"/>
    </row>
    <row r="2973">
      <c r="A2973" s="209" t="n"/>
      <c r="B2973" s="209" t="n"/>
      <c r="C2973" s="207" t="n"/>
      <c r="D2973" s="963" t="n"/>
      <c r="E2973" s="214" t="n"/>
      <c r="F2973" s="207" t="n"/>
      <c r="G2973" s="207" t="n"/>
      <c r="H2973" s="208" t="n"/>
      <c r="I2973" s="208" t="n"/>
      <c r="J2973" s="214" t="n"/>
      <c r="K2973" s="208" t="n"/>
      <c r="L2973" s="424" t="n"/>
      <c r="M2973" s="961" t="n"/>
      <c r="N2973" s="214" t="n"/>
    </row>
    <row r="2974">
      <c r="A2974" s="209" t="n"/>
      <c r="B2974" s="209" t="n"/>
      <c r="C2974" s="209" t="n"/>
      <c r="D2974" s="960" t="n"/>
      <c r="E2974" s="215" t="n"/>
      <c r="F2974" s="209" t="n"/>
      <c r="G2974" s="209" t="n"/>
      <c r="H2974" s="209" t="n"/>
      <c r="I2974" s="209" t="n"/>
      <c r="J2974" s="215" t="n"/>
      <c r="K2974" s="209" t="n"/>
      <c r="L2974" s="425" t="n"/>
      <c r="M2974" s="962" t="n"/>
      <c r="N2974" s="215" t="n"/>
    </row>
    <row r="2975">
      <c r="A2975" s="209" t="n"/>
      <c r="B2975" s="209" t="n"/>
      <c r="C2975" s="207" t="n"/>
      <c r="D2975" s="963" t="n"/>
      <c r="E2975" s="214" t="n"/>
      <c r="F2975" s="207" t="n"/>
      <c r="G2975" s="207" t="n"/>
      <c r="H2975" s="208" t="n"/>
      <c r="I2975" s="208" t="n"/>
      <c r="J2975" s="214" t="n"/>
      <c r="K2975" s="208" t="n"/>
      <c r="L2975" s="424" t="n"/>
      <c r="M2975" s="961" t="n"/>
      <c r="N2975" s="214" t="n"/>
    </row>
    <row r="2976">
      <c r="A2976" s="209" t="n"/>
      <c r="B2976" s="209" t="n"/>
      <c r="C2976" s="207" t="n"/>
      <c r="D2976" s="963" t="n"/>
      <c r="E2976" s="214" t="n"/>
      <c r="F2976" s="207" t="n"/>
      <c r="G2976" s="207" t="n"/>
      <c r="H2976" s="208" t="n"/>
      <c r="I2976" s="208" t="n"/>
      <c r="J2976" s="214" t="n"/>
      <c r="K2976" s="208" t="n"/>
      <c r="L2976" s="424" t="n"/>
      <c r="M2976" s="961" t="n"/>
      <c r="N2976" s="214" t="n"/>
    </row>
    <row r="2977">
      <c r="A2977" s="209" t="n"/>
      <c r="B2977" s="209" t="n"/>
      <c r="C2977" s="209" t="n"/>
      <c r="D2977" s="960" t="n"/>
      <c r="E2977" s="215" t="n"/>
      <c r="F2977" s="209" t="n"/>
      <c r="G2977" s="209" t="n"/>
      <c r="H2977" s="209" t="n"/>
      <c r="I2977" s="209" t="n"/>
      <c r="J2977" s="215" t="n"/>
      <c r="K2977" s="209" t="n"/>
      <c r="L2977" s="425" t="n"/>
      <c r="M2977" s="962" t="n"/>
      <c r="N2977" s="215" t="n"/>
    </row>
    <row r="2978">
      <c r="A2978" s="209" t="n"/>
      <c r="B2978" s="209" t="n"/>
      <c r="C2978" s="207" t="n"/>
      <c r="D2978" s="963" t="n"/>
      <c r="E2978" s="214" t="n"/>
      <c r="F2978" s="207" t="n"/>
      <c r="G2978" s="207" t="n"/>
      <c r="H2978" s="208" t="n"/>
      <c r="I2978" s="208" t="n"/>
      <c r="J2978" s="214" t="n"/>
      <c r="K2978" s="208" t="n"/>
      <c r="L2978" s="424" t="n"/>
      <c r="M2978" s="961" t="n"/>
      <c r="N2978" s="214" t="n"/>
    </row>
    <row r="2979">
      <c r="A2979" s="209" t="n"/>
      <c r="B2979" s="209" t="n"/>
      <c r="C2979" s="207" t="n"/>
      <c r="D2979" s="963" t="n"/>
      <c r="E2979" s="214" t="n"/>
      <c r="F2979" s="207" t="n"/>
      <c r="G2979" s="207" t="n"/>
      <c r="H2979" s="208" t="n"/>
      <c r="I2979" s="208" t="n"/>
      <c r="J2979" s="214" t="n"/>
      <c r="K2979" s="208" t="n"/>
      <c r="L2979" s="424" t="n"/>
      <c r="M2979" s="961" t="n"/>
      <c r="N2979" s="214" t="n"/>
    </row>
    <row r="2980">
      <c r="A2980" s="209" t="n"/>
      <c r="B2980" s="209" t="n"/>
      <c r="C2980" s="209" t="n"/>
      <c r="D2980" s="960" t="n"/>
      <c r="E2980" s="215" t="n"/>
      <c r="F2980" s="209" t="n"/>
      <c r="G2980" s="209" t="n"/>
      <c r="H2980" s="209" t="n"/>
      <c r="I2980" s="209" t="n"/>
      <c r="J2980" s="215" t="n"/>
      <c r="K2980" s="209" t="n"/>
      <c r="L2980" s="425" t="n"/>
      <c r="M2980" s="962" t="n"/>
      <c r="N2980" s="215" t="n"/>
    </row>
    <row r="2981">
      <c r="A2981" s="209" t="n"/>
      <c r="B2981" s="209" t="n"/>
      <c r="C2981" s="207" t="n"/>
      <c r="D2981" s="963" t="n"/>
      <c r="E2981" s="214" t="n"/>
      <c r="F2981" s="207" t="n"/>
      <c r="G2981" s="207" t="n"/>
      <c r="H2981" s="208" t="n"/>
      <c r="I2981" s="208" t="n"/>
      <c r="J2981" s="214" t="n"/>
      <c r="K2981" s="208" t="n"/>
      <c r="L2981" s="424" t="n"/>
      <c r="M2981" s="961" t="n"/>
      <c r="N2981" s="214" t="n"/>
    </row>
    <row r="2982">
      <c r="A2982" s="209" t="n"/>
      <c r="B2982" s="209" t="n"/>
      <c r="C2982" s="207" t="n"/>
      <c r="D2982" s="963" t="n"/>
      <c r="E2982" s="214" t="n"/>
      <c r="F2982" s="207" t="n"/>
      <c r="G2982" s="207" t="n"/>
      <c r="H2982" s="208" t="n"/>
      <c r="I2982" s="208" t="n"/>
      <c r="J2982" s="214" t="n"/>
      <c r="K2982" s="208" t="n"/>
      <c r="L2982" s="424" t="n"/>
      <c r="M2982" s="961" t="n"/>
      <c r="N2982" s="214" t="n"/>
    </row>
    <row r="2983">
      <c r="A2983" s="209" t="n"/>
      <c r="B2983" s="209" t="n"/>
      <c r="C2983" s="209" t="n"/>
      <c r="D2983" s="960" t="n"/>
      <c r="E2983" s="215" t="n"/>
      <c r="F2983" s="209" t="n"/>
      <c r="G2983" s="209" t="n"/>
      <c r="H2983" s="209" t="n"/>
      <c r="I2983" s="209" t="n"/>
      <c r="J2983" s="215" t="n"/>
      <c r="K2983" s="209" t="n"/>
      <c r="L2983" s="425" t="n"/>
      <c r="M2983" s="962" t="n"/>
      <c r="N2983" s="215" t="n"/>
    </row>
    <row r="2984">
      <c r="A2984" s="209" t="n"/>
      <c r="B2984" s="209" t="n"/>
      <c r="C2984" s="207" t="n"/>
      <c r="D2984" s="963" t="n"/>
      <c r="E2984" s="214" t="n"/>
      <c r="F2984" s="207" t="n"/>
      <c r="G2984" s="207" t="n"/>
      <c r="H2984" s="208" t="n"/>
      <c r="I2984" s="208" t="n"/>
      <c r="J2984" s="214" t="n"/>
      <c r="K2984" s="208" t="n"/>
      <c r="L2984" s="424" t="n"/>
      <c r="M2984" s="961" t="n"/>
      <c r="N2984" s="214" t="n"/>
    </row>
    <row r="2985">
      <c r="A2985" s="209" t="n"/>
      <c r="B2985" s="209" t="n"/>
      <c r="C2985" s="207" t="n"/>
      <c r="D2985" s="963" t="n"/>
      <c r="E2985" s="214" t="n"/>
      <c r="F2985" s="207" t="n"/>
      <c r="G2985" s="207" t="n"/>
      <c r="H2985" s="208" t="n"/>
      <c r="I2985" s="208" t="n"/>
      <c r="J2985" s="214" t="n"/>
      <c r="K2985" s="208" t="n"/>
      <c r="L2985" s="424" t="n"/>
      <c r="M2985" s="961" t="n"/>
      <c r="N2985" s="214" t="n"/>
    </row>
    <row r="2986">
      <c r="A2986" s="209" t="n"/>
      <c r="B2986" s="209" t="n"/>
      <c r="C2986" s="209" t="n"/>
      <c r="D2986" s="960" t="n"/>
      <c r="E2986" s="215" t="n"/>
      <c r="F2986" s="209" t="n"/>
      <c r="G2986" s="209" t="n"/>
      <c r="H2986" s="209" t="n"/>
      <c r="I2986" s="209" t="n"/>
      <c r="J2986" s="215" t="n"/>
      <c r="K2986" s="209" t="n"/>
      <c r="L2986" s="425" t="n"/>
      <c r="M2986" s="962" t="n"/>
      <c r="N2986" s="215" t="n"/>
    </row>
    <row r="2987">
      <c r="A2987" s="209" t="n"/>
      <c r="B2987" s="209" t="n"/>
      <c r="C2987" s="207" t="n"/>
      <c r="D2987" s="963" t="n"/>
      <c r="E2987" s="214" t="n"/>
      <c r="F2987" s="207" t="n"/>
      <c r="G2987" s="207" t="n"/>
      <c r="H2987" s="208" t="n"/>
      <c r="I2987" s="208" t="n"/>
      <c r="J2987" s="214" t="n"/>
      <c r="K2987" s="208" t="n"/>
      <c r="L2987" s="424" t="n"/>
      <c r="M2987" s="961" t="n"/>
      <c r="N2987" s="214" t="n"/>
    </row>
    <row r="2988">
      <c r="A2988" s="209" t="n"/>
      <c r="B2988" s="209" t="n"/>
      <c r="C2988" s="207" t="n"/>
      <c r="D2988" s="963" t="n"/>
      <c r="E2988" s="214" t="n"/>
      <c r="F2988" s="207" t="n"/>
      <c r="G2988" s="207" t="n"/>
      <c r="H2988" s="208" t="n"/>
      <c r="I2988" s="208" t="n"/>
      <c r="J2988" s="214" t="n"/>
      <c r="K2988" s="208" t="n"/>
      <c r="L2988" s="424" t="n"/>
      <c r="M2988" s="961" t="n"/>
      <c r="N2988" s="214" t="n"/>
    </row>
    <row r="2989">
      <c r="A2989" s="209" t="n"/>
      <c r="B2989" s="209" t="n"/>
      <c r="C2989" s="209" t="n"/>
      <c r="D2989" s="960" t="n"/>
      <c r="E2989" s="215" t="n"/>
      <c r="F2989" s="209" t="n"/>
      <c r="G2989" s="209" t="n"/>
      <c r="H2989" s="209" t="n"/>
      <c r="I2989" s="209" t="n"/>
      <c r="J2989" s="215" t="n"/>
      <c r="K2989" s="209" t="n"/>
      <c r="L2989" s="425" t="n"/>
      <c r="M2989" s="962" t="n"/>
      <c r="N2989" s="215" t="n"/>
    </row>
    <row r="2990">
      <c r="A2990" s="209" t="n"/>
      <c r="B2990" s="209" t="n"/>
      <c r="C2990" s="207" t="n"/>
      <c r="D2990" s="963" t="n"/>
      <c r="E2990" s="214" t="n"/>
      <c r="F2990" s="207" t="n"/>
      <c r="G2990" s="207" t="n"/>
      <c r="H2990" s="208" t="n"/>
      <c r="I2990" s="208" t="n"/>
      <c r="J2990" s="214" t="n"/>
      <c r="K2990" s="208" t="n"/>
      <c r="L2990" s="424" t="n"/>
      <c r="M2990" s="961" t="n"/>
      <c r="N2990" s="214" t="n"/>
    </row>
    <row r="2991">
      <c r="A2991" s="209" t="n"/>
      <c r="B2991" s="209" t="n"/>
      <c r="C2991" s="207" t="n"/>
      <c r="D2991" s="963" t="n"/>
      <c r="E2991" s="214" t="n"/>
      <c r="F2991" s="207" t="n"/>
      <c r="G2991" s="207" t="n"/>
      <c r="H2991" s="208" t="n"/>
      <c r="I2991" s="208" t="n"/>
      <c r="J2991" s="214" t="n"/>
      <c r="K2991" s="208" t="n"/>
      <c r="L2991" s="424" t="n"/>
      <c r="M2991" s="961" t="n"/>
      <c r="N2991" s="214" t="n"/>
    </row>
    <row r="2992">
      <c r="A2992" s="209" t="n"/>
      <c r="B2992" s="209" t="n"/>
      <c r="C2992" s="207" t="n"/>
      <c r="D2992" s="963" t="n"/>
      <c r="E2992" s="214" t="n"/>
      <c r="F2992" s="207" t="n"/>
      <c r="G2992" s="207" t="n"/>
      <c r="H2992" s="208" t="n"/>
      <c r="I2992" s="208" t="n"/>
      <c r="J2992" s="214" t="n"/>
      <c r="K2992" s="208" t="n"/>
      <c r="L2992" s="424" t="n"/>
      <c r="M2992" s="961" t="n"/>
      <c r="N2992" s="214" t="n"/>
    </row>
    <row r="2993">
      <c r="A2993" s="209" t="n"/>
      <c r="B2993" s="209" t="n"/>
      <c r="C2993" s="207" t="n"/>
      <c r="D2993" s="963" t="n"/>
      <c r="E2993" s="214" t="n"/>
      <c r="F2993" s="207" t="n"/>
      <c r="G2993" s="207" t="n"/>
      <c r="H2993" s="208" t="n"/>
      <c r="I2993" s="208" t="n"/>
      <c r="J2993" s="214" t="n"/>
      <c r="K2993" s="208" t="n"/>
      <c r="L2993" s="424" t="n"/>
      <c r="M2993" s="961" t="n"/>
      <c r="N2993" s="214" t="n"/>
    </row>
    <row r="2994">
      <c r="A2994" s="209" t="n"/>
      <c r="B2994" s="209" t="n"/>
      <c r="C2994" s="207" t="n"/>
      <c r="D2994" s="963" t="n"/>
      <c r="E2994" s="214" t="n"/>
      <c r="F2994" s="207" t="n"/>
      <c r="G2994" s="207" t="n"/>
      <c r="H2994" s="208" t="n"/>
      <c r="I2994" s="208" t="n"/>
      <c r="J2994" s="214" t="n"/>
      <c r="K2994" s="208" t="n"/>
      <c r="L2994" s="424" t="n"/>
      <c r="M2994" s="961" t="n"/>
      <c r="N2994" s="214" t="n"/>
    </row>
    <row r="2995">
      <c r="A2995" s="209" t="n"/>
      <c r="B2995" s="209" t="n"/>
      <c r="C2995" s="207" t="n"/>
      <c r="D2995" s="963" t="n"/>
      <c r="E2995" s="214" t="n"/>
      <c r="F2995" s="207" t="n"/>
      <c r="G2995" s="207" t="n"/>
      <c r="H2995" s="208" t="n"/>
      <c r="I2995" s="208" t="n"/>
      <c r="J2995" s="214" t="n"/>
      <c r="K2995" s="208" t="n"/>
      <c r="L2995" s="424" t="n"/>
      <c r="M2995" s="961" t="n"/>
      <c r="N2995" s="214" t="n"/>
    </row>
    <row r="2996">
      <c r="A2996" s="209" t="n"/>
      <c r="B2996" s="209" t="n"/>
      <c r="C2996" s="207" t="n"/>
      <c r="D2996" s="963" t="n"/>
      <c r="E2996" s="214" t="n"/>
      <c r="F2996" s="207" t="n"/>
      <c r="G2996" s="207" t="n"/>
      <c r="H2996" s="208" t="n"/>
      <c r="I2996" s="208" t="n"/>
      <c r="J2996" s="214" t="n"/>
      <c r="K2996" s="208" t="n"/>
      <c r="L2996" s="424" t="n"/>
      <c r="M2996" s="961" t="n"/>
      <c r="N2996" s="214" t="n"/>
    </row>
    <row r="2997">
      <c r="A2997" s="209" t="n"/>
      <c r="B2997" s="209" t="n"/>
      <c r="C2997" s="207" t="n"/>
      <c r="D2997" s="963" t="n"/>
      <c r="E2997" s="214" t="n"/>
      <c r="F2997" s="207" t="n"/>
      <c r="G2997" s="207" t="n"/>
      <c r="H2997" s="208" t="n"/>
      <c r="I2997" s="208" t="n"/>
      <c r="J2997" s="214" t="n"/>
      <c r="K2997" s="208" t="n"/>
      <c r="L2997" s="424" t="n"/>
      <c r="M2997" s="961" t="n"/>
      <c r="N2997" s="214" t="n"/>
    </row>
    <row r="2998">
      <c r="A2998" s="209" t="n"/>
      <c r="B2998" s="209" t="n"/>
      <c r="C2998" s="207" t="n"/>
      <c r="D2998" s="963" t="n"/>
      <c r="E2998" s="214" t="n"/>
      <c r="F2998" s="207" t="n"/>
      <c r="G2998" s="207" t="n"/>
      <c r="H2998" s="208" t="n"/>
      <c r="I2998" s="208" t="n"/>
      <c r="J2998" s="214" t="n"/>
      <c r="K2998" s="208" t="n"/>
      <c r="L2998" s="424" t="n"/>
      <c r="M2998" s="961" t="n"/>
      <c r="N2998" s="214" t="n"/>
    </row>
    <row r="2999">
      <c r="A2999" s="209" t="n"/>
      <c r="B2999" s="209" t="n"/>
      <c r="C2999" s="207" t="n"/>
      <c r="D2999" s="963" t="n"/>
      <c r="E2999" s="214" t="n"/>
      <c r="F2999" s="207" t="n"/>
      <c r="G2999" s="207" t="n"/>
      <c r="H2999" s="208" t="n"/>
      <c r="I2999" s="208" t="n"/>
      <c r="J2999" s="214" t="n"/>
      <c r="K2999" s="208" t="n"/>
      <c r="L2999" s="424" t="n"/>
      <c r="M2999" s="961" t="n"/>
      <c r="N2999" s="214" t="n"/>
    </row>
    <row r="3000">
      <c r="A3000" s="209" t="n"/>
      <c r="B3000" s="209" t="n"/>
      <c r="C3000" s="207" t="n"/>
      <c r="D3000" s="963" t="n"/>
      <c r="E3000" s="214" t="n"/>
      <c r="F3000" s="207" t="n"/>
      <c r="G3000" s="207" t="n"/>
      <c r="H3000" s="208" t="n"/>
      <c r="I3000" s="208" t="n"/>
      <c r="J3000" s="214" t="n"/>
      <c r="K3000" s="208" t="n"/>
      <c r="L3000" s="424" t="n"/>
      <c r="M3000" s="961" t="n"/>
      <c r="N3000" s="214" t="n"/>
    </row>
    <row r="3001">
      <c r="A3001" s="209" t="n"/>
      <c r="B3001" s="209" t="n"/>
      <c r="C3001" s="207" t="n"/>
      <c r="D3001" s="963" t="n"/>
      <c r="E3001" s="214" t="n"/>
      <c r="F3001" s="207" t="n"/>
      <c r="G3001" s="207" t="n"/>
      <c r="H3001" s="208" t="n"/>
      <c r="I3001" s="208" t="n"/>
      <c r="J3001" s="214" t="n"/>
      <c r="K3001" s="208" t="n"/>
      <c r="L3001" s="424" t="n"/>
      <c r="M3001" s="961" t="n"/>
      <c r="N3001" s="214" t="n"/>
    </row>
    <row r="3002">
      <c r="A3002" s="209" t="n"/>
      <c r="B3002" s="209" t="n"/>
      <c r="C3002" s="207" t="n"/>
      <c r="D3002" s="963" t="n"/>
      <c r="E3002" s="214" t="n"/>
      <c r="F3002" s="207" t="n"/>
      <c r="G3002" s="207" t="n"/>
      <c r="H3002" s="208" t="n"/>
      <c r="I3002" s="208" t="n"/>
      <c r="J3002" s="214" t="n"/>
      <c r="K3002" s="208" t="n"/>
      <c r="L3002" s="424" t="n"/>
      <c r="M3002" s="961" t="n"/>
      <c r="N3002" s="214" t="n"/>
    </row>
    <row r="3003">
      <c r="A3003" s="209" t="n"/>
      <c r="B3003" s="209" t="n"/>
      <c r="C3003" s="207" t="n"/>
      <c r="D3003" s="963" t="n"/>
      <c r="E3003" s="214" t="n"/>
      <c r="F3003" s="207" t="n"/>
      <c r="G3003" s="207" t="n"/>
      <c r="H3003" s="208" t="n"/>
      <c r="I3003" s="208" t="n"/>
      <c r="J3003" s="214" t="n"/>
      <c r="K3003" s="208" t="n"/>
      <c r="L3003" s="424" t="n"/>
      <c r="M3003" s="961" t="n"/>
      <c r="N3003" s="214" t="n"/>
    </row>
    <row r="3004">
      <c r="A3004" s="209" t="n"/>
      <c r="B3004" s="209" t="n"/>
      <c r="C3004" s="207" t="n"/>
      <c r="D3004" s="963" t="n"/>
      <c r="E3004" s="214" t="n"/>
      <c r="F3004" s="207" t="n"/>
      <c r="G3004" s="207" t="n"/>
      <c r="H3004" s="208" t="n"/>
      <c r="I3004" s="208" t="n"/>
      <c r="J3004" s="214" t="n"/>
      <c r="K3004" s="208" t="n"/>
      <c r="L3004" s="424" t="n"/>
      <c r="M3004" s="961" t="n"/>
      <c r="N3004" s="214" t="n"/>
    </row>
    <row r="3005">
      <c r="A3005" s="209" t="n"/>
      <c r="B3005" s="209" t="n"/>
      <c r="C3005" s="207" t="n"/>
      <c r="D3005" s="963" t="n"/>
      <c r="E3005" s="214" t="n"/>
      <c r="F3005" s="207" t="n"/>
      <c r="G3005" s="207" t="n"/>
      <c r="H3005" s="208" t="n"/>
      <c r="I3005" s="208" t="n"/>
      <c r="J3005" s="214" t="n"/>
      <c r="K3005" s="208" t="n"/>
      <c r="L3005" s="424" t="n"/>
      <c r="M3005" s="961" t="n"/>
      <c r="N3005" s="214" t="n"/>
    </row>
    <row r="3006">
      <c r="A3006" s="209" t="n"/>
      <c r="B3006" s="209" t="n"/>
      <c r="C3006" s="207" t="n"/>
      <c r="D3006" s="963" t="n"/>
      <c r="E3006" s="214" t="n"/>
      <c r="F3006" s="207" t="n"/>
      <c r="G3006" s="207" t="n"/>
      <c r="H3006" s="208" t="n"/>
      <c r="I3006" s="208" t="n"/>
      <c r="J3006" s="214" t="n"/>
      <c r="K3006" s="208" t="n"/>
      <c r="L3006" s="424" t="n"/>
      <c r="M3006" s="961" t="n"/>
      <c r="N3006" s="214" t="n"/>
    </row>
    <row r="3007">
      <c r="A3007" s="209" t="n"/>
      <c r="B3007" s="209" t="n"/>
      <c r="C3007" s="207" t="n"/>
      <c r="D3007" s="963" t="n"/>
      <c r="E3007" s="214" t="n"/>
      <c r="F3007" s="207" t="n"/>
      <c r="G3007" s="207" t="n"/>
      <c r="H3007" s="208" t="n"/>
      <c r="I3007" s="208" t="n"/>
      <c r="J3007" s="214" t="n"/>
      <c r="K3007" s="208" t="n"/>
      <c r="L3007" s="424" t="n"/>
      <c r="M3007" s="961" t="n"/>
      <c r="N3007" s="214" t="n"/>
    </row>
    <row r="3008">
      <c r="A3008" s="209" t="n"/>
      <c r="B3008" s="209" t="n"/>
      <c r="C3008" s="207" t="n"/>
      <c r="D3008" s="963" t="n"/>
      <c r="E3008" s="214" t="n"/>
      <c r="F3008" s="207" t="n"/>
      <c r="G3008" s="207" t="n"/>
      <c r="H3008" s="208" t="n"/>
      <c r="I3008" s="208" t="n"/>
      <c r="J3008" s="214" t="n"/>
      <c r="K3008" s="208" t="n"/>
      <c r="L3008" s="424" t="n"/>
      <c r="M3008" s="961" t="n"/>
      <c r="N3008" s="214" t="n"/>
    </row>
    <row r="3009">
      <c r="A3009" s="209" t="n"/>
      <c r="B3009" s="209" t="n"/>
      <c r="C3009" s="207" t="n"/>
      <c r="D3009" s="963" t="n"/>
      <c r="E3009" s="214" t="n"/>
      <c r="F3009" s="207" t="n"/>
      <c r="G3009" s="207" t="n"/>
      <c r="H3009" s="208" t="n"/>
      <c r="I3009" s="208" t="n"/>
      <c r="J3009" s="214" t="n"/>
      <c r="K3009" s="208" t="n"/>
      <c r="L3009" s="424" t="n"/>
      <c r="M3009" s="961" t="n"/>
      <c r="N3009" s="214" t="n"/>
    </row>
    <row r="3010">
      <c r="A3010" s="209" t="n"/>
      <c r="B3010" s="209" t="n"/>
      <c r="C3010" s="209" t="n"/>
      <c r="D3010" s="960" t="n"/>
      <c r="E3010" s="215" t="n"/>
      <c r="F3010" s="209" t="n"/>
      <c r="G3010" s="209" t="n"/>
      <c r="H3010" s="209" t="n"/>
      <c r="I3010" s="209" t="n"/>
      <c r="J3010" s="215" t="n"/>
      <c r="K3010" s="209" t="n"/>
      <c r="L3010" s="425" t="n"/>
      <c r="M3010" s="962" t="n"/>
      <c r="N3010" s="215" t="n"/>
    </row>
    <row r="3011">
      <c r="A3011" s="209" t="n"/>
      <c r="B3011" s="209" t="n"/>
      <c r="C3011" s="207" t="n"/>
      <c r="D3011" s="963" t="n"/>
      <c r="E3011" s="214" t="n"/>
      <c r="F3011" s="207" t="n"/>
      <c r="G3011" s="207" t="n"/>
      <c r="H3011" s="208" t="n"/>
      <c r="I3011" s="208" t="n"/>
      <c r="J3011" s="214" t="n"/>
      <c r="K3011" s="208" t="n"/>
      <c r="L3011" s="424" t="n"/>
      <c r="M3011" s="961" t="n"/>
      <c r="N3011" s="214" t="n"/>
    </row>
    <row r="3012">
      <c r="A3012" s="209" t="n"/>
      <c r="B3012" s="209" t="n"/>
      <c r="C3012" s="207" t="n"/>
      <c r="D3012" s="963" t="n"/>
      <c r="E3012" s="214" t="n"/>
      <c r="F3012" s="207" t="n"/>
      <c r="G3012" s="207" t="n"/>
      <c r="H3012" s="208" t="n"/>
      <c r="I3012" s="208" t="n"/>
      <c r="J3012" s="214" t="n"/>
      <c r="K3012" s="208" t="n"/>
      <c r="L3012" s="424" t="n"/>
      <c r="M3012" s="961" t="n"/>
      <c r="N3012" s="214" t="n"/>
    </row>
    <row r="3013">
      <c r="A3013" s="209" t="n"/>
      <c r="B3013" s="209" t="n"/>
      <c r="C3013" s="209" t="n"/>
      <c r="D3013" s="960" t="n"/>
      <c r="E3013" s="215" t="n"/>
      <c r="F3013" s="209" t="n"/>
      <c r="G3013" s="209" t="n"/>
      <c r="H3013" s="209" t="n"/>
      <c r="I3013" s="209" t="n"/>
      <c r="J3013" s="215" t="n"/>
      <c r="K3013" s="209" t="n"/>
      <c r="L3013" s="425" t="n"/>
      <c r="M3013" s="962" t="n"/>
      <c r="N3013" s="215" t="n"/>
    </row>
    <row r="3014">
      <c r="A3014" s="209" t="n"/>
      <c r="B3014" s="209" t="n"/>
      <c r="C3014" s="207" t="n"/>
      <c r="D3014" s="963" t="n"/>
      <c r="E3014" s="214" t="n"/>
      <c r="F3014" s="207" t="n"/>
      <c r="G3014" s="207" t="n"/>
      <c r="H3014" s="208" t="n"/>
      <c r="I3014" s="208" t="n"/>
      <c r="J3014" s="214" t="n"/>
      <c r="K3014" s="208" t="n"/>
      <c r="L3014" s="424" t="n"/>
      <c r="M3014" s="961" t="n"/>
      <c r="N3014" s="214" t="n"/>
    </row>
    <row r="3015">
      <c r="A3015" s="209" t="n"/>
      <c r="B3015" s="209" t="n"/>
      <c r="C3015" s="207" t="n"/>
      <c r="D3015" s="963" t="n"/>
      <c r="E3015" s="214" t="n"/>
      <c r="F3015" s="207" t="n"/>
      <c r="G3015" s="207" t="n"/>
      <c r="H3015" s="208" t="n"/>
      <c r="I3015" s="208" t="n"/>
      <c r="J3015" s="214" t="n"/>
      <c r="K3015" s="208" t="n"/>
      <c r="L3015" s="424" t="n"/>
      <c r="M3015" s="961" t="n"/>
      <c r="N3015" s="214" t="n"/>
    </row>
    <row r="3016">
      <c r="A3016" s="209" t="n"/>
      <c r="B3016" s="209" t="n"/>
      <c r="C3016" s="207" t="n"/>
      <c r="D3016" s="963" t="n"/>
      <c r="E3016" s="214" t="n"/>
      <c r="F3016" s="207" t="n"/>
      <c r="G3016" s="207" t="n"/>
      <c r="H3016" s="208" t="n"/>
      <c r="I3016" s="208" t="n"/>
      <c r="J3016" s="214" t="n"/>
      <c r="K3016" s="208" t="n"/>
      <c r="L3016" s="424" t="n"/>
      <c r="M3016" s="961" t="n"/>
      <c r="N3016" s="214" t="n"/>
    </row>
    <row r="3017">
      <c r="A3017" s="209" t="n"/>
      <c r="B3017" s="209" t="n"/>
      <c r="C3017" s="207" t="n"/>
      <c r="D3017" s="963" t="n"/>
      <c r="E3017" s="214" t="n"/>
      <c r="F3017" s="207" t="n"/>
      <c r="G3017" s="207" t="n"/>
      <c r="H3017" s="208" t="n"/>
      <c r="I3017" s="208" t="n"/>
      <c r="J3017" s="214" t="n"/>
      <c r="K3017" s="208" t="n"/>
      <c r="L3017" s="424" t="n"/>
      <c r="M3017" s="961" t="n"/>
      <c r="N3017" s="214" t="n"/>
    </row>
    <row r="3018">
      <c r="A3018" s="209" t="n"/>
      <c r="B3018" s="209" t="n"/>
      <c r="C3018" s="207" t="n"/>
      <c r="D3018" s="963" t="n"/>
      <c r="E3018" s="214" t="n"/>
      <c r="F3018" s="207" t="n"/>
      <c r="G3018" s="207" t="n"/>
      <c r="H3018" s="208" t="n"/>
      <c r="I3018" s="208" t="n"/>
      <c r="J3018" s="214" t="n"/>
      <c r="K3018" s="208" t="n"/>
      <c r="L3018" s="424" t="n"/>
      <c r="M3018" s="961" t="n"/>
      <c r="N3018" s="214" t="n"/>
    </row>
    <row r="3019">
      <c r="A3019" s="209" t="n"/>
      <c r="B3019" s="209" t="n"/>
      <c r="C3019" s="207" t="n"/>
      <c r="D3019" s="963" t="n"/>
      <c r="E3019" s="214" t="n"/>
      <c r="F3019" s="207" t="n"/>
      <c r="G3019" s="207" t="n"/>
      <c r="H3019" s="208" t="n"/>
      <c r="I3019" s="208" t="n"/>
      <c r="J3019" s="214" t="n"/>
      <c r="K3019" s="208" t="n"/>
      <c r="L3019" s="424" t="n"/>
      <c r="M3019" s="961" t="n"/>
      <c r="N3019" s="214" t="n"/>
    </row>
    <row r="3020">
      <c r="A3020" s="209" t="n"/>
      <c r="B3020" s="209" t="n"/>
      <c r="C3020" s="207" t="n"/>
      <c r="D3020" s="963" t="n"/>
      <c r="E3020" s="214" t="n"/>
      <c r="F3020" s="207" t="n"/>
      <c r="G3020" s="207" t="n"/>
      <c r="H3020" s="208" t="n"/>
      <c r="I3020" s="208" t="n"/>
      <c r="J3020" s="214" t="n"/>
      <c r="K3020" s="208" t="n"/>
      <c r="L3020" s="424" t="n"/>
      <c r="M3020" s="961" t="n"/>
      <c r="N3020" s="214" t="n"/>
    </row>
    <row r="3021">
      <c r="A3021" s="209" t="n"/>
      <c r="B3021" s="209" t="n"/>
      <c r="C3021" s="207" t="n"/>
      <c r="D3021" s="963" t="n"/>
      <c r="E3021" s="214" t="n"/>
      <c r="F3021" s="207" t="n"/>
      <c r="G3021" s="207" t="n"/>
      <c r="H3021" s="208" t="n"/>
      <c r="I3021" s="208" t="n"/>
      <c r="J3021" s="214" t="n"/>
      <c r="K3021" s="208" t="n"/>
      <c r="L3021" s="424" t="n"/>
      <c r="M3021" s="961" t="n"/>
      <c r="N3021" s="214" t="n"/>
    </row>
    <row r="3022">
      <c r="A3022" s="209" t="n"/>
      <c r="B3022" s="209" t="n"/>
      <c r="C3022" s="207" t="n"/>
      <c r="D3022" s="963" t="n"/>
      <c r="E3022" s="214" t="n"/>
      <c r="F3022" s="207" t="n"/>
      <c r="G3022" s="207" t="n"/>
      <c r="H3022" s="208" t="n"/>
      <c r="I3022" s="208" t="n"/>
      <c r="J3022" s="214" t="n"/>
      <c r="K3022" s="208" t="n"/>
      <c r="L3022" s="424" t="n"/>
      <c r="M3022" s="961" t="n"/>
      <c r="N3022" s="214" t="n"/>
    </row>
    <row r="3023">
      <c r="A3023" s="209" t="n"/>
      <c r="B3023" s="209" t="n"/>
      <c r="C3023" s="207" t="n"/>
      <c r="D3023" s="963" t="n"/>
      <c r="E3023" s="214" t="n"/>
      <c r="F3023" s="207" t="n"/>
      <c r="G3023" s="207" t="n"/>
      <c r="H3023" s="208" t="n"/>
      <c r="I3023" s="208" t="n"/>
      <c r="J3023" s="214" t="n"/>
      <c r="K3023" s="208" t="n"/>
      <c r="L3023" s="424" t="n"/>
      <c r="M3023" s="961" t="n"/>
      <c r="N3023" s="214" t="n"/>
    </row>
    <row r="3024">
      <c r="A3024" s="209" t="n"/>
      <c r="B3024" s="209" t="n"/>
      <c r="C3024" s="209" t="n"/>
      <c r="D3024" s="960" t="n"/>
      <c r="E3024" s="215" t="n"/>
      <c r="F3024" s="209" t="n"/>
      <c r="G3024" s="209" t="n"/>
      <c r="H3024" s="209" t="n"/>
      <c r="I3024" s="209" t="n"/>
      <c r="J3024" s="215" t="n"/>
      <c r="K3024" s="209" t="n"/>
      <c r="L3024" s="425" t="n"/>
      <c r="M3024" s="962" t="n"/>
      <c r="N3024" s="215" t="n"/>
    </row>
    <row r="3025">
      <c r="A3025" s="209" t="n"/>
      <c r="B3025" s="209" t="n"/>
      <c r="C3025" s="207" t="n"/>
      <c r="D3025" s="963" t="n"/>
      <c r="E3025" s="214" t="n"/>
      <c r="F3025" s="207" t="n"/>
      <c r="G3025" s="207" t="n"/>
      <c r="H3025" s="208" t="n"/>
      <c r="I3025" s="208" t="n"/>
      <c r="J3025" s="214" t="n"/>
      <c r="K3025" s="208" t="n"/>
      <c r="L3025" s="424" t="n"/>
      <c r="M3025" s="961" t="n"/>
      <c r="N3025" s="214" t="n"/>
    </row>
    <row r="3026">
      <c r="A3026" s="209" t="n"/>
      <c r="B3026" s="209" t="n"/>
      <c r="C3026" s="207" t="n"/>
      <c r="D3026" s="963" t="n"/>
      <c r="E3026" s="214" t="n"/>
      <c r="F3026" s="207" t="n"/>
      <c r="G3026" s="207" t="n"/>
      <c r="H3026" s="208" t="n"/>
      <c r="I3026" s="208" t="n"/>
      <c r="J3026" s="214" t="n"/>
      <c r="K3026" s="208" t="n"/>
      <c r="L3026" s="424" t="n"/>
      <c r="M3026" s="961" t="n"/>
      <c r="N3026" s="214" t="n"/>
    </row>
    <row r="3027">
      <c r="A3027" s="209" t="n"/>
      <c r="B3027" s="209" t="n"/>
      <c r="C3027" s="207" t="n"/>
      <c r="D3027" s="963" t="n"/>
      <c r="E3027" s="214" t="n"/>
      <c r="F3027" s="207" t="n"/>
      <c r="G3027" s="207" t="n"/>
      <c r="H3027" s="208" t="n"/>
      <c r="I3027" s="208" t="n"/>
      <c r="J3027" s="214" t="n"/>
      <c r="K3027" s="208" t="n"/>
      <c r="L3027" s="424" t="n"/>
      <c r="M3027" s="961" t="n"/>
      <c r="N3027" s="214" t="n"/>
    </row>
    <row r="3028">
      <c r="A3028" s="209" t="n"/>
      <c r="B3028" s="209" t="n"/>
      <c r="C3028" s="207" t="n"/>
      <c r="D3028" s="963" t="n"/>
      <c r="E3028" s="214" t="n"/>
      <c r="F3028" s="207" t="n"/>
      <c r="G3028" s="207" t="n"/>
      <c r="H3028" s="208" t="n"/>
      <c r="I3028" s="208" t="n"/>
      <c r="J3028" s="214" t="n"/>
      <c r="K3028" s="208" t="n"/>
      <c r="L3028" s="424" t="n"/>
      <c r="M3028" s="961" t="n"/>
      <c r="N3028" s="214" t="n"/>
    </row>
    <row r="3029">
      <c r="A3029" s="209" t="n"/>
      <c r="B3029" s="209" t="n"/>
      <c r="C3029" s="207" t="n"/>
      <c r="D3029" s="963" t="n"/>
      <c r="E3029" s="214" t="n"/>
      <c r="F3029" s="207" t="n"/>
      <c r="G3029" s="207" t="n"/>
      <c r="H3029" s="208" t="n"/>
      <c r="I3029" s="208" t="n"/>
      <c r="J3029" s="214" t="n"/>
      <c r="K3029" s="208" t="n"/>
      <c r="L3029" s="424" t="n"/>
      <c r="M3029" s="961" t="n"/>
      <c r="N3029" s="214" t="n"/>
    </row>
    <row r="3030">
      <c r="A3030" s="209" t="n"/>
      <c r="B3030" s="209" t="n"/>
      <c r="C3030" s="207" t="n"/>
      <c r="D3030" s="963" t="n"/>
      <c r="E3030" s="214" t="n"/>
      <c r="F3030" s="207" t="n"/>
      <c r="G3030" s="207" t="n"/>
      <c r="H3030" s="208" t="n"/>
      <c r="I3030" s="208" t="n"/>
      <c r="J3030" s="214" t="n"/>
      <c r="K3030" s="208" t="n"/>
      <c r="L3030" s="424" t="n"/>
      <c r="M3030" s="961" t="n"/>
      <c r="N3030" s="214" t="n"/>
    </row>
    <row r="3031">
      <c r="A3031" s="209" t="n"/>
      <c r="B3031" s="209" t="n"/>
      <c r="C3031" s="209" t="n"/>
      <c r="D3031" s="960" t="n"/>
      <c r="E3031" s="215" t="n"/>
      <c r="F3031" s="209" t="n"/>
      <c r="G3031" s="209" t="n"/>
      <c r="H3031" s="209" t="n"/>
      <c r="I3031" s="209" t="n"/>
      <c r="J3031" s="215" t="n"/>
      <c r="K3031" s="209" t="n"/>
      <c r="L3031" s="425" t="n"/>
      <c r="M3031" s="962" t="n"/>
      <c r="N3031" s="215" t="n"/>
    </row>
    <row r="3032">
      <c r="A3032" s="209" t="n"/>
      <c r="B3032" s="209" t="n"/>
      <c r="C3032" s="207" t="n"/>
      <c r="D3032" s="963" t="n"/>
      <c r="E3032" s="214" t="n"/>
      <c r="F3032" s="207" t="n"/>
      <c r="G3032" s="207" t="n"/>
      <c r="H3032" s="208" t="n"/>
      <c r="I3032" s="208" t="n"/>
      <c r="J3032" s="214" t="n"/>
      <c r="K3032" s="208" t="n"/>
      <c r="L3032" s="424" t="n"/>
      <c r="M3032" s="961" t="n"/>
      <c r="N3032" s="214" t="n"/>
    </row>
    <row r="3033">
      <c r="A3033" s="209" t="n"/>
      <c r="B3033" s="209" t="n"/>
      <c r="C3033" s="207" t="n"/>
      <c r="D3033" s="963" t="n"/>
      <c r="E3033" s="214" t="n"/>
      <c r="F3033" s="207" t="n"/>
      <c r="G3033" s="207" t="n"/>
      <c r="H3033" s="208" t="n"/>
      <c r="I3033" s="208" t="n"/>
      <c r="J3033" s="214" t="n"/>
      <c r="K3033" s="208" t="n"/>
      <c r="L3033" s="424" t="n"/>
      <c r="M3033" s="961" t="n"/>
      <c r="N3033" s="214" t="n"/>
    </row>
    <row r="3034">
      <c r="A3034" s="209" t="n"/>
      <c r="B3034" s="209" t="n"/>
      <c r="C3034" s="207" t="n"/>
      <c r="D3034" s="963" t="n"/>
      <c r="E3034" s="214" t="n"/>
      <c r="F3034" s="207" t="n"/>
      <c r="G3034" s="207" t="n"/>
      <c r="H3034" s="208" t="n"/>
      <c r="I3034" s="208" t="n"/>
      <c r="J3034" s="214" t="n"/>
      <c r="K3034" s="208" t="n"/>
      <c r="L3034" s="424" t="n"/>
      <c r="M3034" s="961" t="n"/>
      <c r="N3034" s="214" t="n"/>
    </row>
    <row r="3035">
      <c r="A3035" s="209" t="n"/>
      <c r="B3035" s="209" t="n"/>
      <c r="C3035" s="207" t="n"/>
      <c r="D3035" s="963" t="n"/>
      <c r="E3035" s="214" t="n"/>
      <c r="F3035" s="207" t="n"/>
      <c r="G3035" s="207" t="n"/>
      <c r="H3035" s="208" t="n"/>
      <c r="I3035" s="208" t="n"/>
      <c r="J3035" s="214" t="n"/>
      <c r="K3035" s="208" t="n"/>
      <c r="L3035" s="424" t="n"/>
      <c r="M3035" s="961" t="n"/>
      <c r="N3035" s="214" t="n"/>
    </row>
    <row r="3036">
      <c r="A3036" s="209" t="n"/>
      <c r="B3036" s="209" t="n"/>
      <c r="C3036" s="207" t="n"/>
      <c r="D3036" s="963" t="n"/>
      <c r="E3036" s="214" t="n"/>
      <c r="F3036" s="207" t="n"/>
      <c r="G3036" s="207" t="n"/>
      <c r="H3036" s="208" t="n"/>
      <c r="I3036" s="208" t="n"/>
      <c r="J3036" s="214" t="n"/>
      <c r="K3036" s="208" t="n"/>
      <c r="L3036" s="424" t="n"/>
      <c r="M3036" s="961" t="n"/>
      <c r="N3036" s="214" t="n"/>
    </row>
    <row r="3037">
      <c r="A3037" s="209" t="n"/>
      <c r="B3037" s="209" t="n"/>
      <c r="C3037" s="207" t="n"/>
      <c r="D3037" s="963" t="n"/>
      <c r="E3037" s="214" t="n"/>
      <c r="F3037" s="207" t="n"/>
      <c r="G3037" s="207" t="n"/>
      <c r="H3037" s="208" t="n"/>
      <c r="I3037" s="208" t="n"/>
      <c r="J3037" s="214" t="n"/>
      <c r="K3037" s="208" t="n"/>
      <c r="L3037" s="424" t="n"/>
      <c r="M3037" s="961" t="n"/>
      <c r="N3037" s="214" t="n"/>
    </row>
    <row r="3038">
      <c r="A3038" s="209" t="n"/>
      <c r="B3038" s="209" t="n"/>
      <c r="C3038" s="207" t="n"/>
      <c r="D3038" s="963" t="n"/>
      <c r="E3038" s="214" t="n"/>
      <c r="F3038" s="207" t="n"/>
      <c r="G3038" s="207" t="n"/>
      <c r="H3038" s="208" t="n"/>
      <c r="I3038" s="208" t="n"/>
      <c r="J3038" s="214" t="n"/>
      <c r="K3038" s="208" t="n"/>
      <c r="L3038" s="424" t="n"/>
      <c r="M3038" s="961" t="n"/>
      <c r="N3038" s="214" t="n"/>
    </row>
    <row r="3039">
      <c r="A3039" s="209" t="n"/>
      <c r="B3039" s="209" t="n"/>
      <c r="C3039" s="207" t="n"/>
      <c r="D3039" s="963" t="n"/>
      <c r="E3039" s="214" t="n"/>
      <c r="F3039" s="207" t="n"/>
      <c r="G3039" s="207" t="n"/>
      <c r="H3039" s="208" t="n"/>
      <c r="I3039" s="208" t="n"/>
      <c r="J3039" s="214" t="n"/>
      <c r="K3039" s="208" t="n"/>
      <c r="L3039" s="424" t="n"/>
      <c r="M3039" s="961" t="n"/>
      <c r="N3039" s="214" t="n"/>
    </row>
    <row r="3040">
      <c r="A3040" s="209" t="n"/>
      <c r="B3040" s="209" t="n"/>
      <c r="C3040" s="207" t="n"/>
      <c r="D3040" s="963" t="n"/>
      <c r="E3040" s="214" t="n"/>
      <c r="F3040" s="207" t="n"/>
      <c r="G3040" s="207" t="n"/>
      <c r="H3040" s="208" t="n"/>
      <c r="I3040" s="208" t="n"/>
      <c r="J3040" s="214" t="n"/>
      <c r="K3040" s="208" t="n"/>
      <c r="L3040" s="424" t="n"/>
      <c r="M3040" s="961" t="n"/>
      <c r="N3040" s="214" t="n"/>
    </row>
    <row r="3041">
      <c r="A3041" s="209" t="n"/>
      <c r="B3041" s="209" t="n"/>
      <c r="C3041" s="207" t="n"/>
      <c r="D3041" s="963" t="n"/>
      <c r="E3041" s="214" t="n"/>
      <c r="F3041" s="207" t="n"/>
      <c r="G3041" s="207" t="n"/>
      <c r="H3041" s="208" t="n"/>
      <c r="I3041" s="208" t="n"/>
      <c r="J3041" s="214" t="n"/>
      <c r="K3041" s="208" t="n"/>
      <c r="L3041" s="424" t="n"/>
      <c r="M3041" s="961" t="n"/>
      <c r="N3041" s="214" t="n"/>
    </row>
    <row r="3042">
      <c r="A3042" s="209" t="n"/>
      <c r="B3042" s="209" t="n"/>
      <c r="C3042" s="207" t="n"/>
      <c r="D3042" s="963" t="n"/>
      <c r="E3042" s="214" t="n"/>
      <c r="F3042" s="207" t="n"/>
      <c r="G3042" s="207" t="n"/>
      <c r="H3042" s="208" t="n"/>
      <c r="I3042" s="208" t="n"/>
      <c r="J3042" s="214" t="n"/>
      <c r="K3042" s="208" t="n"/>
      <c r="L3042" s="424" t="n"/>
      <c r="M3042" s="961" t="n"/>
      <c r="N3042" s="214" t="n"/>
    </row>
    <row r="3043">
      <c r="A3043" s="209" t="n"/>
      <c r="B3043" s="209" t="n"/>
      <c r="C3043" s="207" t="n"/>
      <c r="D3043" s="963" t="n"/>
      <c r="E3043" s="214" t="n"/>
      <c r="F3043" s="207" t="n"/>
      <c r="G3043" s="207" t="n"/>
      <c r="H3043" s="208" t="n"/>
      <c r="I3043" s="208" t="n"/>
      <c r="J3043" s="214" t="n"/>
      <c r="K3043" s="208" t="n"/>
      <c r="L3043" s="424" t="n"/>
      <c r="M3043" s="961" t="n"/>
      <c r="N3043" s="214" t="n"/>
    </row>
    <row r="3044">
      <c r="A3044" s="209" t="n"/>
      <c r="B3044" s="209" t="n"/>
      <c r="C3044" s="207" t="n"/>
      <c r="D3044" s="963" t="n"/>
      <c r="E3044" s="214" t="n"/>
      <c r="F3044" s="207" t="n"/>
      <c r="G3044" s="207" t="n"/>
      <c r="H3044" s="208" t="n"/>
      <c r="I3044" s="208" t="n"/>
      <c r="J3044" s="214" t="n"/>
      <c r="K3044" s="208" t="n"/>
      <c r="L3044" s="424" t="n"/>
      <c r="M3044" s="961" t="n"/>
      <c r="N3044" s="214" t="n"/>
    </row>
    <row r="3045">
      <c r="A3045" s="209" t="n"/>
      <c r="B3045" s="209" t="n"/>
      <c r="C3045" s="207" t="n"/>
      <c r="D3045" s="963" t="n"/>
      <c r="E3045" s="214" t="n"/>
      <c r="F3045" s="207" t="n"/>
      <c r="G3045" s="207" t="n"/>
      <c r="H3045" s="208" t="n"/>
      <c r="I3045" s="208" t="n"/>
      <c r="J3045" s="214" t="n"/>
      <c r="K3045" s="208" t="n"/>
      <c r="L3045" s="424" t="n"/>
      <c r="M3045" s="961" t="n"/>
      <c r="N3045" s="214" t="n"/>
    </row>
    <row r="3046">
      <c r="A3046" s="209" t="n"/>
      <c r="B3046" s="209" t="n"/>
      <c r="C3046" s="207" t="n"/>
      <c r="D3046" s="963" t="n"/>
      <c r="E3046" s="214" t="n"/>
      <c r="F3046" s="207" t="n"/>
      <c r="G3046" s="207" t="n"/>
      <c r="H3046" s="208" t="n"/>
      <c r="I3046" s="208" t="n"/>
      <c r="J3046" s="214" t="n"/>
      <c r="K3046" s="208" t="n"/>
      <c r="L3046" s="424" t="n"/>
      <c r="M3046" s="961" t="n"/>
      <c r="N3046" s="214" t="n"/>
    </row>
    <row r="3047">
      <c r="A3047" s="209" t="n"/>
      <c r="B3047" s="209" t="n"/>
      <c r="C3047" s="207" t="n"/>
      <c r="D3047" s="963" t="n"/>
      <c r="E3047" s="214" t="n"/>
      <c r="F3047" s="207" t="n"/>
      <c r="G3047" s="207" t="n"/>
      <c r="H3047" s="208" t="n"/>
      <c r="I3047" s="208" t="n"/>
      <c r="J3047" s="214" t="n"/>
      <c r="K3047" s="208" t="n"/>
      <c r="L3047" s="424" t="n"/>
      <c r="M3047" s="961" t="n"/>
      <c r="N3047" s="214" t="n"/>
    </row>
    <row r="3048">
      <c r="A3048" s="209" t="n"/>
      <c r="B3048" s="209" t="n"/>
      <c r="C3048" s="207" t="n"/>
      <c r="D3048" s="963" t="n"/>
      <c r="E3048" s="214" t="n"/>
      <c r="F3048" s="207" t="n"/>
      <c r="G3048" s="207" t="n"/>
      <c r="H3048" s="208" t="n"/>
      <c r="I3048" s="208" t="n"/>
      <c r="J3048" s="214" t="n"/>
      <c r="K3048" s="208" t="n"/>
      <c r="L3048" s="424" t="n"/>
      <c r="M3048" s="961" t="n"/>
      <c r="N3048" s="214" t="n"/>
    </row>
    <row r="3049">
      <c r="A3049" s="209" t="n"/>
      <c r="B3049" s="209" t="n"/>
      <c r="C3049" s="207" t="n"/>
      <c r="D3049" s="963" t="n"/>
      <c r="E3049" s="214" t="n"/>
      <c r="F3049" s="207" t="n"/>
      <c r="G3049" s="207" t="n"/>
      <c r="H3049" s="208" t="n"/>
      <c r="I3049" s="208" t="n"/>
      <c r="J3049" s="214" t="n"/>
      <c r="K3049" s="208" t="n"/>
      <c r="L3049" s="424" t="n"/>
      <c r="M3049" s="961" t="n"/>
      <c r="N3049" s="214" t="n"/>
    </row>
    <row r="3050">
      <c r="A3050" s="209" t="n"/>
      <c r="B3050" s="209" t="n"/>
      <c r="C3050" s="207" t="n"/>
      <c r="D3050" s="963" t="n"/>
      <c r="E3050" s="214" t="n"/>
      <c r="F3050" s="207" t="n"/>
      <c r="G3050" s="207" t="n"/>
      <c r="H3050" s="208" t="n"/>
      <c r="I3050" s="208" t="n"/>
      <c r="J3050" s="214" t="n"/>
      <c r="K3050" s="208" t="n"/>
      <c r="L3050" s="424" t="n"/>
      <c r="M3050" s="961" t="n"/>
      <c r="N3050" s="214" t="n"/>
    </row>
    <row r="3051">
      <c r="A3051" s="209" t="n"/>
      <c r="B3051" s="209" t="n"/>
      <c r="C3051" s="207" t="n"/>
      <c r="D3051" s="963" t="n"/>
      <c r="E3051" s="214" t="n"/>
      <c r="F3051" s="207" t="n"/>
      <c r="G3051" s="207" t="n"/>
      <c r="H3051" s="208" t="n"/>
      <c r="I3051" s="208" t="n"/>
      <c r="J3051" s="214" t="n"/>
      <c r="K3051" s="208" t="n"/>
      <c r="L3051" s="424" t="n"/>
      <c r="M3051" s="961" t="n"/>
      <c r="N3051" s="214" t="n"/>
    </row>
    <row r="3052">
      <c r="A3052" s="209" t="n"/>
      <c r="B3052" s="209" t="n"/>
      <c r="C3052" s="207" t="n"/>
      <c r="D3052" s="963" t="n"/>
      <c r="E3052" s="214" t="n"/>
      <c r="F3052" s="207" t="n"/>
      <c r="G3052" s="207" t="n"/>
      <c r="H3052" s="208" t="n"/>
      <c r="I3052" s="208" t="n"/>
      <c r="J3052" s="214" t="n"/>
      <c r="K3052" s="208" t="n"/>
      <c r="L3052" s="424" t="n"/>
      <c r="M3052" s="961" t="n"/>
      <c r="N3052" s="214" t="n"/>
    </row>
    <row r="3053">
      <c r="A3053" s="209" t="n"/>
      <c r="B3053" s="209" t="n"/>
      <c r="C3053" s="207" t="n"/>
      <c r="D3053" s="963" t="n"/>
      <c r="E3053" s="214" t="n"/>
      <c r="F3053" s="207" t="n"/>
      <c r="G3053" s="207" t="n"/>
      <c r="H3053" s="208" t="n"/>
      <c r="I3053" s="208" t="n"/>
      <c r="J3053" s="214" t="n"/>
      <c r="K3053" s="208" t="n"/>
      <c r="L3053" s="424" t="n"/>
      <c r="M3053" s="961" t="n"/>
      <c r="N3053" s="214" t="n"/>
    </row>
    <row r="3054">
      <c r="A3054" s="209" t="n"/>
      <c r="B3054" s="209" t="n"/>
      <c r="C3054" s="207" t="n"/>
      <c r="D3054" s="963" t="n"/>
      <c r="E3054" s="214" t="n"/>
      <c r="F3054" s="207" t="n"/>
      <c r="G3054" s="207" t="n"/>
      <c r="H3054" s="208" t="n"/>
      <c r="I3054" s="208" t="n"/>
      <c r="J3054" s="214" t="n"/>
      <c r="K3054" s="208" t="n"/>
      <c r="L3054" s="424" t="n"/>
      <c r="M3054" s="961" t="n"/>
      <c r="N3054" s="214" t="n"/>
    </row>
    <row r="3055">
      <c r="A3055" s="209" t="n"/>
      <c r="B3055" s="209" t="n"/>
      <c r="C3055" s="207" t="n"/>
      <c r="D3055" s="963" t="n"/>
      <c r="E3055" s="214" t="n"/>
      <c r="F3055" s="207" t="n"/>
      <c r="G3055" s="207" t="n"/>
      <c r="H3055" s="208" t="n"/>
      <c r="I3055" s="208" t="n"/>
      <c r="J3055" s="214" t="n"/>
      <c r="K3055" s="208" t="n"/>
      <c r="L3055" s="424" t="n"/>
      <c r="M3055" s="961" t="n"/>
      <c r="N3055" s="214" t="n"/>
    </row>
    <row r="3056">
      <c r="A3056" s="209" t="n"/>
      <c r="B3056" s="209" t="n"/>
      <c r="C3056" s="207" t="n"/>
      <c r="D3056" s="963" t="n"/>
      <c r="E3056" s="214" t="n"/>
      <c r="F3056" s="207" t="n"/>
      <c r="G3056" s="207" t="n"/>
      <c r="H3056" s="208" t="n"/>
      <c r="I3056" s="208" t="n"/>
      <c r="J3056" s="214" t="n"/>
      <c r="K3056" s="208" t="n"/>
      <c r="L3056" s="424" t="n"/>
      <c r="M3056" s="961" t="n"/>
      <c r="N3056" s="214" t="n"/>
    </row>
    <row r="3057">
      <c r="A3057" s="209" t="n"/>
      <c r="B3057" s="209" t="n"/>
      <c r="C3057" s="207" t="n"/>
      <c r="D3057" s="963" t="n"/>
      <c r="E3057" s="214" t="n"/>
      <c r="F3057" s="207" t="n"/>
      <c r="G3057" s="207" t="n"/>
      <c r="H3057" s="208" t="n"/>
      <c r="I3057" s="208" t="n"/>
      <c r="J3057" s="214" t="n"/>
      <c r="K3057" s="208" t="n"/>
      <c r="L3057" s="424" t="n"/>
      <c r="M3057" s="961" t="n"/>
      <c r="N3057" s="214" t="n"/>
    </row>
    <row r="3058">
      <c r="A3058" s="209" t="n"/>
      <c r="B3058" s="209" t="n"/>
      <c r="C3058" s="207" t="n"/>
      <c r="D3058" s="963" t="n"/>
      <c r="E3058" s="214" t="n"/>
      <c r="F3058" s="207" t="n"/>
      <c r="G3058" s="207" t="n"/>
      <c r="H3058" s="208" t="n"/>
      <c r="I3058" s="208" t="n"/>
      <c r="J3058" s="214" t="n"/>
      <c r="K3058" s="208" t="n"/>
      <c r="L3058" s="424" t="n"/>
      <c r="M3058" s="961" t="n"/>
      <c r="N3058" s="214" t="n"/>
    </row>
    <row r="3059">
      <c r="A3059" s="209" t="n"/>
      <c r="B3059" s="209" t="n"/>
      <c r="C3059" s="207" t="n"/>
      <c r="D3059" s="963" t="n"/>
      <c r="E3059" s="214" t="n"/>
      <c r="F3059" s="207" t="n"/>
      <c r="G3059" s="207" t="n"/>
      <c r="H3059" s="208" t="n"/>
      <c r="I3059" s="208" t="n"/>
      <c r="J3059" s="214" t="n"/>
      <c r="K3059" s="208" t="n"/>
      <c r="L3059" s="424" t="n"/>
      <c r="M3059" s="961" t="n"/>
      <c r="N3059" s="214" t="n"/>
    </row>
    <row r="3060">
      <c r="A3060" s="209" t="n"/>
      <c r="B3060" s="209" t="n"/>
      <c r="C3060" s="207" t="n"/>
      <c r="D3060" s="963" t="n"/>
      <c r="E3060" s="214" t="n"/>
      <c r="F3060" s="207" t="n"/>
      <c r="G3060" s="207" t="n"/>
      <c r="H3060" s="208" t="n"/>
      <c r="I3060" s="208" t="n"/>
      <c r="J3060" s="214" t="n"/>
      <c r="K3060" s="208" t="n"/>
      <c r="L3060" s="424" t="n"/>
      <c r="M3060" s="961" t="n"/>
      <c r="N3060" s="214" t="n"/>
    </row>
    <row r="3061">
      <c r="A3061" s="209" t="n"/>
      <c r="B3061" s="209" t="n"/>
      <c r="C3061" s="207" t="n"/>
      <c r="D3061" s="963" t="n"/>
      <c r="E3061" s="214" t="n"/>
      <c r="F3061" s="207" t="n"/>
      <c r="G3061" s="207" t="n"/>
      <c r="H3061" s="208" t="n"/>
      <c r="I3061" s="208" t="n"/>
      <c r="J3061" s="214" t="n"/>
      <c r="K3061" s="208" t="n"/>
      <c r="L3061" s="424" t="n"/>
      <c r="M3061" s="961" t="n"/>
      <c r="N3061" s="214" t="n"/>
    </row>
    <row r="3062">
      <c r="A3062" s="209" t="n"/>
      <c r="B3062" s="209" t="n"/>
      <c r="C3062" s="207" t="n"/>
      <c r="D3062" s="963" t="n"/>
      <c r="E3062" s="214" t="n"/>
      <c r="F3062" s="207" t="n"/>
      <c r="G3062" s="207" t="n"/>
      <c r="H3062" s="208" t="n"/>
      <c r="I3062" s="208" t="n"/>
      <c r="J3062" s="214" t="n"/>
      <c r="K3062" s="208" t="n"/>
      <c r="L3062" s="424" t="n"/>
      <c r="M3062" s="961" t="n"/>
      <c r="N3062" s="214" t="n"/>
    </row>
    <row r="3063">
      <c r="A3063" s="209" t="n"/>
      <c r="B3063" s="209" t="n"/>
      <c r="C3063" s="207" t="n"/>
      <c r="D3063" s="963" t="n"/>
      <c r="E3063" s="214" t="n"/>
      <c r="F3063" s="207" t="n"/>
      <c r="G3063" s="207" t="n"/>
      <c r="H3063" s="208" t="n"/>
      <c r="I3063" s="208" t="n"/>
      <c r="J3063" s="214" t="n"/>
      <c r="K3063" s="208" t="n"/>
      <c r="L3063" s="424" t="n"/>
      <c r="M3063" s="961" t="n"/>
      <c r="N3063" s="214" t="n"/>
    </row>
    <row r="3064">
      <c r="A3064" s="209" t="n"/>
      <c r="B3064" s="209" t="n"/>
      <c r="C3064" s="207" t="n"/>
      <c r="D3064" s="963" t="n"/>
      <c r="E3064" s="214" t="n"/>
      <c r="F3064" s="207" t="n"/>
      <c r="G3064" s="207" t="n"/>
      <c r="H3064" s="208" t="n"/>
      <c r="I3064" s="208" t="n"/>
      <c r="J3064" s="214" t="n"/>
      <c r="K3064" s="208" t="n"/>
      <c r="L3064" s="424" t="n"/>
      <c r="M3064" s="961" t="n"/>
      <c r="N3064" s="214" t="n"/>
    </row>
    <row r="3065">
      <c r="A3065" s="209" t="n"/>
      <c r="B3065" s="209" t="n"/>
      <c r="C3065" s="207" t="n"/>
      <c r="D3065" s="963" t="n"/>
      <c r="E3065" s="214" t="n"/>
      <c r="F3065" s="207" t="n"/>
      <c r="G3065" s="207" t="n"/>
      <c r="H3065" s="208" t="n"/>
      <c r="I3065" s="208" t="n"/>
      <c r="J3065" s="214" t="n"/>
      <c r="K3065" s="208" t="n"/>
      <c r="L3065" s="424" t="n"/>
      <c r="M3065" s="961" t="n"/>
      <c r="N3065" s="214" t="n"/>
    </row>
    <row r="3066">
      <c r="A3066" s="209" t="n"/>
      <c r="B3066" s="209" t="n"/>
      <c r="C3066" s="207" t="n"/>
      <c r="D3066" s="963" t="n"/>
      <c r="E3066" s="214" t="n"/>
      <c r="F3066" s="207" t="n"/>
      <c r="G3066" s="207" t="n"/>
      <c r="H3066" s="208" t="n"/>
      <c r="I3066" s="208" t="n"/>
      <c r="J3066" s="214" t="n"/>
      <c r="K3066" s="208" t="n"/>
      <c r="L3066" s="424" t="n"/>
      <c r="M3066" s="961" t="n"/>
      <c r="N3066" s="214" t="n"/>
    </row>
    <row r="3067">
      <c r="A3067" s="209" t="n"/>
      <c r="B3067" s="209" t="n"/>
      <c r="C3067" s="207" t="n"/>
      <c r="D3067" s="963" t="n"/>
      <c r="E3067" s="214" t="n"/>
      <c r="F3067" s="207" t="n"/>
      <c r="G3067" s="207" t="n"/>
      <c r="H3067" s="208" t="n"/>
      <c r="I3067" s="208" t="n"/>
      <c r="J3067" s="214" t="n"/>
      <c r="K3067" s="208" t="n"/>
      <c r="L3067" s="424" t="n"/>
      <c r="M3067" s="961" t="n"/>
      <c r="N3067" s="214" t="n"/>
    </row>
    <row r="3068">
      <c r="A3068" s="209" t="n"/>
      <c r="B3068" s="209" t="n"/>
      <c r="C3068" s="207" t="n"/>
      <c r="D3068" s="963" t="n"/>
      <c r="E3068" s="214" t="n"/>
      <c r="F3068" s="207" t="n"/>
      <c r="G3068" s="207" t="n"/>
      <c r="H3068" s="208" t="n"/>
      <c r="I3068" s="208" t="n"/>
      <c r="J3068" s="214" t="n"/>
      <c r="K3068" s="208" t="n"/>
      <c r="L3068" s="424" t="n"/>
      <c r="M3068" s="961" t="n"/>
      <c r="N3068" s="214" t="n"/>
    </row>
    <row r="3069">
      <c r="A3069" s="209" t="n"/>
      <c r="B3069" s="209" t="n"/>
      <c r="C3069" s="207" t="n"/>
      <c r="D3069" s="963" t="n"/>
      <c r="E3069" s="214" t="n"/>
      <c r="F3069" s="207" t="n"/>
      <c r="G3069" s="207" t="n"/>
      <c r="H3069" s="208" t="n"/>
      <c r="I3069" s="208" t="n"/>
      <c r="J3069" s="214" t="n"/>
      <c r="K3069" s="208" t="n"/>
      <c r="L3069" s="424" t="n"/>
      <c r="M3069" s="961" t="n"/>
      <c r="N3069" s="214" t="n"/>
    </row>
    <row r="3070">
      <c r="A3070" s="209" t="n"/>
      <c r="B3070" s="209" t="n"/>
      <c r="C3070" s="207" t="n"/>
      <c r="D3070" s="963" t="n"/>
      <c r="E3070" s="214" t="n"/>
      <c r="F3070" s="207" t="n"/>
      <c r="G3070" s="207" t="n"/>
      <c r="H3070" s="208" t="n"/>
      <c r="I3070" s="208" t="n"/>
      <c r="J3070" s="214" t="n"/>
      <c r="K3070" s="208" t="n"/>
      <c r="L3070" s="424" t="n"/>
      <c r="M3070" s="961" t="n"/>
      <c r="N3070" s="214" t="n"/>
    </row>
    <row r="3071">
      <c r="A3071" s="209" t="n"/>
      <c r="B3071" s="209" t="n"/>
      <c r="C3071" s="207" t="n"/>
      <c r="D3071" s="963" t="n"/>
      <c r="E3071" s="214" t="n"/>
      <c r="F3071" s="207" t="n"/>
      <c r="G3071" s="207" t="n"/>
      <c r="H3071" s="208" t="n"/>
      <c r="I3071" s="208" t="n"/>
      <c r="J3071" s="214" t="n"/>
      <c r="K3071" s="208" t="n"/>
      <c r="L3071" s="424" t="n"/>
      <c r="M3071" s="961" t="n"/>
      <c r="N3071" s="214" t="n"/>
    </row>
    <row r="3072">
      <c r="A3072" s="209" t="n"/>
      <c r="B3072" s="209" t="n"/>
      <c r="C3072" s="207" t="n"/>
      <c r="D3072" s="963" t="n"/>
      <c r="E3072" s="214" t="n"/>
      <c r="F3072" s="207" t="n"/>
      <c r="G3072" s="207" t="n"/>
      <c r="H3072" s="208" t="n"/>
      <c r="I3072" s="208" t="n"/>
      <c r="J3072" s="214" t="n"/>
      <c r="K3072" s="208" t="n"/>
      <c r="L3072" s="424" t="n"/>
      <c r="M3072" s="961" t="n"/>
      <c r="N3072" s="214" t="n"/>
    </row>
    <row r="3073">
      <c r="A3073" s="209" t="n"/>
      <c r="B3073" s="209" t="n"/>
      <c r="C3073" s="207" t="n"/>
      <c r="D3073" s="963" t="n"/>
      <c r="E3073" s="214" t="n"/>
      <c r="F3073" s="207" t="n"/>
      <c r="G3073" s="207" t="n"/>
      <c r="H3073" s="208" t="n"/>
      <c r="I3073" s="208" t="n"/>
      <c r="J3073" s="214" t="n"/>
      <c r="K3073" s="208" t="n"/>
      <c r="L3073" s="424" t="n"/>
      <c r="M3073" s="961" t="n"/>
      <c r="N3073" s="214" t="n"/>
    </row>
    <row r="3074">
      <c r="A3074" s="209" t="n"/>
      <c r="B3074" s="209" t="n"/>
      <c r="C3074" s="207" t="n"/>
      <c r="D3074" s="963" t="n"/>
      <c r="E3074" s="214" t="n"/>
      <c r="F3074" s="207" t="n"/>
      <c r="G3074" s="207" t="n"/>
      <c r="H3074" s="208" t="n"/>
      <c r="I3074" s="208" t="n"/>
      <c r="J3074" s="214" t="n"/>
      <c r="K3074" s="208" t="n"/>
      <c r="L3074" s="424" t="n"/>
      <c r="M3074" s="961" t="n"/>
      <c r="N3074" s="214" t="n"/>
    </row>
    <row r="3075">
      <c r="A3075" s="209" t="n"/>
      <c r="B3075" s="209" t="n"/>
      <c r="C3075" s="207" t="n"/>
      <c r="D3075" s="963" t="n"/>
      <c r="E3075" s="214" t="n"/>
      <c r="F3075" s="207" t="n"/>
      <c r="G3075" s="207" t="n"/>
      <c r="H3075" s="208" t="n"/>
      <c r="I3075" s="208" t="n"/>
      <c r="J3075" s="214" t="n"/>
      <c r="K3075" s="208" t="n"/>
      <c r="L3075" s="424" t="n"/>
      <c r="M3075" s="961" t="n"/>
      <c r="N3075" s="214" t="n"/>
    </row>
    <row r="3076">
      <c r="A3076" s="209" t="n"/>
      <c r="B3076" s="209" t="n"/>
      <c r="C3076" s="207" t="n"/>
      <c r="D3076" s="963" t="n"/>
      <c r="E3076" s="214" t="n"/>
      <c r="F3076" s="207" t="n"/>
      <c r="G3076" s="207" t="n"/>
      <c r="H3076" s="208" t="n"/>
      <c r="I3076" s="208" t="n"/>
      <c r="J3076" s="214" t="n"/>
      <c r="K3076" s="208" t="n"/>
      <c r="L3076" s="424" t="n"/>
      <c r="M3076" s="961" t="n"/>
      <c r="N3076" s="214" t="n"/>
    </row>
    <row r="3077">
      <c r="A3077" s="209" t="n"/>
      <c r="B3077" s="209" t="n"/>
      <c r="C3077" s="207" t="n"/>
      <c r="D3077" s="963" t="n"/>
      <c r="E3077" s="214" t="n"/>
      <c r="F3077" s="207" t="n"/>
      <c r="G3077" s="207" t="n"/>
      <c r="H3077" s="208" t="n"/>
      <c r="I3077" s="208" t="n"/>
      <c r="J3077" s="214" t="n"/>
      <c r="K3077" s="208" t="n"/>
      <c r="L3077" s="424" t="n"/>
      <c r="M3077" s="961" t="n"/>
      <c r="N3077" s="214" t="n"/>
    </row>
    <row r="3078">
      <c r="A3078" s="209" t="n"/>
      <c r="B3078" s="209" t="n"/>
      <c r="C3078" s="207" t="n"/>
      <c r="D3078" s="963" t="n"/>
      <c r="E3078" s="214" t="n"/>
      <c r="F3078" s="207" t="n"/>
      <c r="G3078" s="207" t="n"/>
      <c r="H3078" s="208" t="n"/>
      <c r="I3078" s="208" t="n"/>
      <c r="J3078" s="214" t="n"/>
      <c r="K3078" s="208" t="n"/>
      <c r="L3078" s="424" t="n"/>
      <c r="M3078" s="961" t="n"/>
      <c r="N3078" s="214" t="n"/>
    </row>
    <row r="3079">
      <c r="A3079" s="209" t="n"/>
      <c r="B3079" s="209" t="n"/>
      <c r="C3079" s="207" t="n"/>
      <c r="D3079" s="963" t="n"/>
      <c r="E3079" s="214" t="n"/>
      <c r="F3079" s="207" t="n"/>
      <c r="G3079" s="207" t="n"/>
      <c r="H3079" s="208" t="n"/>
      <c r="I3079" s="208" t="n"/>
      <c r="J3079" s="214" t="n"/>
      <c r="K3079" s="208" t="n"/>
      <c r="L3079" s="424" t="n"/>
      <c r="M3079" s="961" t="n"/>
      <c r="N3079" s="214" t="n"/>
    </row>
    <row r="3080">
      <c r="A3080" s="209" t="n"/>
      <c r="B3080" s="209" t="n"/>
      <c r="C3080" s="207" t="n"/>
      <c r="D3080" s="963" t="n"/>
      <c r="E3080" s="214" t="n"/>
      <c r="F3080" s="207" t="n"/>
      <c r="G3080" s="207" t="n"/>
      <c r="H3080" s="208" t="n"/>
      <c r="I3080" s="208" t="n"/>
      <c r="J3080" s="214" t="n"/>
      <c r="K3080" s="208" t="n"/>
      <c r="L3080" s="424" t="n"/>
      <c r="M3080" s="961" t="n"/>
      <c r="N3080" s="214" t="n"/>
    </row>
    <row r="3081">
      <c r="A3081" s="209" t="n"/>
      <c r="B3081" s="209" t="n"/>
      <c r="C3081" s="207" t="n"/>
      <c r="D3081" s="963" t="n"/>
      <c r="E3081" s="214" t="n"/>
      <c r="F3081" s="207" t="n"/>
      <c r="G3081" s="207" t="n"/>
      <c r="H3081" s="208" t="n"/>
      <c r="I3081" s="208" t="n"/>
      <c r="J3081" s="214" t="n"/>
      <c r="K3081" s="208" t="n"/>
      <c r="L3081" s="424" t="n"/>
      <c r="M3081" s="961" t="n"/>
      <c r="N3081" s="214" t="n"/>
    </row>
    <row r="3082">
      <c r="A3082" s="209" t="n"/>
      <c r="B3082" s="209" t="n"/>
      <c r="C3082" s="207" t="n"/>
      <c r="D3082" s="963" t="n"/>
      <c r="E3082" s="214" t="n"/>
      <c r="F3082" s="207" t="n"/>
      <c r="G3082" s="207" t="n"/>
      <c r="H3082" s="208" t="n"/>
      <c r="I3082" s="208" t="n"/>
      <c r="J3082" s="214" t="n"/>
      <c r="K3082" s="208" t="n"/>
      <c r="L3082" s="424" t="n"/>
      <c r="M3082" s="961" t="n"/>
      <c r="N3082" s="214" t="n"/>
    </row>
    <row r="3083">
      <c r="A3083" s="209" t="n"/>
      <c r="B3083" s="209" t="n"/>
      <c r="C3083" s="207" t="n"/>
      <c r="D3083" s="963" t="n"/>
      <c r="E3083" s="214" t="n"/>
      <c r="F3083" s="207" t="n"/>
      <c r="G3083" s="207" t="n"/>
      <c r="H3083" s="208" t="n"/>
      <c r="I3083" s="208" t="n"/>
      <c r="J3083" s="214" t="n"/>
      <c r="K3083" s="208" t="n"/>
      <c r="L3083" s="424" t="n"/>
      <c r="M3083" s="961" t="n"/>
      <c r="N3083" s="214" t="n"/>
    </row>
    <row r="3084">
      <c r="A3084" s="209" t="n"/>
      <c r="B3084" s="209" t="n"/>
      <c r="C3084" s="207" t="n"/>
      <c r="D3084" s="963" t="n"/>
      <c r="E3084" s="214" t="n"/>
      <c r="F3084" s="207" t="n"/>
      <c r="G3084" s="207" t="n"/>
      <c r="H3084" s="208" t="n"/>
      <c r="I3084" s="208" t="n"/>
      <c r="J3084" s="214" t="n"/>
      <c r="K3084" s="208" t="n"/>
      <c r="L3084" s="424" t="n"/>
      <c r="M3084" s="961" t="n"/>
      <c r="N3084" s="214" t="n"/>
    </row>
    <row r="3085">
      <c r="A3085" s="209" t="n"/>
      <c r="B3085" s="209" t="n"/>
      <c r="C3085" s="207" t="n"/>
      <c r="D3085" s="963" t="n"/>
      <c r="E3085" s="214" t="n"/>
      <c r="F3085" s="207" t="n"/>
      <c r="G3085" s="207" t="n"/>
      <c r="H3085" s="208" t="n"/>
      <c r="I3085" s="208" t="n"/>
      <c r="J3085" s="214" t="n"/>
      <c r="K3085" s="208" t="n"/>
      <c r="L3085" s="424" t="n"/>
      <c r="M3085" s="961" t="n"/>
      <c r="N3085" s="214" t="n"/>
    </row>
    <row r="3086">
      <c r="A3086" s="209" t="n"/>
      <c r="B3086" s="209" t="n"/>
      <c r="C3086" s="207" t="n"/>
      <c r="D3086" s="963" t="n"/>
      <c r="E3086" s="214" t="n"/>
      <c r="F3086" s="207" t="n"/>
      <c r="G3086" s="207" t="n"/>
      <c r="H3086" s="208" t="n"/>
      <c r="I3086" s="208" t="n"/>
      <c r="J3086" s="214" t="n"/>
      <c r="K3086" s="208" t="n"/>
      <c r="L3086" s="424" t="n"/>
      <c r="M3086" s="961" t="n"/>
      <c r="N3086" s="214" t="n"/>
    </row>
    <row r="3087">
      <c r="A3087" s="209" t="n"/>
      <c r="B3087" s="209" t="n"/>
      <c r="C3087" s="207" t="n"/>
      <c r="D3087" s="963" t="n"/>
      <c r="E3087" s="214" t="n"/>
      <c r="F3087" s="207" t="n"/>
      <c r="G3087" s="207" t="n"/>
      <c r="H3087" s="208" t="n"/>
      <c r="I3087" s="208" t="n"/>
      <c r="J3087" s="214" t="n"/>
      <c r="K3087" s="208" t="n"/>
      <c r="L3087" s="424" t="n"/>
      <c r="M3087" s="961" t="n"/>
      <c r="N3087" s="214" t="n"/>
    </row>
    <row r="3088">
      <c r="A3088" s="209" t="n"/>
      <c r="B3088" s="209" t="n"/>
      <c r="C3088" s="207" t="n"/>
      <c r="D3088" s="963" t="n"/>
      <c r="E3088" s="214" t="n"/>
      <c r="F3088" s="207" t="n"/>
      <c r="G3088" s="207" t="n"/>
      <c r="H3088" s="208" t="n"/>
      <c r="I3088" s="208" t="n"/>
      <c r="J3088" s="214" t="n"/>
      <c r="K3088" s="208" t="n"/>
      <c r="L3088" s="424" t="n"/>
      <c r="M3088" s="961" t="n"/>
      <c r="N3088" s="214" t="n"/>
    </row>
    <row r="3089">
      <c r="A3089" s="209" t="n"/>
      <c r="B3089" s="209" t="n"/>
      <c r="C3089" s="207" t="n"/>
      <c r="D3089" s="963" t="n"/>
      <c r="E3089" s="214" t="n"/>
      <c r="F3089" s="207" t="n"/>
      <c r="G3089" s="207" t="n"/>
      <c r="H3089" s="208" t="n"/>
      <c r="I3089" s="208" t="n"/>
      <c r="J3089" s="214" t="n"/>
      <c r="K3089" s="208" t="n"/>
      <c r="L3089" s="424" t="n"/>
      <c r="M3089" s="961" t="n"/>
      <c r="N3089" s="214" t="n"/>
    </row>
    <row r="3090">
      <c r="A3090" s="209" t="n"/>
      <c r="B3090" s="209" t="n"/>
      <c r="C3090" s="207" t="n"/>
      <c r="D3090" s="963" t="n"/>
      <c r="E3090" s="214" t="n"/>
      <c r="F3090" s="207" t="n"/>
      <c r="G3090" s="207" t="n"/>
      <c r="H3090" s="208" t="n"/>
      <c r="I3090" s="208" t="n"/>
      <c r="J3090" s="214" t="n"/>
      <c r="K3090" s="208" t="n"/>
      <c r="L3090" s="424" t="n"/>
      <c r="M3090" s="961" t="n"/>
      <c r="N3090" s="214" t="n"/>
    </row>
    <row r="3091">
      <c r="A3091" s="209" t="n"/>
      <c r="B3091" s="209" t="n"/>
      <c r="C3091" s="207" t="n"/>
      <c r="D3091" s="963" t="n"/>
      <c r="E3091" s="214" t="n"/>
      <c r="F3091" s="207" t="n"/>
      <c r="G3091" s="207" t="n"/>
      <c r="H3091" s="208" t="n"/>
      <c r="I3091" s="208" t="n"/>
      <c r="J3091" s="214" t="n"/>
      <c r="K3091" s="208" t="n"/>
      <c r="L3091" s="424" t="n"/>
      <c r="M3091" s="961" t="n"/>
      <c r="N3091" s="214" t="n"/>
    </row>
    <row r="3092">
      <c r="A3092" s="209" t="n"/>
      <c r="B3092" s="209" t="n"/>
      <c r="C3092" s="207" t="n"/>
      <c r="D3092" s="963" t="n"/>
      <c r="E3092" s="214" t="n"/>
      <c r="F3092" s="207" t="n"/>
      <c r="G3092" s="207" t="n"/>
      <c r="H3092" s="208" t="n"/>
      <c r="I3092" s="208" t="n"/>
      <c r="J3092" s="214" t="n"/>
      <c r="K3092" s="208" t="n"/>
      <c r="L3092" s="424" t="n"/>
      <c r="M3092" s="961" t="n"/>
      <c r="N3092" s="214" t="n"/>
    </row>
    <row r="3093">
      <c r="A3093" s="209" t="n"/>
      <c r="B3093" s="209" t="n"/>
      <c r="C3093" s="207" t="n"/>
      <c r="D3093" s="963" t="n"/>
      <c r="E3093" s="214" t="n"/>
      <c r="F3093" s="207" t="n"/>
      <c r="G3093" s="207" t="n"/>
      <c r="H3093" s="208" t="n"/>
      <c r="I3093" s="208" t="n"/>
      <c r="J3093" s="214" t="n"/>
      <c r="K3093" s="208" t="n"/>
      <c r="L3093" s="424" t="n"/>
      <c r="M3093" s="961" t="n"/>
      <c r="N3093" s="214" t="n"/>
    </row>
    <row r="3094">
      <c r="A3094" s="209" t="n"/>
      <c r="B3094" s="209" t="n"/>
      <c r="C3094" s="207" t="n"/>
      <c r="D3094" s="963" t="n"/>
      <c r="E3094" s="214" t="n"/>
      <c r="F3094" s="207" t="n"/>
      <c r="G3094" s="207" t="n"/>
      <c r="H3094" s="208" t="n"/>
      <c r="I3094" s="208" t="n"/>
      <c r="J3094" s="214" t="n"/>
      <c r="K3094" s="208" t="n"/>
      <c r="L3094" s="424" t="n"/>
      <c r="M3094" s="961" t="n"/>
      <c r="N3094" s="214" t="n"/>
    </row>
    <row r="3095">
      <c r="A3095" s="209" t="n"/>
      <c r="B3095" s="209" t="n"/>
      <c r="C3095" s="207" t="n"/>
      <c r="D3095" s="963" t="n"/>
      <c r="E3095" s="214" t="n"/>
      <c r="F3095" s="207" t="n"/>
      <c r="G3095" s="207" t="n"/>
      <c r="H3095" s="208" t="n"/>
      <c r="I3095" s="208" t="n"/>
      <c r="J3095" s="214" t="n"/>
      <c r="K3095" s="208" t="n"/>
      <c r="L3095" s="424" t="n"/>
      <c r="M3095" s="961" t="n"/>
      <c r="N3095" s="214" t="n"/>
    </row>
    <row r="3096">
      <c r="A3096" s="209" t="n"/>
      <c r="B3096" s="209" t="n"/>
      <c r="C3096" s="207" t="n"/>
      <c r="D3096" s="963" t="n"/>
      <c r="E3096" s="214" t="n"/>
      <c r="F3096" s="207" t="n"/>
      <c r="G3096" s="207" t="n"/>
      <c r="H3096" s="208" t="n"/>
      <c r="I3096" s="208" t="n"/>
      <c r="J3096" s="214" t="n"/>
      <c r="K3096" s="208" t="n"/>
      <c r="L3096" s="424" t="n"/>
      <c r="M3096" s="961" t="n"/>
      <c r="N3096" s="214" t="n"/>
    </row>
    <row r="3097">
      <c r="A3097" s="209" t="n"/>
      <c r="B3097" s="209" t="n"/>
      <c r="C3097" s="207" t="n"/>
      <c r="D3097" s="963" t="n"/>
      <c r="E3097" s="214" t="n"/>
      <c r="F3097" s="207" t="n"/>
      <c r="G3097" s="207" t="n"/>
      <c r="H3097" s="208" t="n"/>
      <c r="I3097" s="208" t="n"/>
      <c r="J3097" s="214" t="n"/>
      <c r="K3097" s="208" t="n"/>
      <c r="L3097" s="424" t="n"/>
      <c r="M3097" s="961" t="n"/>
      <c r="N3097" s="214" t="n"/>
    </row>
    <row r="3098">
      <c r="A3098" s="209" t="n"/>
      <c r="B3098" s="209" t="n"/>
      <c r="C3098" s="207" t="n"/>
      <c r="D3098" s="963" t="n"/>
      <c r="E3098" s="214" t="n"/>
      <c r="F3098" s="207" t="n"/>
      <c r="G3098" s="207" t="n"/>
      <c r="H3098" s="208" t="n"/>
      <c r="I3098" s="208" t="n"/>
      <c r="J3098" s="214" t="n"/>
      <c r="K3098" s="208" t="n"/>
      <c r="L3098" s="424" t="n"/>
      <c r="M3098" s="961" t="n"/>
      <c r="N3098" s="214" t="n"/>
    </row>
    <row r="3099">
      <c r="A3099" s="209" t="n"/>
      <c r="B3099" s="209" t="n"/>
      <c r="C3099" s="207" t="n"/>
      <c r="D3099" s="963" t="n"/>
      <c r="E3099" s="214" t="n"/>
      <c r="F3099" s="207" t="n"/>
      <c r="G3099" s="207" t="n"/>
      <c r="H3099" s="208" t="n"/>
      <c r="I3099" s="208" t="n"/>
      <c r="J3099" s="214" t="n"/>
      <c r="K3099" s="208" t="n"/>
      <c r="L3099" s="424" t="n"/>
      <c r="M3099" s="961" t="n"/>
      <c r="N3099" s="214" t="n"/>
    </row>
    <row r="3100">
      <c r="A3100" s="209" t="n"/>
      <c r="B3100" s="209" t="n"/>
      <c r="C3100" s="207" t="n"/>
      <c r="D3100" s="963" t="n"/>
      <c r="E3100" s="214" t="n"/>
      <c r="F3100" s="207" t="n"/>
      <c r="G3100" s="207" t="n"/>
      <c r="H3100" s="208" t="n"/>
      <c r="I3100" s="208" t="n"/>
      <c r="J3100" s="214" t="n"/>
      <c r="K3100" s="208" t="n"/>
      <c r="L3100" s="424" t="n"/>
      <c r="M3100" s="961" t="n"/>
      <c r="N3100" s="214" t="n"/>
    </row>
    <row r="3101">
      <c r="A3101" s="209" t="n"/>
      <c r="B3101" s="209" t="n"/>
      <c r="C3101" s="207" t="n"/>
      <c r="D3101" s="963" t="n"/>
      <c r="E3101" s="214" t="n"/>
      <c r="F3101" s="207" t="n"/>
      <c r="G3101" s="207" t="n"/>
      <c r="H3101" s="208" t="n"/>
      <c r="I3101" s="208" t="n"/>
      <c r="J3101" s="214" t="n"/>
      <c r="K3101" s="208" t="n"/>
      <c r="L3101" s="424" t="n"/>
      <c r="M3101" s="961" t="n"/>
      <c r="N3101" s="214" t="n"/>
    </row>
    <row r="3102">
      <c r="A3102" s="209" t="n"/>
      <c r="B3102" s="209" t="n"/>
      <c r="C3102" s="207" t="n"/>
      <c r="D3102" s="963" t="n"/>
      <c r="E3102" s="214" t="n"/>
      <c r="F3102" s="207" t="n"/>
      <c r="G3102" s="207" t="n"/>
      <c r="H3102" s="208" t="n"/>
      <c r="I3102" s="208" t="n"/>
      <c r="J3102" s="214" t="n"/>
      <c r="K3102" s="208" t="n"/>
      <c r="L3102" s="424" t="n"/>
      <c r="M3102" s="961" t="n"/>
      <c r="N3102" s="214" t="n"/>
    </row>
    <row r="3103">
      <c r="A3103" s="209" t="n"/>
      <c r="B3103" s="209" t="n"/>
      <c r="C3103" s="207" t="n"/>
      <c r="D3103" s="963" t="n"/>
      <c r="E3103" s="214" t="n"/>
      <c r="F3103" s="207" t="n"/>
      <c r="G3103" s="207" t="n"/>
      <c r="H3103" s="208" t="n"/>
      <c r="I3103" s="208" t="n"/>
      <c r="J3103" s="214" t="n"/>
      <c r="K3103" s="208" t="n"/>
      <c r="L3103" s="424" t="n"/>
      <c r="M3103" s="961" t="n"/>
      <c r="N3103" s="214" t="n"/>
    </row>
    <row r="3104">
      <c r="A3104" s="209" t="n"/>
      <c r="B3104" s="209" t="n"/>
      <c r="C3104" s="207" t="n"/>
      <c r="D3104" s="963" t="n"/>
      <c r="E3104" s="214" t="n"/>
      <c r="F3104" s="207" t="n"/>
      <c r="G3104" s="207" t="n"/>
      <c r="H3104" s="208" t="n"/>
      <c r="I3104" s="208" t="n"/>
      <c r="J3104" s="214" t="n"/>
      <c r="K3104" s="208" t="n"/>
      <c r="L3104" s="424" t="n"/>
      <c r="M3104" s="961" t="n"/>
      <c r="N3104" s="214" t="n"/>
    </row>
    <row r="3105">
      <c r="A3105" s="209" t="n"/>
      <c r="B3105" s="209" t="n"/>
      <c r="C3105" s="207" t="n"/>
      <c r="D3105" s="963" t="n"/>
      <c r="E3105" s="214" t="n"/>
      <c r="F3105" s="207" t="n"/>
      <c r="G3105" s="207" t="n"/>
      <c r="H3105" s="208" t="n"/>
      <c r="I3105" s="208" t="n"/>
      <c r="J3105" s="214" t="n"/>
      <c r="K3105" s="208" t="n"/>
      <c r="L3105" s="424" t="n"/>
      <c r="M3105" s="961" t="n"/>
      <c r="N3105" s="214" t="n"/>
    </row>
    <row r="3106">
      <c r="A3106" s="209" t="n"/>
      <c r="B3106" s="209" t="n"/>
      <c r="C3106" s="207" t="n"/>
      <c r="D3106" s="963" t="n"/>
      <c r="E3106" s="214" t="n"/>
      <c r="F3106" s="207" t="n"/>
      <c r="G3106" s="207" t="n"/>
      <c r="H3106" s="208" t="n"/>
      <c r="I3106" s="208" t="n"/>
      <c r="J3106" s="214" t="n"/>
      <c r="K3106" s="208" t="n"/>
      <c r="L3106" s="424" t="n"/>
      <c r="M3106" s="961" t="n"/>
      <c r="N3106" s="214" t="n"/>
    </row>
    <row r="3107">
      <c r="A3107" s="209" t="n"/>
      <c r="B3107" s="209" t="n"/>
      <c r="C3107" s="207" t="n"/>
      <c r="D3107" s="963" t="n"/>
      <c r="E3107" s="214" t="n"/>
      <c r="F3107" s="207" t="n"/>
      <c r="G3107" s="207" t="n"/>
      <c r="H3107" s="208" t="n"/>
      <c r="I3107" s="208" t="n"/>
      <c r="J3107" s="214" t="n"/>
      <c r="K3107" s="208" t="n"/>
      <c r="L3107" s="424" t="n"/>
      <c r="M3107" s="961" t="n"/>
      <c r="N3107" s="214" t="n"/>
    </row>
    <row r="3108">
      <c r="A3108" s="209" t="n"/>
      <c r="B3108" s="209" t="n"/>
      <c r="C3108" s="207" t="n"/>
      <c r="D3108" s="963" t="n"/>
      <c r="E3108" s="214" t="n"/>
      <c r="F3108" s="207" t="n"/>
      <c r="G3108" s="207" t="n"/>
      <c r="H3108" s="208" t="n"/>
      <c r="I3108" s="208" t="n"/>
      <c r="J3108" s="214" t="n"/>
      <c r="K3108" s="208" t="n"/>
      <c r="L3108" s="424" t="n"/>
      <c r="M3108" s="961" t="n"/>
      <c r="N3108" s="214" t="n"/>
    </row>
    <row r="3109">
      <c r="A3109" s="209" t="n"/>
      <c r="B3109" s="209" t="n"/>
      <c r="C3109" s="207" t="n"/>
      <c r="D3109" s="963" t="n"/>
      <c r="E3109" s="214" t="n"/>
      <c r="F3109" s="207" t="n"/>
      <c r="G3109" s="207" t="n"/>
      <c r="H3109" s="208" t="n"/>
      <c r="I3109" s="208" t="n"/>
      <c r="J3109" s="214" t="n"/>
      <c r="K3109" s="208" t="n"/>
      <c r="L3109" s="424" t="n"/>
      <c r="M3109" s="961" t="n"/>
      <c r="N3109" s="214" t="n"/>
    </row>
    <row r="3110">
      <c r="A3110" s="209" t="n"/>
      <c r="B3110" s="209" t="n"/>
      <c r="C3110" s="207" t="n"/>
      <c r="D3110" s="963" t="n"/>
      <c r="E3110" s="214" t="n"/>
      <c r="F3110" s="207" t="n"/>
      <c r="G3110" s="207" t="n"/>
      <c r="H3110" s="208" t="n"/>
      <c r="I3110" s="208" t="n"/>
      <c r="J3110" s="214" t="n"/>
      <c r="K3110" s="208" t="n"/>
      <c r="L3110" s="424" t="n"/>
      <c r="M3110" s="961" t="n"/>
      <c r="N3110" s="214" t="n"/>
    </row>
    <row r="3111">
      <c r="A3111" s="209" t="n"/>
      <c r="B3111" s="209" t="n"/>
      <c r="C3111" s="207" t="n"/>
      <c r="D3111" s="963" t="n"/>
      <c r="E3111" s="214" t="n"/>
      <c r="F3111" s="207" t="n"/>
      <c r="G3111" s="207" t="n"/>
      <c r="H3111" s="208" t="n"/>
      <c r="I3111" s="208" t="n"/>
      <c r="J3111" s="214" t="n"/>
      <c r="K3111" s="208" t="n"/>
      <c r="L3111" s="424" t="n"/>
      <c r="M3111" s="961" t="n"/>
      <c r="N3111" s="214" t="n"/>
    </row>
    <row r="3112">
      <c r="A3112" s="209" t="n"/>
      <c r="B3112" s="209" t="n"/>
      <c r="C3112" s="207" t="n"/>
      <c r="D3112" s="963" t="n"/>
      <c r="E3112" s="214" t="n"/>
      <c r="F3112" s="207" t="n"/>
      <c r="G3112" s="207" t="n"/>
      <c r="H3112" s="208" t="n"/>
      <c r="I3112" s="208" t="n"/>
      <c r="J3112" s="214" t="n"/>
      <c r="K3112" s="208" t="n"/>
      <c r="L3112" s="424" t="n"/>
      <c r="M3112" s="961" t="n"/>
      <c r="N3112" s="214" t="n"/>
    </row>
    <row r="3113">
      <c r="A3113" s="209" t="n"/>
      <c r="B3113" s="209" t="n"/>
      <c r="C3113" s="207" t="n"/>
      <c r="D3113" s="963" t="n"/>
      <c r="E3113" s="214" t="n"/>
      <c r="F3113" s="207" t="n"/>
      <c r="G3113" s="207" t="n"/>
      <c r="H3113" s="208" t="n"/>
      <c r="I3113" s="208" t="n"/>
      <c r="J3113" s="214" t="n"/>
      <c r="K3113" s="208" t="n"/>
      <c r="L3113" s="424" t="n"/>
      <c r="M3113" s="961" t="n"/>
      <c r="N3113" s="214" t="n"/>
    </row>
    <row r="3114">
      <c r="A3114" s="209" t="n"/>
      <c r="B3114" s="209" t="n"/>
      <c r="C3114" s="207" t="n"/>
      <c r="D3114" s="963" t="n"/>
      <c r="E3114" s="214" t="n"/>
      <c r="F3114" s="207" t="n"/>
      <c r="G3114" s="207" t="n"/>
      <c r="H3114" s="208" t="n"/>
      <c r="I3114" s="208" t="n"/>
      <c r="J3114" s="214" t="n"/>
      <c r="K3114" s="208" t="n"/>
      <c r="L3114" s="424" t="n"/>
      <c r="M3114" s="961" t="n"/>
      <c r="N3114" s="214" t="n"/>
    </row>
    <row r="3115">
      <c r="A3115" s="209" t="n"/>
      <c r="B3115" s="209" t="n"/>
      <c r="C3115" s="207" t="n"/>
      <c r="D3115" s="963" t="n"/>
      <c r="E3115" s="214" t="n"/>
      <c r="F3115" s="207" t="n"/>
      <c r="G3115" s="207" t="n"/>
      <c r="H3115" s="208" t="n"/>
      <c r="I3115" s="208" t="n"/>
      <c r="J3115" s="214" t="n"/>
      <c r="K3115" s="208" t="n"/>
      <c r="L3115" s="424" t="n"/>
      <c r="M3115" s="961" t="n"/>
      <c r="N3115" s="214" t="n"/>
    </row>
    <row r="3116">
      <c r="A3116" s="209" t="n"/>
      <c r="B3116" s="209" t="n"/>
      <c r="C3116" s="207" t="n"/>
      <c r="D3116" s="963" t="n"/>
      <c r="E3116" s="214" t="n"/>
      <c r="F3116" s="207" t="n"/>
      <c r="G3116" s="207" t="n"/>
      <c r="H3116" s="208" t="n"/>
      <c r="I3116" s="208" t="n"/>
      <c r="J3116" s="214" t="n"/>
      <c r="K3116" s="208" t="n"/>
      <c r="L3116" s="424" t="n"/>
      <c r="M3116" s="961" t="n"/>
      <c r="N3116" s="214" t="n"/>
    </row>
    <row r="3117">
      <c r="A3117" s="209" t="n"/>
      <c r="B3117" s="209" t="n"/>
      <c r="C3117" s="207" t="n"/>
      <c r="D3117" s="963" t="n"/>
      <c r="E3117" s="214" t="n"/>
      <c r="F3117" s="207" t="n"/>
      <c r="G3117" s="207" t="n"/>
      <c r="H3117" s="208" t="n"/>
      <c r="I3117" s="208" t="n"/>
      <c r="J3117" s="214" t="n"/>
      <c r="K3117" s="208" t="n"/>
      <c r="L3117" s="424" t="n"/>
      <c r="M3117" s="961" t="n"/>
      <c r="N3117" s="214" t="n"/>
    </row>
    <row r="3118">
      <c r="A3118" s="209" t="n"/>
      <c r="B3118" s="209" t="n"/>
      <c r="C3118" s="207" t="n"/>
      <c r="D3118" s="963" t="n"/>
      <c r="E3118" s="214" t="n"/>
      <c r="F3118" s="207" t="n"/>
      <c r="G3118" s="207" t="n"/>
      <c r="H3118" s="208" t="n"/>
      <c r="I3118" s="208" t="n"/>
      <c r="J3118" s="214" t="n"/>
      <c r="K3118" s="208" t="n"/>
      <c r="L3118" s="424" t="n"/>
      <c r="M3118" s="961" t="n"/>
      <c r="N3118" s="214" t="n"/>
    </row>
    <row r="3119">
      <c r="A3119" s="209" t="n"/>
      <c r="B3119" s="209" t="n"/>
      <c r="C3119" s="207" t="n"/>
      <c r="D3119" s="963" t="n"/>
      <c r="E3119" s="214" t="n"/>
      <c r="F3119" s="207" t="n"/>
      <c r="G3119" s="207" t="n"/>
      <c r="H3119" s="208" t="n"/>
      <c r="I3119" s="208" t="n"/>
      <c r="J3119" s="214" t="n"/>
      <c r="K3119" s="208" t="n"/>
      <c r="L3119" s="424" t="n"/>
      <c r="M3119" s="961" t="n"/>
      <c r="N3119" s="214" t="n"/>
    </row>
    <row r="3120">
      <c r="A3120" s="209" t="n"/>
      <c r="B3120" s="209" t="n"/>
      <c r="C3120" s="207" t="n"/>
      <c r="D3120" s="963" t="n"/>
      <c r="E3120" s="214" t="n"/>
      <c r="F3120" s="207" t="n"/>
      <c r="G3120" s="207" t="n"/>
      <c r="H3120" s="208" t="n"/>
      <c r="I3120" s="208" t="n"/>
      <c r="J3120" s="214" t="n"/>
      <c r="K3120" s="208" t="n"/>
      <c r="L3120" s="424" t="n"/>
      <c r="M3120" s="961" t="n"/>
      <c r="N3120" s="214" t="n"/>
    </row>
    <row r="3121">
      <c r="A3121" s="209" t="n"/>
      <c r="B3121" s="209" t="n"/>
      <c r="C3121" s="207" t="n"/>
      <c r="D3121" s="963" t="n"/>
      <c r="E3121" s="214" t="n"/>
      <c r="F3121" s="207" t="n"/>
      <c r="G3121" s="207" t="n"/>
      <c r="H3121" s="208" t="n"/>
      <c r="I3121" s="208" t="n"/>
      <c r="J3121" s="214" t="n"/>
      <c r="K3121" s="208" t="n"/>
      <c r="L3121" s="424" t="n"/>
      <c r="M3121" s="961" t="n"/>
      <c r="N3121" s="214" t="n"/>
    </row>
    <row r="3122">
      <c r="A3122" s="209" t="n"/>
      <c r="B3122" s="209" t="n"/>
      <c r="C3122" s="207" t="n"/>
      <c r="D3122" s="963" t="n"/>
      <c r="E3122" s="214" t="n"/>
      <c r="F3122" s="207" t="n"/>
      <c r="G3122" s="207" t="n"/>
      <c r="H3122" s="208" t="n"/>
      <c r="I3122" s="208" t="n"/>
      <c r="J3122" s="214" t="n"/>
      <c r="K3122" s="208" t="n"/>
      <c r="L3122" s="424" t="n"/>
      <c r="M3122" s="961" t="n"/>
      <c r="N3122" s="214" t="n"/>
    </row>
    <row r="3123">
      <c r="A3123" s="209" t="n"/>
      <c r="B3123" s="209" t="n"/>
      <c r="C3123" s="207" t="n"/>
      <c r="D3123" s="963" t="n"/>
      <c r="E3123" s="214" t="n"/>
      <c r="F3123" s="207" t="n"/>
      <c r="G3123" s="207" t="n"/>
      <c r="H3123" s="208" t="n"/>
      <c r="I3123" s="208" t="n"/>
      <c r="J3123" s="214" t="n"/>
      <c r="K3123" s="208" t="n"/>
      <c r="L3123" s="424" t="n"/>
      <c r="M3123" s="961" t="n"/>
      <c r="N3123" s="214" t="n"/>
    </row>
    <row r="3124">
      <c r="A3124" s="209" t="n"/>
      <c r="B3124" s="209" t="n"/>
      <c r="C3124" s="207" t="n"/>
      <c r="D3124" s="963" t="n"/>
      <c r="E3124" s="214" t="n"/>
      <c r="F3124" s="207" t="n"/>
      <c r="G3124" s="207" t="n"/>
      <c r="H3124" s="208" t="n"/>
      <c r="I3124" s="208" t="n"/>
      <c r="J3124" s="214" t="n"/>
      <c r="K3124" s="208" t="n"/>
      <c r="L3124" s="424" t="n"/>
      <c r="M3124" s="961" t="n"/>
      <c r="N3124" s="214" t="n"/>
    </row>
    <row r="3125">
      <c r="A3125" s="209" t="n"/>
      <c r="B3125" s="209" t="n"/>
      <c r="C3125" s="207" t="n"/>
      <c r="D3125" s="963" t="n"/>
      <c r="E3125" s="214" t="n"/>
      <c r="F3125" s="207" t="n"/>
      <c r="G3125" s="207" t="n"/>
      <c r="H3125" s="208" t="n"/>
      <c r="I3125" s="208" t="n"/>
      <c r="J3125" s="214" t="n"/>
      <c r="K3125" s="208" t="n"/>
      <c r="L3125" s="424" t="n"/>
      <c r="M3125" s="961" t="n"/>
      <c r="N3125" s="214" t="n"/>
    </row>
    <row r="3126">
      <c r="A3126" s="209" t="n"/>
      <c r="B3126" s="209" t="n"/>
      <c r="C3126" s="207" t="n"/>
      <c r="D3126" s="963" t="n"/>
      <c r="E3126" s="214" t="n"/>
      <c r="F3126" s="207" t="n"/>
      <c r="G3126" s="207" t="n"/>
      <c r="H3126" s="208" t="n"/>
      <c r="I3126" s="208" t="n"/>
      <c r="J3126" s="214" t="n"/>
      <c r="K3126" s="208" t="n"/>
      <c r="L3126" s="424" t="n"/>
      <c r="M3126" s="961" t="n"/>
      <c r="N3126" s="214" t="n"/>
    </row>
    <row r="3127">
      <c r="A3127" s="209" t="n"/>
      <c r="B3127" s="209" t="n"/>
      <c r="C3127" s="207" t="n"/>
      <c r="D3127" s="963" t="n"/>
      <c r="E3127" s="214" t="n"/>
      <c r="F3127" s="207" t="n"/>
      <c r="G3127" s="207" t="n"/>
      <c r="H3127" s="208" t="n"/>
      <c r="I3127" s="208" t="n"/>
      <c r="J3127" s="214" t="n"/>
      <c r="K3127" s="208" t="n"/>
      <c r="L3127" s="424" t="n"/>
      <c r="M3127" s="961" t="n"/>
      <c r="N3127" s="214" t="n"/>
    </row>
    <row r="3128">
      <c r="A3128" s="209" t="n"/>
      <c r="B3128" s="209" t="n"/>
      <c r="C3128" s="207" t="n"/>
      <c r="D3128" s="963" t="n"/>
      <c r="E3128" s="214" t="n"/>
      <c r="F3128" s="207" t="n"/>
      <c r="G3128" s="207" t="n"/>
      <c r="H3128" s="208" t="n"/>
      <c r="I3128" s="208" t="n"/>
      <c r="J3128" s="214" t="n"/>
      <c r="K3128" s="208" t="n"/>
      <c r="L3128" s="424" t="n"/>
      <c r="M3128" s="961" t="n"/>
      <c r="N3128" s="214" t="n"/>
    </row>
    <row r="3129">
      <c r="A3129" s="209" t="n"/>
      <c r="B3129" s="209" t="n"/>
      <c r="C3129" s="207" t="n"/>
      <c r="D3129" s="963" t="n"/>
      <c r="E3129" s="214" t="n"/>
      <c r="F3129" s="207" t="n"/>
      <c r="G3129" s="207" t="n"/>
      <c r="H3129" s="208" t="n"/>
      <c r="I3129" s="208" t="n"/>
      <c r="J3129" s="214" t="n"/>
      <c r="K3129" s="208" t="n"/>
      <c r="L3129" s="424" t="n"/>
      <c r="M3129" s="961" t="n"/>
      <c r="N3129" s="214" t="n"/>
    </row>
    <row r="3130">
      <c r="A3130" s="209" t="n"/>
      <c r="B3130" s="209" t="n"/>
      <c r="C3130" s="207" t="n"/>
      <c r="D3130" s="963" t="n"/>
      <c r="E3130" s="214" t="n"/>
      <c r="F3130" s="207" t="n"/>
      <c r="G3130" s="207" t="n"/>
      <c r="H3130" s="208" t="n"/>
      <c r="I3130" s="208" t="n"/>
      <c r="J3130" s="214" t="n"/>
      <c r="K3130" s="208" t="n"/>
      <c r="L3130" s="424" t="n"/>
      <c r="M3130" s="961" t="n"/>
      <c r="N3130" s="214" t="n"/>
    </row>
    <row r="3131">
      <c r="A3131" s="209" t="n"/>
      <c r="B3131" s="209" t="n"/>
      <c r="C3131" s="207" t="n"/>
      <c r="D3131" s="963" t="n"/>
      <c r="E3131" s="214" t="n"/>
      <c r="F3131" s="207" t="n"/>
      <c r="G3131" s="207" t="n"/>
      <c r="H3131" s="208" t="n"/>
      <c r="I3131" s="208" t="n"/>
      <c r="J3131" s="214" t="n"/>
      <c r="K3131" s="208" t="n"/>
      <c r="L3131" s="424" t="n"/>
      <c r="M3131" s="961" t="n"/>
      <c r="N3131" s="214" t="n"/>
    </row>
    <row r="3132">
      <c r="A3132" s="209" t="n"/>
      <c r="B3132" s="209" t="n"/>
      <c r="C3132" s="207" t="n"/>
      <c r="D3132" s="963" t="n"/>
      <c r="E3132" s="214" t="n"/>
      <c r="F3132" s="207" t="n"/>
      <c r="G3132" s="207" t="n"/>
      <c r="H3132" s="208" t="n"/>
      <c r="I3132" s="208" t="n"/>
      <c r="J3132" s="214" t="n"/>
      <c r="K3132" s="208" t="n"/>
      <c r="L3132" s="424" t="n"/>
      <c r="M3132" s="961" t="n"/>
      <c r="N3132" s="214" t="n"/>
    </row>
    <row r="3133">
      <c r="A3133" s="209" t="n"/>
      <c r="B3133" s="209" t="n"/>
      <c r="C3133" s="207" t="n"/>
      <c r="D3133" s="963" t="n"/>
      <c r="E3133" s="214" t="n"/>
      <c r="F3133" s="207" t="n"/>
      <c r="G3133" s="207" t="n"/>
      <c r="H3133" s="208" t="n"/>
      <c r="I3133" s="208" t="n"/>
      <c r="J3133" s="214" t="n"/>
      <c r="K3133" s="208" t="n"/>
      <c r="L3133" s="424" t="n"/>
      <c r="M3133" s="961" t="n"/>
      <c r="N3133" s="214" t="n"/>
    </row>
    <row r="3134">
      <c r="A3134" s="209" t="n"/>
      <c r="B3134" s="209" t="n"/>
      <c r="C3134" s="207" t="n"/>
      <c r="D3134" s="963" t="n"/>
      <c r="E3134" s="214" t="n"/>
      <c r="F3134" s="207" t="n"/>
      <c r="G3134" s="207" t="n"/>
      <c r="H3134" s="208" t="n"/>
      <c r="I3134" s="208" t="n"/>
      <c r="J3134" s="214" t="n"/>
      <c r="K3134" s="208" t="n"/>
      <c r="L3134" s="424" t="n"/>
      <c r="M3134" s="961" t="n"/>
      <c r="N3134" s="214" t="n"/>
    </row>
    <row r="3135">
      <c r="A3135" s="209" t="n"/>
      <c r="B3135" s="209" t="n"/>
      <c r="C3135" s="207" t="n"/>
      <c r="D3135" s="963" t="n"/>
      <c r="E3135" s="214" t="n"/>
      <c r="F3135" s="207" t="n"/>
      <c r="G3135" s="207" t="n"/>
      <c r="H3135" s="208" t="n"/>
      <c r="I3135" s="208" t="n"/>
      <c r="J3135" s="214" t="n"/>
      <c r="K3135" s="208" t="n"/>
      <c r="L3135" s="424" t="n"/>
      <c r="M3135" s="961" t="n"/>
      <c r="N3135" s="214" t="n"/>
    </row>
    <row r="3136">
      <c r="A3136" s="209" t="n"/>
      <c r="B3136" s="209" t="n"/>
      <c r="C3136" s="207" t="n"/>
      <c r="D3136" s="963" t="n"/>
      <c r="E3136" s="214" t="n"/>
      <c r="F3136" s="207" t="n"/>
      <c r="G3136" s="207" t="n"/>
      <c r="H3136" s="208" t="n"/>
      <c r="I3136" s="208" t="n"/>
      <c r="J3136" s="214" t="n"/>
      <c r="K3136" s="208" t="n"/>
      <c r="L3136" s="424" t="n"/>
      <c r="M3136" s="961" t="n"/>
      <c r="N3136" s="214" t="n"/>
    </row>
    <row r="3137">
      <c r="A3137" s="209" t="n"/>
      <c r="B3137" s="209" t="n"/>
      <c r="C3137" s="207" t="n"/>
      <c r="D3137" s="963" t="n"/>
      <c r="E3137" s="214" t="n"/>
      <c r="F3137" s="207" t="n"/>
      <c r="G3137" s="207" t="n"/>
      <c r="H3137" s="208" t="n"/>
      <c r="I3137" s="208" t="n"/>
      <c r="J3137" s="214" t="n"/>
      <c r="K3137" s="208" t="n"/>
      <c r="L3137" s="424" t="n"/>
      <c r="M3137" s="961" t="n"/>
      <c r="N3137" s="214" t="n"/>
    </row>
    <row r="3138">
      <c r="A3138" s="209" t="n"/>
      <c r="B3138" s="209" t="n"/>
      <c r="C3138" s="207" t="n"/>
      <c r="D3138" s="963" t="n"/>
      <c r="E3138" s="214" t="n"/>
      <c r="F3138" s="207" t="n"/>
      <c r="G3138" s="207" t="n"/>
      <c r="H3138" s="208" t="n"/>
      <c r="I3138" s="208" t="n"/>
      <c r="J3138" s="214" t="n"/>
      <c r="K3138" s="208" t="n"/>
      <c r="L3138" s="424" t="n"/>
      <c r="M3138" s="961" t="n"/>
      <c r="N3138" s="214" t="n"/>
    </row>
    <row r="3139">
      <c r="A3139" s="209" t="n"/>
      <c r="B3139" s="209" t="n"/>
      <c r="C3139" s="207" t="n"/>
      <c r="D3139" s="963" t="n"/>
      <c r="E3139" s="214" t="n"/>
      <c r="F3139" s="207" t="n"/>
      <c r="G3139" s="207" t="n"/>
      <c r="H3139" s="208" t="n"/>
      <c r="I3139" s="208" t="n"/>
      <c r="J3139" s="214" t="n"/>
      <c r="K3139" s="208" t="n"/>
      <c r="L3139" s="424" t="n"/>
      <c r="M3139" s="961" t="n"/>
      <c r="N3139" s="214" t="n"/>
    </row>
    <row r="3140">
      <c r="A3140" s="209" t="n"/>
      <c r="B3140" s="209" t="n"/>
      <c r="C3140" s="207" t="n"/>
      <c r="D3140" s="963" t="n"/>
      <c r="E3140" s="214" t="n"/>
      <c r="F3140" s="207" t="n"/>
      <c r="G3140" s="207" t="n"/>
      <c r="H3140" s="208" t="n"/>
      <c r="I3140" s="208" t="n"/>
      <c r="J3140" s="214" t="n"/>
      <c r="K3140" s="208" t="n"/>
      <c r="L3140" s="424" t="n"/>
      <c r="M3140" s="961" t="n"/>
      <c r="N3140" s="214" t="n"/>
    </row>
    <row r="3141">
      <c r="A3141" s="209" t="n"/>
      <c r="B3141" s="209" t="n"/>
      <c r="C3141" s="207" t="n"/>
      <c r="D3141" s="963" t="n"/>
      <c r="E3141" s="214" t="n"/>
      <c r="F3141" s="207" t="n"/>
      <c r="G3141" s="207" t="n"/>
      <c r="H3141" s="208" t="n"/>
      <c r="I3141" s="208" t="n"/>
      <c r="J3141" s="214" t="n"/>
      <c r="K3141" s="208" t="n"/>
      <c r="L3141" s="424" t="n"/>
      <c r="M3141" s="961" t="n"/>
      <c r="N3141" s="214" t="n"/>
    </row>
    <row r="3142">
      <c r="A3142" s="209" t="n"/>
      <c r="B3142" s="209" t="n"/>
      <c r="C3142" s="207" t="n"/>
      <c r="D3142" s="963" t="n"/>
      <c r="E3142" s="214" t="n"/>
      <c r="F3142" s="207" t="n"/>
      <c r="G3142" s="207" t="n"/>
      <c r="H3142" s="208" t="n"/>
      <c r="I3142" s="208" t="n"/>
      <c r="J3142" s="214" t="n"/>
      <c r="K3142" s="208" t="n"/>
      <c r="L3142" s="424" t="n"/>
      <c r="M3142" s="961" t="n"/>
      <c r="N3142" s="214" t="n"/>
    </row>
    <row r="3143">
      <c r="A3143" s="209" t="n"/>
      <c r="B3143" s="209" t="n"/>
      <c r="C3143" s="207" t="n"/>
      <c r="D3143" s="963" t="n"/>
      <c r="E3143" s="214" t="n"/>
      <c r="F3143" s="207" t="n"/>
      <c r="G3143" s="207" t="n"/>
      <c r="H3143" s="208" t="n"/>
      <c r="I3143" s="208" t="n"/>
      <c r="J3143" s="214" t="n"/>
      <c r="K3143" s="208" t="n"/>
      <c r="L3143" s="424" t="n"/>
      <c r="M3143" s="961" t="n"/>
      <c r="N3143" s="214" t="n"/>
    </row>
    <row r="3144">
      <c r="A3144" s="209" t="n"/>
      <c r="B3144" s="209" t="n"/>
      <c r="C3144" s="207" t="n"/>
      <c r="D3144" s="963" t="n"/>
      <c r="E3144" s="214" t="n"/>
      <c r="F3144" s="207" t="n"/>
      <c r="G3144" s="207" t="n"/>
      <c r="H3144" s="208" t="n"/>
      <c r="I3144" s="208" t="n"/>
      <c r="J3144" s="214" t="n"/>
      <c r="K3144" s="208" t="n"/>
      <c r="L3144" s="424" t="n"/>
      <c r="M3144" s="961" t="n"/>
      <c r="N3144" s="214" t="n"/>
    </row>
    <row r="3145">
      <c r="A3145" s="209" t="n"/>
      <c r="B3145" s="209" t="n"/>
      <c r="C3145" s="207" t="n"/>
      <c r="D3145" s="963" t="n"/>
      <c r="E3145" s="214" t="n"/>
      <c r="F3145" s="207" t="n"/>
      <c r="G3145" s="207" t="n"/>
      <c r="H3145" s="208" t="n"/>
      <c r="I3145" s="208" t="n"/>
      <c r="J3145" s="214" t="n"/>
      <c r="K3145" s="208" t="n"/>
      <c r="L3145" s="424" t="n"/>
      <c r="M3145" s="961" t="n"/>
      <c r="N3145" s="214" t="n"/>
    </row>
    <row r="3146">
      <c r="A3146" s="209" t="n"/>
      <c r="B3146" s="209" t="n"/>
      <c r="C3146" s="207" t="n"/>
      <c r="D3146" s="963" t="n"/>
      <c r="E3146" s="214" t="n"/>
      <c r="F3146" s="207" t="n"/>
      <c r="G3146" s="207" t="n"/>
      <c r="H3146" s="208" t="n"/>
      <c r="I3146" s="208" t="n"/>
      <c r="J3146" s="214" t="n"/>
      <c r="K3146" s="208" t="n"/>
      <c r="L3146" s="424" t="n"/>
      <c r="M3146" s="961" t="n"/>
      <c r="N3146" s="214" t="n"/>
    </row>
    <row r="3147">
      <c r="A3147" s="209" t="n"/>
      <c r="B3147" s="209" t="n"/>
      <c r="C3147" s="207" t="n"/>
      <c r="D3147" s="963" t="n"/>
      <c r="E3147" s="214" t="n"/>
      <c r="F3147" s="207" t="n"/>
      <c r="G3147" s="207" t="n"/>
      <c r="H3147" s="208" t="n"/>
      <c r="I3147" s="208" t="n"/>
      <c r="J3147" s="214" t="n"/>
      <c r="K3147" s="208" t="n"/>
      <c r="L3147" s="424" t="n"/>
      <c r="M3147" s="961" t="n"/>
      <c r="N3147" s="214" t="n"/>
    </row>
    <row r="3148">
      <c r="A3148" s="209" t="n"/>
      <c r="B3148" s="209" t="n"/>
      <c r="C3148" s="207" t="n"/>
      <c r="D3148" s="963" t="n"/>
      <c r="E3148" s="214" t="n"/>
      <c r="F3148" s="207" t="n"/>
      <c r="G3148" s="207" t="n"/>
      <c r="H3148" s="208" t="n"/>
      <c r="I3148" s="208" t="n"/>
      <c r="J3148" s="214" t="n"/>
      <c r="K3148" s="208" t="n"/>
      <c r="L3148" s="424" t="n"/>
      <c r="M3148" s="961" t="n"/>
      <c r="N3148" s="214" t="n"/>
    </row>
    <row r="3149">
      <c r="A3149" s="209" t="n"/>
      <c r="B3149" s="209" t="n"/>
      <c r="C3149" s="207" t="n"/>
      <c r="D3149" s="963" t="n"/>
      <c r="E3149" s="214" t="n"/>
      <c r="F3149" s="207" t="n"/>
      <c r="G3149" s="207" t="n"/>
      <c r="H3149" s="208" t="n"/>
      <c r="I3149" s="208" t="n"/>
      <c r="J3149" s="214" t="n"/>
      <c r="K3149" s="208" t="n"/>
      <c r="L3149" s="424" t="n"/>
      <c r="M3149" s="961" t="n"/>
      <c r="N3149" s="214" t="n"/>
    </row>
    <row r="3150">
      <c r="A3150" s="209" t="n"/>
      <c r="B3150" s="209" t="n"/>
      <c r="C3150" s="207" t="n"/>
      <c r="D3150" s="963" t="n"/>
      <c r="E3150" s="214" t="n"/>
      <c r="F3150" s="207" t="n"/>
      <c r="G3150" s="207" t="n"/>
      <c r="H3150" s="208" t="n"/>
      <c r="I3150" s="208" t="n"/>
      <c r="J3150" s="214" t="n"/>
      <c r="K3150" s="208" t="n"/>
      <c r="L3150" s="424" t="n"/>
      <c r="M3150" s="961" t="n"/>
      <c r="N3150" s="214" t="n"/>
    </row>
    <row r="3151">
      <c r="A3151" s="209" t="n"/>
      <c r="B3151" s="209" t="n"/>
      <c r="C3151" s="207" t="n"/>
      <c r="D3151" s="963" t="n"/>
      <c r="E3151" s="214" t="n"/>
      <c r="F3151" s="207" t="n"/>
      <c r="G3151" s="207" t="n"/>
      <c r="H3151" s="208" t="n"/>
      <c r="I3151" s="208" t="n"/>
      <c r="J3151" s="214" t="n"/>
      <c r="K3151" s="208" t="n"/>
      <c r="L3151" s="424" t="n"/>
      <c r="M3151" s="961" t="n"/>
      <c r="N3151" s="214" t="n"/>
    </row>
    <row r="3152">
      <c r="A3152" s="209" t="n"/>
      <c r="B3152" s="209" t="n"/>
      <c r="C3152" s="207" t="n"/>
      <c r="D3152" s="963" t="n"/>
      <c r="E3152" s="214" t="n"/>
      <c r="F3152" s="207" t="n"/>
      <c r="G3152" s="207" t="n"/>
      <c r="H3152" s="208" t="n"/>
      <c r="I3152" s="208" t="n"/>
      <c r="J3152" s="214" t="n"/>
      <c r="K3152" s="208" t="n"/>
      <c r="L3152" s="424" t="n"/>
      <c r="M3152" s="961" t="n"/>
      <c r="N3152" s="214" t="n"/>
    </row>
    <row r="3153">
      <c r="A3153" s="209" t="n"/>
      <c r="B3153" s="209" t="n"/>
      <c r="C3153" s="207" t="n"/>
      <c r="D3153" s="963" t="n"/>
      <c r="E3153" s="214" t="n"/>
      <c r="F3153" s="207" t="n"/>
      <c r="G3153" s="207" t="n"/>
      <c r="H3153" s="208" t="n"/>
      <c r="I3153" s="208" t="n"/>
      <c r="J3153" s="214" t="n"/>
      <c r="K3153" s="208" t="n"/>
      <c r="L3153" s="424" t="n"/>
      <c r="M3153" s="961" t="n"/>
      <c r="N3153" s="214" t="n"/>
    </row>
    <row r="3154">
      <c r="A3154" s="209" t="n"/>
      <c r="B3154" s="209" t="n"/>
      <c r="C3154" s="207" t="n"/>
      <c r="D3154" s="963" t="n"/>
      <c r="E3154" s="214" t="n"/>
      <c r="F3154" s="207" t="n"/>
      <c r="G3154" s="207" t="n"/>
      <c r="H3154" s="208" t="n"/>
      <c r="I3154" s="208" t="n"/>
      <c r="J3154" s="214" t="n"/>
      <c r="K3154" s="208" t="n"/>
      <c r="L3154" s="424" t="n"/>
      <c r="M3154" s="961" t="n"/>
      <c r="N3154" s="214" t="n"/>
    </row>
    <row r="3155">
      <c r="A3155" s="209" t="n"/>
      <c r="B3155" s="209" t="n"/>
      <c r="C3155" s="207" t="n"/>
      <c r="D3155" s="963" t="n"/>
      <c r="E3155" s="214" t="n"/>
      <c r="F3155" s="207" t="n"/>
      <c r="G3155" s="207" t="n"/>
      <c r="H3155" s="208" t="n"/>
      <c r="I3155" s="208" t="n"/>
      <c r="J3155" s="214" t="n"/>
      <c r="K3155" s="208" t="n"/>
      <c r="L3155" s="424" t="n"/>
      <c r="M3155" s="961" t="n"/>
      <c r="N3155" s="214" t="n"/>
    </row>
    <row r="3156">
      <c r="A3156" s="209" t="n"/>
      <c r="B3156" s="209" t="n"/>
      <c r="C3156" s="207" t="n"/>
      <c r="D3156" s="963" t="n"/>
      <c r="E3156" s="214" t="n"/>
      <c r="F3156" s="207" t="n"/>
      <c r="G3156" s="207" t="n"/>
      <c r="H3156" s="208" t="n"/>
      <c r="I3156" s="208" t="n"/>
      <c r="J3156" s="214" t="n"/>
      <c r="K3156" s="208" t="n"/>
      <c r="L3156" s="424" t="n"/>
      <c r="M3156" s="961" t="n"/>
      <c r="N3156" s="214" t="n"/>
    </row>
    <row r="3157">
      <c r="A3157" s="209" t="n"/>
      <c r="B3157" s="209" t="n"/>
      <c r="C3157" s="207" t="n"/>
      <c r="D3157" s="963" t="n"/>
      <c r="E3157" s="214" t="n"/>
      <c r="F3157" s="207" t="n"/>
      <c r="G3157" s="207" t="n"/>
      <c r="H3157" s="208" t="n"/>
      <c r="I3157" s="208" t="n"/>
      <c r="J3157" s="214" t="n"/>
      <c r="K3157" s="208" t="n"/>
      <c r="L3157" s="424" t="n"/>
      <c r="M3157" s="961" t="n"/>
      <c r="N3157" s="214" t="n"/>
    </row>
    <row r="3158">
      <c r="A3158" s="209" t="n"/>
      <c r="B3158" s="209" t="n"/>
      <c r="C3158" s="207" t="n"/>
      <c r="D3158" s="963" t="n"/>
      <c r="E3158" s="214" t="n"/>
      <c r="F3158" s="207" t="n"/>
      <c r="G3158" s="207" t="n"/>
      <c r="H3158" s="208" t="n"/>
      <c r="I3158" s="208" t="n"/>
      <c r="J3158" s="214" t="n"/>
      <c r="K3158" s="208" t="n"/>
      <c r="L3158" s="424" t="n"/>
      <c r="M3158" s="961" t="n"/>
      <c r="N3158" s="214" t="n"/>
    </row>
    <row r="3159">
      <c r="A3159" s="209" t="n"/>
      <c r="B3159" s="209" t="n"/>
      <c r="C3159" s="207" t="n"/>
      <c r="D3159" s="963" t="n"/>
      <c r="E3159" s="214" t="n"/>
      <c r="F3159" s="207" t="n"/>
      <c r="G3159" s="207" t="n"/>
      <c r="H3159" s="208" t="n"/>
      <c r="I3159" s="208" t="n"/>
      <c r="J3159" s="214" t="n"/>
      <c r="K3159" s="208" t="n"/>
      <c r="L3159" s="424" t="n"/>
      <c r="M3159" s="961" t="n"/>
      <c r="N3159" s="214" t="n"/>
    </row>
    <row r="3160">
      <c r="A3160" s="209" t="n"/>
      <c r="B3160" s="209" t="n"/>
      <c r="C3160" s="207" t="n"/>
      <c r="D3160" s="963" t="n"/>
      <c r="E3160" s="214" t="n"/>
      <c r="F3160" s="207" t="n"/>
      <c r="G3160" s="207" t="n"/>
      <c r="H3160" s="208" t="n"/>
      <c r="I3160" s="208" t="n"/>
      <c r="J3160" s="214" t="n"/>
      <c r="K3160" s="208" t="n"/>
      <c r="L3160" s="424" t="n"/>
      <c r="M3160" s="961" t="n"/>
      <c r="N3160" s="214" t="n"/>
    </row>
    <row r="3161">
      <c r="A3161" s="209" t="n"/>
      <c r="B3161" s="209" t="n"/>
      <c r="C3161" s="207" t="n"/>
      <c r="D3161" s="963" t="n"/>
      <c r="E3161" s="214" t="n"/>
      <c r="F3161" s="207" t="n"/>
      <c r="G3161" s="207" t="n"/>
      <c r="H3161" s="208" t="n"/>
      <c r="I3161" s="208" t="n"/>
      <c r="J3161" s="214" t="n"/>
      <c r="K3161" s="208" t="n"/>
      <c r="L3161" s="424" t="n"/>
      <c r="M3161" s="961" t="n"/>
      <c r="N3161" s="214" t="n"/>
    </row>
    <row r="3162">
      <c r="A3162" s="209" t="n"/>
      <c r="B3162" s="209" t="n"/>
      <c r="C3162" s="207" t="n"/>
      <c r="D3162" s="963" t="n"/>
      <c r="E3162" s="214" t="n"/>
      <c r="F3162" s="207" t="n"/>
      <c r="G3162" s="207" t="n"/>
      <c r="H3162" s="208" t="n"/>
      <c r="I3162" s="208" t="n"/>
      <c r="J3162" s="214" t="n"/>
      <c r="K3162" s="208" t="n"/>
      <c r="L3162" s="424" t="n"/>
      <c r="M3162" s="961" t="n"/>
      <c r="N3162" s="214" t="n"/>
    </row>
    <row r="3163">
      <c r="A3163" s="209" t="n"/>
      <c r="B3163" s="209" t="n"/>
      <c r="C3163" s="207" t="n"/>
      <c r="D3163" s="963" t="n"/>
      <c r="E3163" s="214" t="n"/>
      <c r="F3163" s="207" t="n"/>
      <c r="G3163" s="207" t="n"/>
      <c r="H3163" s="208" t="n"/>
      <c r="I3163" s="208" t="n"/>
      <c r="J3163" s="214" t="n"/>
      <c r="K3163" s="208" t="n"/>
      <c r="L3163" s="424" t="n"/>
      <c r="M3163" s="961" t="n"/>
      <c r="N3163" s="214" t="n"/>
    </row>
    <row r="3164">
      <c r="A3164" s="209" t="n"/>
      <c r="B3164" s="209" t="n"/>
      <c r="C3164" s="207" t="n"/>
      <c r="D3164" s="963" t="n"/>
      <c r="E3164" s="214" t="n"/>
      <c r="F3164" s="207" t="n"/>
      <c r="G3164" s="207" t="n"/>
      <c r="H3164" s="208" t="n"/>
      <c r="I3164" s="208" t="n"/>
      <c r="J3164" s="214" t="n"/>
      <c r="K3164" s="208" t="n"/>
      <c r="L3164" s="424" t="n"/>
      <c r="M3164" s="961" t="n"/>
      <c r="N3164" s="214" t="n"/>
    </row>
    <row r="3165">
      <c r="A3165" s="209" t="n"/>
      <c r="B3165" s="209" t="n"/>
      <c r="C3165" s="207" t="n"/>
      <c r="D3165" s="963" t="n"/>
      <c r="E3165" s="214" t="n"/>
      <c r="F3165" s="207" t="n"/>
      <c r="G3165" s="207" t="n"/>
      <c r="H3165" s="208" t="n"/>
      <c r="I3165" s="208" t="n"/>
      <c r="J3165" s="214" t="n"/>
      <c r="K3165" s="208" t="n"/>
      <c r="L3165" s="424" t="n"/>
      <c r="M3165" s="961" t="n"/>
      <c r="N3165" s="214" t="n"/>
    </row>
    <row r="3166">
      <c r="A3166" s="209" t="n"/>
      <c r="B3166" s="209" t="n"/>
      <c r="C3166" s="207" t="n"/>
      <c r="D3166" s="963" t="n"/>
      <c r="E3166" s="214" t="n"/>
      <c r="F3166" s="207" t="n"/>
      <c r="G3166" s="207" t="n"/>
      <c r="H3166" s="208" t="n"/>
      <c r="I3166" s="208" t="n"/>
      <c r="J3166" s="214" t="n"/>
      <c r="K3166" s="208" t="n"/>
      <c r="L3166" s="424" t="n"/>
      <c r="M3166" s="961" t="n"/>
      <c r="N3166" s="214" t="n"/>
    </row>
    <row r="3167">
      <c r="A3167" s="209" t="n"/>
      <c r="B3167" s="209" t="n"/>
      <c r="C3167" s="207" t="n"/>
      <c r="D3167" s="963" t="n"/>
      <c r="E3167" s="214" t="n"/>
      <c r="F3167" s="207" t="n"/>
      <c r="G3167" s="207" t="n"/>
      <c r="H3167" s="208" t="n"/>
      <c r="I3167" s="208" t="n"/>
      <c r="J3167" s="214" t="n"/>
      <c r="K3167" s="208" t="n"/>
      <c r="L3167" s="424" t="n"/>
      <c r="M3167" s="961" t="n"/>
      <c r="N3167" s="214" t="n"/>
    </row>
    <row r="3168">
      <c r="A3168" s="209" t="n"/>
      <c r="B3168" s="209" t="n"/>
      <c r="C3168" s="207" t="n"/>
      <c r="D3168" s="963" t="n"/>
      <c r="E3168" s="214" t="n"/>
      <c r="F3168" s="207" t="n"/>
      <c r="G3168" s="207" t="n"/>
      <c r="H3168" s="208" t="n"/>
      <c r="I3168" s="208" t="n"/>
      <c r="J3168" s="214" t="n"/>
      <c r="K3168" s="208" t="n"/>
      <c r="L3168" s="424" t="n"/>
      <c r="M3168" s="961" t="n"/>
      <c r="N3168" s="214" t="n"/>
    </row>
    <row r="3169">
      <c r="A3169" s="209" t="n"/>
      <c r="B3169" s="209" t="n"/>
      <c r="C3169" s="207" t="n"/>
      <c r="D3169" s="963" t="n"/>
      <c r="E3169" s="214" t="n"/>
      <c r="F3169" s="207" t="n"/>
      <c r="G3169" s="207" t="n"/>
      <c r="H3169" s="208" t="n"/>
      <c r="I3169" s="208" t="n"/>
      <c r="J3169" s="214" t="n"/>
      <c r="K3169" s="208" t="n"/>
      <c r="L3169" s="424" t="n"/>
      <c r="M3169" s="961" t="n"/>
      <c r="N3169" s="214" t="n"/>
    </row>
    <row r="3170">
      <c r="A3170" s="209" t="n"/>
      <c r="B3170" s="209" t="n"/>
      <c r="C3170" s="207" t="n"/>
      <c r="D3170" s="963" t="n"/>
      <c r="E3170" s="214" t="n"/>
      <c r="F3170" s="207" t="n"/>
      <c r="G3170" s="207" t="n"/>
      <c r="H3170" s="208" t="n"/>
      <c r="I3170" s="208" t="n"/>
      <c r="J3170" s="214" t="n"/>
      <c r="K3170" s="208" t="n"/>
      <c r="L3170" s="424" t="n"/>
      <c r="M3170" s="961" t="n"/>
      <c r="N3170" s="214" t="n"/>
    </row>
    <row r="3171">
      <c r="A3171" s="209" t="n"/>
      <c r="B3171" s="209" t="n"/>
      <c r="C3171" s="207" t="n"/>
      <c r="D3171" s="963" t="n"/>
      <c r="E3171" s="214" t="n"/>
      <c r="F3171" s="207" t="n"/>
      <c r="G3171" s="207" t="n"/>
      <c r="H3171" s="208" t="n"/>
      <c r="I3171" s="208" t="n"/>
      <c r="J3171" s="214" t="n"/>
      <c r="K3171" s="208" t="n"/>
      <c r="L3171" s="424" t="n"/>
      <c r="M3171" s="961" t="n"/>
      <c r="N3171" s="214" t="n"/>
    </row>
    <row r="3172">
      <c r="A3172" s="209" t="n"/>
      <c r="B3172" s="209" t="n"/>
      <c r="C3172" s="207" t="n"/>
      <c r="D3172" s="963" t="n"/>
      <c r="E3172" s="214" t="n"/>
      <c r="F3172" s="207" t="n"/>
      <c r="G3172" s="207" t="n"/>
      <c r="H3172" s="208" t="n"/>
      <c r="I3172" s="208" t="n"/>
      <c r="J3172" s="214" t="n"/>
      <c r="K3172" s="208" t="n"/>
      <c r="L3172" s="424" t="n"/>
      <c r="M3172" s="961" t="n"/>
      <c r="N3172" s="214" t="n"/>
    </row>
    <row r="3173">
      <c r="A3173" s="209" t="n"/>
      <c r="B3173" s="209" t="n"/>
      <c r="C3173" s="207" t="n"/>
      <c r="D3173" s="963" t="n"/>
      <c r="E3173" s="214" t="n"/>
      <c r="F3173" s="207" t="n"/>
      <c r="G3173" s="207" t="n"/>
      <c r="H3173" s="208" t="n"/>
      <c r="I3173" s="208" t="n"/>
      <c r="J3173" s="214" t="n"/>
      <c r="K3173" s="208" t="n"/>
      <c r="L3173" s="424" t="n"/>
      <c r="M3173" s="961" t="n"/>
      <c r="N3173" s="214" t="n"/>
    </row>
    <row r="3174">
      <c r="A3174" s="209" t="n"/>
      <c r="B3174" s="209" t="n"/>
      <c r="C3174" s="209" t="n"/>
      <c r="D3174" s="960" t="n"/>
      <c r="E3174" s="215" t="n"/>
      <c r="F3174" s="209" t="n"/>
      <c r="G3174" s="209" t="n"/>
      <c r="H3174" s="209" t="n"/>
      <c r="I3174" s="209" t="n"/>
      <c r="J3174" s="215" t="n"/>
      <c r="K3174" s="209" t="n"/>
      <c r="L3174" s="425" t="n"/>
      <c r="M3174" s="962" t="n"/>
      <c r="N3174" s="215" t="n"/>
    </row>
    <row r="3175">
      <c r="A3175" s="209" t="n"/>
      <c r="B3175" s="209" t="n"/>
      <c r="C3175" s="207" t="n"/>
      <c r="D3175" s="963" t="n"/>
      <c r="E3175" s="214" t="n"/>
      <c r="F3175" s="207" t="n"/>
      <c r="G3175" s="207" t="n"/>
      <c r="H3175" s="208" t="n"/>
      <c r="I3175" s="208" t="n"/>
      <c r="J3175" s="214" t="n"/>
      <c r="K3175" s="208" t="n"/>
      <c r="L3175" s="424" t="n"/>
      <c r="M3175" s="961" t="n"/>
      <c r="N3175" s="214" t="n"/>
    </row>
    <row r="3176">
      <c r="A3176" s="209" t="n"/>
      <c r="B3176" s="209" t="n"/>
      <c r="C3176" s="209" t="n"/>
      <c r="D3176" s="960" t="n"/>
      <c r="E3176" s="215" t="n"/>
      <c r="F3176" s="209" t="n"/>
      <c r="G3176" s="209" t="n"/>
      <c r="H3176" s="209" t="n"/>
      <c r="I3176" s="209" t="n"/>
      <c r="J3176" s="215" t="n"/>
      <c r="K3176" s="209" t="n"/>
      <c r="L3176" s="425" t="n"/>
      <c r="M3176" s="962" t="n"/>
      <c r="N3176" s="215" t="n"/>
    </row>
    <row r="3177">
      <c r="A3177" s="209" t="n"/>
      <c r="B3177" s="209" t="n"/>
      <c r="C3177" s="207" t="n"/>
      <c r="D3177" s="963" t="n"/>
      <c r="E3177" s="214" t="n"/>
      <c r="F3177" s="207" t="n"/>
      <c r="G3177" s="207" t="n"/>
      <c r="H3177" s="208" t="n"/>
      <c r="I3177" s="208" t="n"/>
      <c r="J3177" s="214" t="n"/>
      <c r="K3177" s="208" t="n"/>
      <c r="L3177" s="424" t="n"/>
      <c r="M3177" s="961" t="n"/>
      <c r="N3177" s="214" t="n"/>
    </row>
    <row r="3178">
      <c r="A3178" s="209" t="n"/>
      <c r="B3178" s="209" t="n"/>
      <c r="C3178" s="207" t="n"/>
      <c r="D3178" s="963" t="n"/>
      <c r="E3178" s="214" t="n"/>
      <c r="F3178" s="207" t="n"/>
      <c r="G3178" s="207" t="n"/>
      <c r="H3178" s="208" t="n"/>
      <c r="I3178" s="208" t="n"/>
      <c r="J3178" s="214" t="n"/>
      <c r="K3178" s="208" t="n"/>
      <c r="L3178" s="424" t="n"/>
      <c r="M3178" s="961" t="n"/>
      <c r="N3178" s="214" t="n"/>
    </row>
    <row r="3179">
      <c r="A3179" s="209" t="n"/>
      <c r="B3179" s="209" t="n"/>
      <c r="C3179" s="207" t="n"/>
      <c r="D3179" s="963" t="n"/>
      <c r="E3179" s="214" t="n"/>
      <c r="F3179" s="207" t="n"/>
      <c r="G3179" s="207" t="n"/>
      <c r="H3179" s="208" t="n"/>
      <c r="I3179" s="208" t="n"/>
      <c r="J3179" s="214" t="n"/>
      <c r="K3179" s="208" t="n"/>
      <c r="L3179" s="424" t="n"/>
      <c r="M3179" s="961" t="n"/>
      <c r="N3179" s="214" t="n"/>
    </row>
    <row r="3180">
      <c r="A3180" s="209" t="n"/>
      <c r="B3180" s="209" t="n"/>
      <c r="C3180" s="207" t="n"/>
      <c r="D3180" s="963" t="n"/>
      <c r="E3180" s="214" t="n"/>
      <c r="F3180" s="207" t="n"/>
      <c r="G3180" s="207" t="n"/>
      <c r="H3180" s="208" t="n"/>
      <c r="I3180" s="208" t="n"/>
      <c r="J3180" s="214" t="n"/>
      <c r="K3180" s="208" t="n"/>
      <c r="L3180" s="424" t="n"/>
      <c r="M3180" s="961" t="n"/>
      <c r="N3180" s="214" t="n"/>
    </row>
    <row r="3181">
      <c r="A3181" s="209" t="n"/>
      <c r="B3181" s="209" t="n"/>
      <c r="C3181" s="207" t="n"/>
      <c r="D3181" s="963" t="n"/>
      <c r="E3181" s="214" t="n"/>
      <c r="F3181" s="207" t="n"/>
      <c r="G3181" s="207" t="n"/>
      <c r="H3181" s="208" t="n"/>
      <c r="I3181" s="208" t="n"/>
      <c r="J3181" s="214" t="n"/>
      <c r="K3181" s="208" t="n"/>
      <c r="L3181" s="424" t="n"/>
      <c r="M3181" s="961" t="n"/>
      <c r="N3181" s="214" t="n"/>
    </row>
    <row r="3182">
      <c r="A3182" s="209" t="n"/>
      <c r="B3182" s="209" t="n"/>
      <c r="C3182" s="207" t="n"/>
      <c r="D3182" s="963" t="n"/>
      <c r="E3182" s="214" t="n"/>
      <c r="F3182" s="207" t="n"/>
      <c r="G3182" s="207" t="n"/>
      <c r="H3182" s="208" t="n"/>
      <c r="I3182" s="208" t="n"/>
      <c r="J3182" s="214" t="n"/>
      <c r="K3182" s="208" t="n"/>
      <c r="L3182" s="424" t="n"/>
      <c r="M3182" s="961" t="n"/>
      <c r="N3182" s="214" t="n"/>
    </row>
    <row r="3183">
      <c r="A3183" s="209" t="n"/>
      <c r="B3183" s="209" t="n"/>
      <c r="C3183" s="207" t="n"/>
      <c r="D3183" s="963" t="n"/>
      <c r="E3183" s="214" t="n"/>
      <c r="F3183" s="207" t="n"/>
      <c r="G3183" s="207" t="n"/>
      <c r="H3183" s="208" t="n"/>
      <c r="I3183" s="208" t="n"/>
      <c r="J3183" s="214" t="n"/>
      <c r="K3183" s="208" t="n"/>
      <c r="L3183" s="424" t="n"/>
      <c r="M3183" s="961" t="n"/>
      <c r="N3183" s="214" t="n"/>
    </row>
    <row r="3184">
      <c r="A3184" s="209" t="n"/>
      <c r="B3184" s="209" t="n"/>
      <c r="C3184" s="207" t="n"/>
      <c r="D3184" s="963" t="n"/>
      <c r="E3184" s="214" t="n"/>
      <c r="F3184" s="207" t="n"/>
      <c r="G3184" s="207" t="n"/>
      <c r="H3184" s="208" t="n"/>
      <c r="I3184" s="208" t="n"/>
      <c r="J3184" s="214" t="n"/>
      <c r="K3184" s="208" t="n"/>
      <c r="L3184" s="424" t="n"/>
      <c r="M3184" s="961" t="n"/>
      <c r="N3184" s="214" t="n"/>
    </row>
    <row r="3185">
      <c r="A3185" s="209" t="n"/>
      <c r="B3185" s="209" t="n"/>
      <c r="C3185" s="207" t="n"/>
      <c r="D3185" s="963" t="n"/>
      <c r="E3185" s="214" t="n"/>
      <c r="F3185" s="207" t="n"/>
      <c r="G3185" s="207" t="n"/>
      <c r="H3185" s="208" t="n"/>
      <c r="I3185" s="208" t="n"/>
      <c r="J3185" s="214" t="n"/>
      <c r="K3185" s="208" t="n"/>
      <c r="L3185" s="424" t="n"/>
      <c r="M3185" s="961" t="n"/>
      <c r="N3185" s="214" t="n"/>
    </row>
    <row r="3186">
      <c r="A3186" s="209" t="n"/>
      <c r="B3186" s="209" t="n"/>
      <c r="C3186" s="207" t="n"/>
      <c r="D3186" s="963" t="n"/>
      <c r="E3186" s="214" t="n"/>
      <c r="F3186" s="207" t="n"/>
      <c r="G3186" s="207" t="n"/>
      <c r="H3186" s="208" t="n"/>
      <c r="I3186" s="208" t="n"/>
      <c r="J3186" s="214" t="n"/>
      <c r="K3186" s="208" t="n"/>
      <c r="L3186" s="424" t="n"/>
      <c r="M3186" s="961" t="n"/>
      <c r="N3186" s="214" t="n"/>
    </row>
    <row r="3187">
      <c r="A3187" s="209" t="n"/>
      <c r="B3187" s="209" t="n"/>
      <c r="C3187" s="207" t="n"/>
      <c r="D3187" s="963" t="n"/>
      <c r="E3187" s="214" t="n"/>
      <c r="F3187" s="207" t="n"/>
      <c r="G3187" s="207" t="n"/>
      <c r="H3187" s="208" t="n"/>
      <c r="I3187" s="208" t="n"/>
      <c r="J3187" s="214" t="n"/>
      <c r="K3187" s="208" t="n"/>
      <c r="L3187" s="424" t="n"/>
      <c r="M3187" s="961" t="n"/>
      <c r="N3187" s="214" t="n"/>
    </row>
    <row r="3188">
      <c r="A3188" s="209" t="n"/>
      <c r="B3188" s="209" t="n"/>
      <c r="C3188" s="207" t="n"/>
      <c r="D3188" s="963" t="n"/>
      <c r="E3188" s="214" t="n"/>
      <c r="F3188" s="207" t="n"/>
      <c r="G3188" s="207" t="n"/>
      <c r="H3188" s="208" t="n"/>
      <c r="I3188" s="208" t="n"/>
      <c r="J3188" s="214" t="n"/>
      <c r="K3188" s="208" t="n"/>
      <c r="L3188" s="424" t="n"/>
      <c r="M3188" s="961" t="n"/>
      <c r="N3188" s="214" t="n"/>
    </row>
    <row r="3189">
      <c r="A3189" s="209" t="n"/>
      <c r="B3189" s="209" t="n"/>
      <c r="C3189" s="207" t="n"/>
      <c r="D3189" s="963" t="n"/>
      <c r="E3189" s="214" t="n"/>
      <c r="F3189" s="207" t="n"/>
      <c r="G3189" s="207" t="n"/>
      <c r="H3189" s="208" t="n"/>
      <c r="I3189" s="208" t="n"/>
      <c r="J3189" s="214" t="n"/>
      <c r="K3189" s="208" t="n"/>
      <c r="L3189" s="424" t="n"/>
      <c r="M3189" s="961" t="n"/>
      <c r="N3189" s="214" t="n"/>
    </row>
    <row r="3190">
      <c r="A3190" s="209" t="n"/>
      <c r="B3190" s="209" t="n"/>
      <c r="C3190" s="207" t="n"/>
      <c r="D3190" s="963" t="n"/>
      <c r="E3190" s="214" t="n"/>
      <c r="F3190" s="207" t="n"/>
      <c r="G3190" s="207" t="n"/>
      <c r="H3190" s="208" t="n"/>
      <c r="I3190" s="208" t="n"/>
      <c r="J3190" s="214" t="n"/>
      <c r="K3190" s="208" t="n"/>
      <c r="L3190" s="424" t="n"/>
      <c r="M3190" s="961" t="n"/>
      <c r="N3190" s="214" t="n"/>
    </row>
    <row r="3191">
      <c r="A3191" s="209" t="n"/>
      <c r="B3191" s="209" t="n"/>
      <c r="C3191" s="207" t="n"/>
      <c r="D3191" s="963" t="n"/>
      <c r="E3191" s="214" t="n"/>
      <c r="F3191" s="207" t="n"/>
      <c r="G3191" s="207" t="n"/>
      <c r="H3191" s="208" t="n"/>
      <c r="I3191" s="208" t="n"/>
      <c r="J3191" s="214" t="n"/>
      <c r="K3191" s="208" t="n"/>
      <c r="L3191" s="424" t="n"/>
      <c r="M3191" s="961" t="n"/>
      <c r="N3191" s="214" t="n"/>
    </row>
    <row r="3192">
      <c r="A3192" s="209" t="n"/>
      <c r="B3192" s="209" t="n"/>
      <c r="C3192" s="207" t="n"/>
      <c r="D3192" s="963" t="n"/>
      <c r="E3192" s="214" t="n"/>
      <c r="F3192" s="207" t="n"/>
      <c r="G3192" s="207" t="n"/>
      <c r="H3192" s="208" t="n"/>
      <c r="I3192" s="208" t="n"/>
      <c r="J3192" s="214" t="n"/>
      <c r="K3192" s="208" t="n"/>
      <c r="L3192" s="424" t="n"/>
      <c r="M3192" s="961" t="n"/>
      <c r="N3192" s="214" t="n"/>
    </row>
    <row r="3193">
      <c r="A3193" s="209" t="n"/>
      <c r="B3193" s="209" t="n"/>
      <c r="C3193" s="207" t="n"/>
      <c r="D3193" s="963" t="n"/>
      <c r="E3193" s="214" t="n"/>
      <c r="F3193" s="207" t="n"/>
      <c r="G3193" s="207" t="n"/>
      <c r="H3193" s="208" t="n"/>
      <c r="I3193" s="208" t="n"/>
      <c r="J3193" s="214" t="n"/>
      <c r="K3193" s="208" t="n"/>
      <c r="L3193" s="424" t="n"/>
      <c r="M3193" s="961" t="n"/>
      <c r="N3193" s="214" t="n"/>
    </row>
    <row r="3194">
      <c r="A3194" s="209" t="n"/>
      <c r="B3194" s="209" t="n"/>
      <c r="C3194" s="207" t="n"/>
      <c r="D3194" s="963" t="n"/>
      <c r="E3194" s="214" t="n"/>
      <c r="F3194" s="207" t="n"/>
      <c r="G3194" s="207" t="n"/>
      <c r="H3194" s="208" t="n"/>
      <c r="I3194" s="208" t="n"/>
      <c r="J3194" s="214" t="n"/>
      <c r="K3194" s="208" t="n"/>
      <c r="L3194" s="424" t="n"/>
      <c r="M3194" s="961" t="n"/>
      <c r="N3194" s="214" t="n"/>
    </row>
    <row r="3195">
      <c r="A3195" s="209" t="n"/>
      <c r="B3195" s="209" t="n"/>
      <c r="C3195" s="207" t="n"/>
      <c r="D3195" s="963" t="n"/>
      <c r="E3195" s="214" t="n"/>
      <c r="F3195" s="207" t="n"/>
      <c r="G3195" s="207" t="n"/>
      <c r="H3195" s="208" t="n"/>
      <c r="I3195" s="208" t="n"/>
      <c r="J3195" s="214" t="n"/>
      <c r="K3195" s="208" t="n"/>
      <c r="L3195" s="424" t="n"/>
      <c r="M3195" s="961" t="n"/>
      <c r="N3195" s="214" t="n"/>
    </row>
    <row r="3196">
      <c r="A3196" s="209" t="n"/>
      <c r="B3196" s="209" t="n"/>
      <c r="C3196" s="209" t="n"/>
      <c r="D3196" s="960" t="n"/>
      <c r="E3196" s="215" t="n"/>
      <c r="F3196" s="209" t="n"/>
      <c r="G3196" s="209" t="n"/>
      <c r="H3196" s="209" t="n"/>
      <c r="I3196" s="209" t="n"/>
      <c r="J3196" s="215" t="n"/>
      <c r="K3196" s="209" t="n"/>
      <c r="L3196" s="425" t="n"/>
      <c r="M3196" s="962" t="n"/>
      <c r="N3196" s="215" t="n"/>
    </row>
    <row r="3197">
      <c r="A3197" s="209" t="n"/>
      <c r="B3197" s="209" t="n"/>
      <c r="C3197" s="207" t="n"/>
      <c r="D3197" s="963" t="n"/>
      <c r="E3197" s="214" t="n"/>
      <c r="F3197" s="207" t="n"/>
      <c r="G3197" s="207" t="n"/>
      <c r="H3197" s="208" t="n"/>
      <c r="I3197" s="208" t="n"/>
      <c r="J3197" s="214" t="n"/>
      <c r="K3197" s="208" t="n"/>
      <c r="L3197" s="424" t="n"/>
      <c r="M3197" s="961" t="n"/>
      <c r="N3197" s="214" t="n"/>
    </row>
    <row r="3198">
      <c r="A3198" s="209" t="n"/>
      <c r="B3198" s="209" t="n"/>
      <c r="C3198" s="209" t="n"/>
      <c r="D3198" s="960" t="n"/>
      <c r="E3198" s="215" t="n"/>
      <c r="F3198" s="209" t="n"/>
      <c r="G3198" s="209" t="n"/>
      <c r="H3198" s="209" t="n"/>
      <c r="I3198" s="209" t="n"/>
      <c r="J3198" s="215" t="n"/>
      <c r="K3198" s="209" t="n"/>
      <c r="L3198" s="425" t="n"/>
      <c r="M3198" s="962" t="n"/>
      <c r="N3198" s="215" t="n"/>
    </row>
    <row r="3199">
      <c r="A3199" s="209" t="n"/>
      <c r="B3199" s="209" t="n"/>
      <c r="C3199" s="207" t="n"/>
      <c r="D3199" s="963" t="n"/>
      <c r="E3199" s="214" t="n"/>
      <c r="F3199" s="207" t="n"/>
      <c r="G3199" s="207" t="n"/>
      <c r="H3199" s="208" t="n"/>
      <c r="I3199" s="208" t="n"/>
      <c r="J3199" s="214" t="n"/>
      <c r="K3199" s="208" t="n"/>
      <c r="L3199" s="424" t="n"/>
      <c r="M3199" s="961" t="n"/>
      <c r="N3199" s="214" t="n"/>
    </row>
    <row r="3200">
      <c r="A3200" s="209" t="n"/>
      <c r="B3200" s="209" t="n"/>
      <c r="C3200" s="207" t="n"/>
      <c r="D3200" s="963" t="n"/>
      <c r="E3200" s="214" t="n"/>
      <c r="F3200" s="207" t="n"/>
      <c r="G3200" s="207" t="n"/>
      <c r="H3200" s="208" t="n"/>
      <c r="I3200" s="208" t="n"/>
      <c r="J3200" s="214" t="n"/>
      <c r="K3200" s="208" t="n"/>
      <c r="L3200" s="424" t="n"/>
      <c r="M3200" s="961" t="n"/>
      <c r="N3200" s="214" t="n"/>
    </row>
    <row r="3201">
      <c r="A3201" s="209" t="n"/>
      <c r="B3201" s="209" t="n"/>
      <c r="C3201" s="207" t="n"/>
      <c r="D3201" s="963" t="n"/>
      <c r="E3201" s="214" t="n"/>
      <c r="F3201" s="207" t="n"/>
      <c r="G3201" s="207" t="n"/>
      <c r="H3201" s="208" t="n"/>
      <c r="I3201" s="208" t="n"/>
      <c r="J3201" s="214" t="n"/>
      <c r="K3201" s="208" t="n"/>
      <c r="L3201" s="424" t="n"/>
      <c r="M3201" s="961" t="n"/>
      <c r="N3201" s="214" t="n"/>
    </row>
    <row r="3202">
      <c r="A3202" s="209" t="n"/>
      <c r="B3202" s="209" t="n"/>
      <c r="C3202" s="207" t="n"/>
      <c r="D3202" s="963" t="n"/>
      <c r="E3202" s="214" t="n"/>
      <c r="F3202" s="207" t="n"/>
      <c r="G3202" s="207" t="n"/>
      <c r="H3202" s="208" t="n"/>
      <c r="I3202" s="208" t="n"/>
      <c r="J3202" s="214" t="n"/>
      <c r="K3202" s="208" t="n"/>
      <c r="L3202" s="424" t="n"/>
      <c r="M3202" s="961" t="n"/>
      <c r="N3202" s="214" t="n"/>
    </row>
    <row r="3203">
      <c r="A3203" s="209" t="n"/>
      <c r="B3203" s="209" t="n"/>
      <c r="C3203" s="207" t="n"/>
      <c r="D3203" s="963" t="n"/>
      <c r="E3203" s="214" t="n"/>
      <c r="F3203" s="207" t="n"/>
      <c r="G3203" s="207" t="n"/>
      <c r="H3203" s="208" t="n"/>
      <c r="I3203" s="208" t="n"/>
      <c r="J3203" s="214" t="n"/>
      <c r="K3203" s="208" t="n"/>
      <c r="L3203" s="424" t="n"/>
      <c r="M3203" s="961" t="n"/>
      <c r="N3203" s="214" t="n"/>
    </row>
    <row r="3204">
      <c r="A3204" s="209" t="n"/>
      <c r="B3204" s="209" t="n"/>
      <c r="C3204" s="207" t="n"/>
      <c r="D3204" s="963" t="n"/>
      <c r="E3204" s="214" t="n"/>
      <c r="F3204" s="207" t="n"/>
      <c r="G3204" s="207" t="n"/>
      <c r="H3204" s="208" t="n"/>
      <c r="I3204" s="208" t="n"/>
      <c r="J3204" s="214" t="n"/>
      <c r="K3204" s="208" t="n"/>
      <c r="L3204" s="424" t="n"/>
      <c r="M3204" s="961" t="n"/>
      <c r="N3204" s="214" t="n"/>
    </row>
    <row r="3205">
      <c r="A3205" s="209" t="n"/>
      <c r="B3205" s="209" t="n"/>
      <c r="C3205" s="207" t="n"/>
      <c r="D3205" s="963" t="n"/>
      <c r="E3205" s="214" t="n"/>
      <c r="F3205" s="207" t="n"/>
      <c r="G3205" s="207" t="n"/>
      <c r="H3205" s="208" t="n"/>
      <c r="I3205" s="208" t="n"/>
      <c r="J3205" s="214" t="n"/>
      <c r="K3205" s="208" t="n"/>
      <c r="L3205" s="424" t="n"/>
      <c r="M3205" s="961" t="n"/>
      <c r="N3205" s="214" t="n"/>
    </row>
    <row r="3206">
      <c r="A3206" s="209" t="n"/>
      <c r="B3206" s="209" t="n"/>
      <c r="C3206" s="207" t="n"/>
      <c r="D3206" s="963" t="n"/>
      <c r="E3206" s="214" t="n"/>
      <c r="F3206" s="207" t="n"/>
      <c r="G3206" s="207" t="n"/>
      <c r="H3206" s="208" t="n"/>
      <c r="I3206" s="208" t="n"/>
      <c r="J3206" s="214" t="n"/>
      <c r="K3206" s="208" t="n"/>
      <c r="L3206" s="424" t="n"/>
      <c r="M3206" s="961" t="n"/>
      <c r="N3206" s="214" t="n"/>
    </row>
    <row r="3207">
      <c r="A3207" s="209" t="n"/>
      <c r="B3207" s="209" t="n"/>
      <c r="C3207" s="207" t="n"/>
      <c r="D3207" s="963" t="n"/>
      <c r="E3207" s="214" t="n"/>
      <c r="F3207" s="207" t="n"/>
      <c r="G3207" s="207" t="n"/>
      <c r="H3207" s="208" t="n"/>
      <c r="I3207" s="208" t="n"/>
      <c r="J3207" s="214" t="n"/>
      <c r="K3207" s="208" t="n"/>
      <c r="L3207" s="424" t="n"/>
      <c r="M3207" s="961" t="n"/>
      <c r="N3207" s="214" t="n"/>
    </row>
    <row r="3208">
      <c r="A3208" s="209" t="n"/>
      <c r="B3208" s="209" t="n"/>
      <c r="C3208" s="207" t="n"/>
      <c r="D3208" s="963" t="n"/>
      <c r="E3208" s="214" t="n"/>
      <c r="F3208" s="207" t="n"/>
      <c r="G3208" s="207" t="n"/>
      <c r="H3208" s="208" t="n"/>
      <c r="I3208" s="208" t="n"/>
      <c r="J3208" s="214" t="n"/>
      <c r="K3208" s="208" t="n"/>
      <c r="L3208" s="424" t="n"/>
      <c r="M3208" s="961" t="n"/>
      <c r="N3208" s="214" t="n"/>
    </row>
    <row r="3209">
      <c r="A3209" s="209" t="n"/>
      <c r="B3209" s="209" t="n"/>
      <c r="C3209" s="207" t="n"/>
      <c r="D3209" s="963" t="n"/>
      <c r="E3209" s="214" t="n"/>
      <c r="F3209" s="207" t="n"/>
      <c r="G3209" s="207" t="n"/>
      <c r="H3209" s="208" t="n"/>
      <c r="I3209" s="208" t="n"/>
      <c r="J3209" s="214" t="n"/>
      <c r="K3209" s="208" t="n"/>
      <c r="L3209" s="424" t="n"/>
      <c r="M3209" s="961" t="n"/>
      <c r="N3209" s="214" t="n"/>
    </row>
    <row r="3210">
      <c r="A3210" s="209" t="n"/>
      <c r="B3210" s="209" t="n"/>
      <c r="C3210" s="207" t="n"/>
      <c r="D3210" s="963" t="n"/>
      <c r="E3210" s="214" t="n"/>
      <c r="F3210" s="207" t="n"/>
      <c r="G3210" s="207" t="n"/>
      <c r="H3210" s="208" t="n"/>
      <c r="I3210" s="208" t="n"/>
      <c r="J3210" s="214" t="n"/>
      <c r="K3210" s="208" t="n"/>
      <c r="L3210" s="424" t="n"/>
      <c r="M3210" s="961" t="n"/>
      <c r="N3210" s="214" t="n"/>
    </row>
    <row r="3211">
      <c r="A3211" s="209" t="n"/>
      <c r="B3211" s="209" t="n"/>
      <c r="C3211" s="207" t="n"/>
      <c r="D3211" s="963" t="n"/>
      <c r="E3211" s="214" t="n"/>
      <c r="F3211" s="207" t="n"/>
      <c r="G3211" s="207" t="n"/>
      <c r="H3211" s="208" t="n"/>
      <c r="I3211" s="208" t="n"/>
      <c r="J3211" s="214" t="n"/>
      <c r="K3211" s="208" t="n"/>
      <c r="L3211" s="424" t="n"/>
      <c r="M3211" s="961" t="n"/>
      <c r="N3211" s="214" t="n"/>
    </row>
    <row r="3212">
      <c r="A3212" s="209" t="n"/>
      <c r="B3212" s="209" t="n"/>
      <c r="C3212" s="207" t="n"/>
      <c r="D3212" s="963" t="n"/>
      <c r="E3212" s="214" t="n"/>
      <c r="F3212" s="207" t="n"/>
      <c r="G3212" s="207" t="n"/>
      <c r="H3212" s="208" t="n"/>
      <c r="I3212" s="208" t="n"/>
      <c r="J3212" s="214" t="n"/>
      <c r="K3212" s="208" t="n"/>
      <c r="L3212" s="424" t="n"/>
      <c r="M3212" s="961" t="n"/>
      <c r="N3212" s="214" t="n"/>
    </row>
    <row r="3213">
      <c r="A3213" s="209" t="n"/>
      <c r="B3213" s="209" t="n"/>
      <c r="C3213" s="207" t="n"/>
      <c r="D3213" s="963" t="n"/>
      <c r="E3213" s="214" t="n"/>
      <c r="F3213" s="207" t="n"/>
      <c r="G3213" s="207" t="n"/>
      <c r="H3213" s="208" t="n"/>
      <c r="I3213" s="208" t="n"/>
      <c r="J3213" s="214" t="n"/>
      <c r="K3213" s="208" t="n"/>
      <c r="L3213" s="424" t="n"/>
      <c r="M3213" s="961" t="n"/>
      <c r="N3213" s="214" t="n"/>
    </row>
    <row r="3214">
      <c r="A3214" s="209" t="n"/>
      <c r="B3214" s="209" t="n"/>
      <c r="C3214" s="207" t="n"/>
      <c r="D3214" s="963" t="n"/>
      <c r="E3214" s="214" t="n"/>
      <c r="F3214" s="207" t="n"/>
      <c r="G3214" s="207" t="n"/>
      <c r="H3214" s="208" t="n"/>
      <c r="I3214" s="208" t="n"/>
      <c r="J3214" s="214" t="n"/>
      <c r="K3214" s="208" t="n"/>
      <c r="L3214" s="424" t="n"/>
      <c r="M3214" s="961" t="n"/>
      <c r="N3214" s="214" t="n"/>
    </row>
    <row r="3215">
      <c r="A3215" s="209" t="n"/>
      <c r="B3215" s="209" t="n"/>
      <c r="C3215" s="207" t="n"/>
      <c r="D3215" s="963" t="n"/>
      <c r="E3215" s="214" t="n"/>
      <c r="F3215" s="207" t="n"/>
      <c r="G3215" s="207" t="n"/>
      <c r="H3215" s="208" t="n"/>
      <c r="I3215" s="208" t="n"/>
      <c r="J3215" s="214" t="n"/>
      <c r="K3215" s="208" t="n"/>
      <c r="L3215" s="424" t="n"/>
      <c r="M3215" s="961" t="n"/>
      <c r="N3215" s="214" t="n"/>
    </row>
    <row r="3216">
      <c r="A3216" s="209" t="n"/>
      <c r="B3216" s="209" t="n"/>
      <c r="C3216" s="207" t="n"/>
      <c r="D3216" s="963" t="n"/>
      <c r="E3216" s="214" t="n"/>
      <c r="F3216" s="207" t="n"/>
      <c r="G3216" s="207" t="n"/>
      <c r="H3216" s="208" t="n"/>
      <c r="I3216" s="208" t="n"/>
      <c r="J3216" s="214" t="n"/>
      <c r="K3216" s="208" t="n"/>
      <c r="L3216" s="424" t="n"/>
      <c r="M3216" s="961" t="n"/>
      <c r="N3216" s="214" t="n"/>
    </row>
    <row r="3217">
      <c r="A3217" s="209" t="n"/>
      <c r="B3217" s="209" t="n"/>
      <c r="C3217" s="207" t="n"/>
      <c r="D3217" s="963" t="n"/>
      <c r="E3217" s="214" t="n"/>
      <c r="F3217" s="207" t="n"/>
      <c r="G3217" s="207" t="n"/>
      <c r="H3217" s="208" t="n"/>
      <c r="I3217" s="208" t="n"/>
      <c r="J3217" s="214" t="n"/>
      <c r="K3217" s="208" t="n"/>
      <c r="L3217" s="424" t="n"/>
      <c r="M3217" s="961" t="n"/>
      <c r="N3217" s="214" t="n"/>
    </row>
    <row r="3218">
      <c r="A3218" s="209" t="n"/>
      <c r="B3218" s="209" t="n"/>
      <c r="C3218" s="207" t="n"/>
      <c r="D3218" s="963" t="n"/>
      <c r="E3218" s="214" t="n"/>
      <c r="F3218" s="207" t="n"/>
      <c r="G3218" s="207" t="n"/>
      <c r="H3218" s="209" t="n"/>
      <c r="I3218" s="209" t="n"/>
      <c r="J3218" s="214" t="n"/>
      <c r="K3218" s="209" t="n"/>
      <c r="L3218" s="425" t="n"/>
      <c r="M3218" s="962" t="n"/>
      <c r="N3218" s="214" t="n"/>
    </row>
    <row r="3219">
      <c r="A3219" s="209" t="n"/>
      <c r="B3219" s="209" t="n"/>
      <c r="C3219" s="207" t="n"/>
      <c r="D3219" s="963" t="n"/>
      <c r="E3219" s="214" t="n"/>
      <c r="F3219" s="207" t="n"/>
      <c r="G3219" s="207" t="n"/>
      <c r="H3219" s="209" t="n"/>
      <c r="I3219" s="209" t="n"/>
      <c r="J3219" s="214" t="n"/>
      <c r="K3219" s="209" t="n"/>
      <c r="L3219" s="425" t="n"/>
      <c r="M3219" s="962" t="n"/>
      <c r="N3219" s="214" t="n"/>
    </row>
    <row r="3220">
      <c r="A3220" s="209" t="n"/>
      <c r="B3220" s="209" t="n"/>
      <c r="C3220" s="207" t="n"/>
      <c r="D3220" s="963" t="n"/>
      <c r="E3220" s="214" t="n"/>
      <c r="F3220" s="207" t="n"/>
      <c r="G3220" s="207" t="n"/>
      <c r="H3220" s="208" t="n"/>
      <c r="I3220" s="208" t="n"/>
      <c r="J3220" s="214" t="n"/>
      <c r="K3220" s="208" t="n"/>
      <c r="L3220" s="424" t="n"/>
      <c r="M3220" s="961" t="n"/>
      <c r="N3220" s="214" t="n"/>
    </row>
    <row r="3221">
      <c r="A3221" s="209" t="n"/>
      <c r="B3221" s="209" t="n"/>
      <c r="C3221" s="207" t="n"/>
      <c r="D3221" s="963" t="n"/>
      <c r="E3221" s="214" t="n"/>
      <c r="F3221" s="207" t="n"/>
      <c r="G3221" s="207" t="n"/>
      <c r="H3221" s="208" t="n"/>
      <c r="I3221" s="208" t="n"/>
      <c r="J3221" s="214" t="n"/>
      <c r="K3221" s="208" t="n"/>
      <c r="L3221" s="424" t="n"/>
      <c r="M3221" s="961" t="n"/>
      <c r="N3221" s="214" t="n"/>
    </row>
    <row r="3222">
      <c r="A3222" s="209" t="n"/>
      <c r="B3222" s="209" t="n"/>
      <c r="C3222" s="207" t="n"/>
      <c r="D3222" s="963" t="n"/>
      <c r="E3222" s="214" t="n"/>
      <c r="F3222" s="207" t="n"/>
      <c r="G3222" s="207" t="n"/>
      <c r="H3222" s="208" t="n"/>
      <c r="I3222" s="208" t="n"/>
      <c r="J3222" s="214" t="n"/>
      <c r="K3222" s="208" t="n"/>
      <c r="L3222" s="424" t="n"/>
      <c r="M3222" s="961" t="n"/>
      <c r="N3222" s="214" t="n"/>
    </row>
    <row r="3223">
      <c r="A3223" s="209" t="n"/>
      <c r="B3223" s="209" t="n"/>
      <c r="C3223" s="207" t="n"/>
      <c r="D3223" s="963" t="n"/>
      <c r="E3223" s="214" t="n"/>
      <c r="F3223" s="207" t="n"/>
      <c r="G3223" s="207" t="n"/>
      <c r="H3223" s="208" t="n"/>
      <c r="I3223" s="208" t="n"/>
      <c r="J3223" s="214" t="n"/>
      <c r="K3223" s="208" t="n"/>
      <c r="L3223" s="424" t="n"/>
      <c r="M3223" s="961" t="n"/>
      <c r="N3223" s="214" t="n"/>
    </row>
    <row r="3224">
      <c r="A3224" s="209" t="n"/>
      <c r="B3224" s="209" t="n"/>
      <c r="C3224" s="207" t="n"/>
      <c r="D3224" s="963" t="n"/>
      <c r="E3224" s="214" t="n"/>
      <c r="F3224" s="207" t="n"/>
      <c r="G3224" s="207" t="n"/>
      <c r="H3224" s="208" t="n"/>
      <c r="I3224" s="208" t="n"/>
      <c r="J3224" s="214" t="n"/>
      <c r="K3224" s="208" t="n"/>
      <c r="L3224" s="424" t="n"/>
      <c r="M3224" s="961" t="n"/>
      <c r="N3224" s="214" t="n"/>
    </row>
    <row r="3225">
      <c r="A3225" s="209" t="n"/>
      <c r="B3225" s="209" t="n"/>
      <c r="C3225" s="207" t="n"/>
      <c r="D3225" s="963" t="n"/>
      <c r="E3225" s="214" t="n"/>
      <c r="F3225" s="207" t="n"/>
      <c r="G3225" s="207" t="n"/>
      <c r="H3225" s="208" t="n"/>
      <c r="I3225" s="208" t="n"/>
      <c r="J3225" s="214" t="n"/>
      <c r="K3225" s="208" t="n"/>
      <c r="L3225" s="424" t="n"/>
      <c r="M3225" s="961" t="n"/>
      <c r="N3225" s="214" t="n"/>
    </row>
    <row r="3226">
      <c r="A3226" s="209" t="n"/>
      <c r="B3226" s="209" t="n"/>
      <c r="C3226" s="207" t="n"/>
      <c r="D3226" s="963" t="n"/>
      <c r="E3226" s="214" t="n"/>
      <c r="F3226" s="207" t="n"/>
      <c r="G3226" s="207" t="n"/>
      <c r="H3226" s="208" t="n"/>
      <c r="I3226" s="208" t="n"/>
      <c r="J3226" s="214" t="n"/>
      <c r="K3226" s="208" t="n"/>
      <c r="L3226" s="424" t="n"/>
      <c r="M3226" s="961" t="n"/>
      <c r="N3226" s="214" t="n"/>
    </row>
    <row r="3227">
      <c r="A3227" s="209" t="n"/>
      <c r="B3227" s="209" t="n"/>
      <c r="C3227" s="207" t="n"/>
      <c r="D3227" s="963" t="n"/>
      <c r="E3227" s="214" t="n"/>
      <c r="F3227" s="207" t="n"/>
      <c r="G3227" s="207" t="n"/>
      <c r="H3227" s="208" t="n"/>
      <c r="I3227" s="208" t="n"/>
      <c r="J3227" s="214" t="n"/>
      <c r="K3227" s="208" t="n"/>
      <c r="L3227" s="424" t="n"/>
      <c r="M3227" s="961" t="n"/>
      <c r="N3227" s="214" t="n"/>
    </row>
    <row r="3228">
      <c r="A3228" s="209" t="n"/>
      <c r="B3228" s="209" t="n"/>
      <c r="C3228" s="207" t="n"/>
      <c r="D3228" s="963" t="n"/>
      <c r="E3228" s="214" t="n"/>
      <c r="F3228" s="207" t="n"/>
      <c r="G3228" s="207" t="n"/>
      <c r="H3228" s="208" t="n"/>
      <c r="I3228" s="208" t="n"/>
      <c r="J3228" s="214" t="n"/>
      <c r="K3228" s="208" t="n"/>
      <c r="L3228" s="424" t="n"/>
      <c r="M3228" s="961" t="n"/>
      <c r="N3228" s="214" t="n"/>
    </row>
    <row r="3229">
      <c r="A3229" s="209" t="n"/>
      <c r="B3229" s="209" t="n"/>
      <c r="C3229" s="207" t="n"/>
      <c r="D3229" s="963" t="n"/>
      <c r="E3229" s="214" t="n"/>
      <c r="F3229" s="207" t="n"/>
      <c r="G3229" s="207" t="n"/>
      <c r="H3229" s="208" t="n"/>
      <c r="I3229" s="208" t="n"/>
      <c r="J3229" s="214" t="n"/>
      <c r="K3229" s="208" t="n"/>
      <c r="L3229" s="424" t="n"/>
      <c r="M3229" s="961" t="n"/>
      <c r="N3229" s="214" t="n"/>
    </row>
  </sheetData>
  <pageMargins left="0.7" right="0.7" top="0.75" bottom="0.75" header="0.3" footer="0.3"/>
  <tableParts count="4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  <tablePart xmlns:r="http://schemas.openxmlformats.org/officeDocument/2006/relationships" r:id="rId4"/>
  </tableParts>
</worksheet>
</file>

<file path=xl/worksheets/sheet15.xml><?xml version="1.0" encoding="utf-8"?>
<worksheet xmlns="http://schemas.openxmlformats.org/spreadsheetml/2006/main">
  <sheetPr codeName="Foglio3">
    <outlinePr summaryBelow="1" summaryRight="1"/>
    <pageSetUpPr fitToPage="1"/>
  </sheetPr>
  <dimension ref="A1:Y31"/>
  <sheetViews>
    <sheetView zoomScale="85" zoomScaleNormal="85" workbookViewId="0">
      <selection activeCell="P25" sqref="P25"/>
    </sheetView>
  </sheetViews>
  <sheetFormatPr baseColWidth="8" defaultColWidth="9.140625" defaultRowHeight="15"/>
  <cols>
    <col width="9.140625" customWidth="1" style="352" min="1" max="14"/>
    <col width="10.5703125" customWidth="1" style="352" min="15" max="15"/>
    <col width="9.140625" customWidth="1" style="352" min="16" max="16"/>
    <col width="13.85546875" bestFit="1" customWidth="1" style="352" min="17" max="17"/>
    <col width="9.140625" customWidth="1" style="352" min="18" max="22"/>
    <col width="6.5703125" customWidth="1" style="352" min="23" max="23"/>
    <col width="12.28515625" customWidth="1" style="352" min="24" max="24"/>
    <col width="9.140625" customWidth="1" style="352" min="25" max="16384"/>
  </cols>
  <sheetData>
    <row r="1" ht="21.75" customHeight="1" thickBot="1">
      <c r="A1" s="731" t="inlineStr">
        <is>
          <t>Lunghezza della spalmatura</t>
        </is>
      </c>
      <c r="B1" s="826" t="n"/>
      <c r="C1" s="826" t="n"/>
      <c r="D1" s="826" t="n"/>
      <c r="E1" s="346">
        <f>+calcolo!D57</f>
        <v/>
      </c>
      <c r="F1" s="347" t="inlineStr">
        <is>
          <t>mm</t>
        </is>
      </c>
      <c r="G1" s="731" t="inlineStr">
        <is>
          <t>Lunghezza del liner</t>
        </is>
      </c>
      <c r="H1" s="826" t="n"/>
      <c r="I1" s="826" t="n"/>
      <c r="J1" s="826" t="n"/>
      <c r="K1" s="348">
        <f>+E1</f>
        <v/>
      </c>
      <c r="L1" s="349" t="inlineStr">
        <is>
          <t>mm</t>
        </is>
      </c>
      <c r="M1" s="350" t="n"/>
      <c r="N1" s="350" t="n"/>
      <c r="O1" s="350" t="n"/>
      <c r="P1" s="350" t="n"/>
      <c r="Q1" s="350" t="n"/>
      <c r="R1" s="350" t="n"/>
      <c r="S1" s="350" t="n"/>
      <c r="T1" s="350" t="n"/>
      <c r="U1" s="350" t="n"/>
      <c r="V1" s="350" t="n"/>
      <c r="W1" s="350" t="n"/>
      <c r="X1" s="350" t="n"/>
      <c r="Y1" s="758" t="n"/>
    </row>
    <row r="2">
      <c r="A2" s="353" t="n"/>
      <c r="N2" s="354" t="n"/>
      <c r="O2" s="352" t="inlineStr">
        <is>
          <t xml:space="preserve"> dato da inserire</t>
        </is>
      </c>
      <c r="Y2" s="752" t="n"/>
    </row>
    <row r="3">
      <c r="A3" s="353" t="n"/>
      <c r="N3" s="356" t="n"/>
      <c r="O3" s="352" t="inlineStr">
        <is>
          <t xml:space="preserve"> dato da inserire</t>
        </is>
      </c>
      <c r="Y3" s="752" t="n"/>
    </row>
    <row r="4">
      <c r="A4" s="353" t="n"/>
      <c r="N4" s="357" t="n"/>
      <c r="O4" s="352" t="inlineStr">
        <is>
          <t xml:space="preserve"> dato da inserire</t>
        </is>
      </c>
      <c r="Y4" s="752" t="n"/>
    </row>
    <row r="5">
      <c r="A5" s="353" t="n"/>
      <c r="N5" s="358" t="n"/>
      <c r="O5" s="352" t="inlineStr">
        <is>
          <t xml:space="preserve"> dato da inserire</t>
        </is>
      </c>
      <c r="Y5" s="752" t="n"/>
    </row>
    <row r="6">
      <c r="A6" s="353" t="n"/>
      <c r="Y6" s="752" t="n"/>
    </row>
    <row r="7">
      <c r="A7" s="353" t="n"/>
      <c r="Y7" s="752" t="n"/>
    </row>
    <row r="8">
      <c r="A8" s="353" t="n"/>
      <c r="Y8" s="752" t="n"/>
    </row>
    <row r="9" ht="21" customHeight="1">
      <c r="A9" s="353" t="n"/>
      <c r="N9" s="733" t="inlineStr">
        <is>
          <t>Larghezza della spalmatura</t>
        </is>
      </c>
      <c r="R9" s="359">
        <f>+calcolo!C57</f>
        <v/>
      </c>
      <c r="S9" s="743" t="inlineStr">
        <is>
          <t>mm</t>
        </is>
      </c>
      <c r="Y9" s="752" t="n"/>
    </row>
    <row r="10" ht="21" customHeight="1">
      <c r="A10" s="353" t="n"/>
      <c r="N10" s="733" t="inlineStr">
        <is>
          <t>Larghezza del liner</t>
        </is>
      </c>
      <c r="R10" s="361">
        <f>+R9</f>
        <v/>
      </c>
      <c r="S10" s="743" t="inlineStr">
        <is>
          <t>mm</t>
        </is>
      </c>
      <c r="Y10" s="752" t="n"/>
    </row>
    <row r="11">
      <c r="A11" s="353" t="n"/>
      <c r="Y11" s="752" t="n"/>
    </row>
    <row r="12" ht="18.75" customHeight="1">
      <c r="A12" s="734" t="n"/>
      <c r="L12" s="736" t="inlineStr">
        <is>
          <t>Numero delle strip da applicare</t>
        </is>
      </c>
      <c r="P12" s="390">
        <f>+calcolo!K57</f>
        <v/>
      </c>
      <c r="Q12" s="364" t="n"/>
      <c r="Y12" s="752" t="n"/>
    </row>
    <row r="13" ht="18.75" customHeight="1">
      <c r="A13" s="895" t="n"/>
      <c r="P13" s="743" t="n"/>
      <c r="Q13" s="364" t="n"/>
      <c r="Y13" s="752" t="n"/>
    </row>
    <row r="14" ht="18.75" customHeight="1">
      <c r="A14" s="895" t="n"/>
      <c r="L14" s="736" t="inlineStr">
        <is>
          <t>Numero pezzi ora</t>
        </is>
      </c>
      <c r="P14" s="363" t="n">
        <v>3500</v>
      </c>
      <c r="Q14" s="364" t="inlineStr">
        <is>
          <t>pz/h</t>
        </is>
      </c>
      <c r="Y14" s="752" t="n"/>
    </row>
    <row r="15" ht="18.75" customHeight="1">
      <c r="A15" s="895" t="n"/>
      <c r="P15" s="743" t="n"/>
      <c r="Q15" s="364" t="n"/>
      <c r="Y15" s="752" t="n"/>
    </row>
    <row r="16" ht="18.75" customHeight="1">
      <c r="A16" s="895" t="n"/>
      <c r="L16" s="736" t="inlineStr">
        <is>
          <t>Quantidade di adesivo</t>
        </is>
      </c>
      <c r="P16" s="363" t="n">
        <v>250</v>
      </c>
      <c r="Q16" s="364" t="inlineStr">
        <is>
          <t>gr/m2</t>
        </is>
      </c>
      <c r="S16" s="743" t="inlineStr">
        <is>
          <t>Riferimento</t>
        </is>
      </c>
      <c r="V16" s="744" t="inlineStr">
        <is>
          <t>Cartoncino Teso</t>
        </is>
      </c>
      <c r="Y16" s="752" t="n">
        <v>150</v>
      </c>
    </row>
    <row r="17">
      <c r="A17" s="895" t="n"/>
      <c r="L17" s="735" t="inlineStr">
        <is>
          <t>(dipendente dal materiale, dall'adesivo</t>
        </is>
      </c>
      <c r="P17" s="735" t="n"/>
      <c r="V17" s="744" t="inlineStr">
        <is>
          <t>Onda Bassa</t>
        </is>
      </c>
      <c r="Y17" s="752" t="inlineStr">
        <is>
          <t>180-200</t>
        </is>
      </c>
    </row>
    <row r="18" ht="15.75" customHeight="1" thickBot="1">
      <c r="A18" s="895" t="n"/>
      <c r="L18" s="735" t="inlineStr">
        <is>
          <t>e dalla performance del prodotto finito)</t>
        </is>
      </c>
      <c r="P18" s="735" t="n"/>
      <c r="V18" s="744" t="inlineStr">
        <is>
          <t>Ondulato</t>
        </is>
      </c>
      <c r="Y18" s="752" t="inlineStr">
        <is>
          <t>220-250</t>
        </is>
      </c>
    </row>
    <row r="19">
      <c r="A19" s="895" t="n"/>
      <c r="K19" s="965" t="inlineStr">
        <is>
          <t>risultati</t>
        </is>
      </c>
      <c r="L19" s="764" t="n"/>
      <c r="M19" s="764" t="n"/>
      <c r="N19" s="764" t="n"/>
      <c r="O19" s="764" t="n"/>
      <c r="P19" s="764" t="n"/>
      <c r="Q19" s="764" t="n"/>
      <c r="R19" s="765" t="n"/>
      <c r="Y19" s="752" t="n"/>
    </row>
    <row r="20" ht="15.75" customHeight="1" thickBot="1">
      <c r="A20" s="895" t="n"/>
      <c r="K20" s="896" t="n"/>
      <c r="L20" s="769" t="n"/>
      <c r="M20" s="769" t="n"/>
      <c r="N20" s="769" t="n"/>
      <c r="O20" s="769" t="n"/>
      <c r="P20" s="769" t="n"/>
      <c r="Q20" s="769" t="n"/>
      <c r="R20" s="770" t="n"/>
      <c r="Y20" s="752" t="n"/>
    </row>
    <row r="21" ht="24" customHeight="1" thickBot="1">
      <c r="A21" s="895" t="n"/>
      <c r="K21" s="365" t="n"/>
      <c r="L21" s="350" t="n"/>
      <c r="M21" s="350" t="n"/>
      <c r="N21" s="350" t="n"/>
      <c r="O21" s="350" t="n"/>
      <c r="P21" s="757" t="n"/>
      <c r="Q21" s="350" t="n"/>
      <c r="R21" s="367" t="n"/>
      <c r="S21" s="966" t="inlineStr">
        <is>
          <t>Numeri di pezzi in produzione</t>
        </is>
      </c>
      <c r="T21" s="826" t="n"/>
      <c r="U21" s="826" t="n"/>
      <c r="V21" s="826" t="n"/>
      <c r="W21" s="827" t="n"/>
      <c r="X21" s="967">
        <f>+QTA</f>
        <v/>
      </c>
      <c r="Y21" s="827" t="n"/>
    </row>
    <row r="22" ht="19.5" customHeight="1" thickBot="1">
      <c r="A22" s="895" t="n"/>
      <c r="K22" s="353" t="n"/>
      <c r="L22" s="750" t="inlineStr">
        <is>
          <t>CONSUMO ADESIVO</t>
        </is>
      </c>
      <c r="M22" s="826" t="n"/>
      <c r="N22" s="826" t="n"/>
      <c r="O22" s="968" t="n"/>
      <c r="P22" s="368">
        <f>P24*P14/1000</f>
        <v/>
      </c>
      <c r="Q22" s="369" t="inlineStr">
        <is>
          <t>KG/H</t>
        </is>
      </c>
      <c r="R22" s="370" t="n"/>
      <c r="S22" s="969" t="n"/>
      <c r="Y22" s="767" t="n"/>
    </row>
    <row r="23" ht="15.75" customHeight="1" thickBot="1">
      <c r="A23" s="353" t="n"/>
      <c r="K23" s="353" t="n"/>
      <c r="P23" s="735" t="n"/>
      <c r="R23" s="370" t="n"/>
      <c r="S23" s="896" t="n"/>
      <c r="T23" s="769" t="n"/>
      <c r="U23" s="769" t="n"/>
      <c r="V23" s="769" t="n"/>
      <c r="W23" s="769" t="n"/>
      <c r="X23" s="769" t="n"/>
      <c r="Y23" s="770" t="n"/>
    </row>
    <row r="24" ht="19.5" customHeight="1" thickBot="1">
      <c r="A24" s="353" t="n"/>
      <c r="K24" s="353" t="n"/>
      <c r="L24" s="750" t="inlineStr">
        <is>
          <t>Q.Tà ADESIVO A PEZZO</t>
        </is>
      </c>
      <c r="M24" s="826" t="n"/>
      <c r="N24" s="826" t="n"/>
      <c r="O24" s="968" t="n"/>
      <c r="P24" s="371">
        <f>IF(E1="LUNGHEZZA",0,E1/1000*R9/1000*P16*P12)</f>
        <v/>
      </c>
      <c r="Q24" s="369" t="inlineStr">
        <is>
          <t>gr/pz</t>
        </is>
      </c>
      <c r="R24" s="370" t="n"/>
      <c r="S24" s="966" t="inlineStr">
        <is>
          <t>Q.Tà ADESIVO totali</t>
        </is>
      </c>
      <c r="T24" s="826" t="n"/>
      <c r="U24" s="826" t="n"/>
      <c r="V24" s="826" t="n"/>
      <c r="W24" s="827" t="n"/>
      <c r="X24" s="372">
        <f>P24*X21/1000</f>
        <v/>
      </c>
      <c r="Y24" s="369" t="inlineStr">
        <is>
          <t>KG</t>
        </is>
      </c>
    </row>
    <row r="25" ht="15.75" customHeight="1" thickBot="1">
      <c r="A25" s="353" t="n"/>
      <c r="K25" s="353" t="n"/>
      <c r="R25" s="370" t="n"/>
      <c r="S25" s="970" t="n"/>
      <c r="T25" s="764" t="n"/>
      <c r="U25" s="764" t="n"/>
      <c r="V25" s="764" t="n"/>
      <c r="W25" s="764" t="n"/>
      <c r="X25" s="764" t="n"/>
      <c r="Y25" s="765" t="n"/>
    </row>
    <row r="26" ht="19.5" customHeight="1" thickBot="1">
      <c r="A26" s="353" t="n"/>
      <c r="K26" s="353" t="n"/>
      <c r="L26" s="750" t="inlineStr">
        <is>
          <t>Q.Tà ADESIVO A PEZZO</t>
        </is>
      </c>
      <c r="M26" s="826" t="n"/>
      <c r="N26" s="826" t="n"/>
      <c r="O26" s="968" t="n"/>
      <c r="P26" s="373">
        <f>P24*1000/E1</f>
        <v/>
      </c>
      <c r="Q26" s="369" t="inlineStr">
        <is>
          <t xml:space="preserve">gr al metro </t>
        </is>
      </c>
      <c r="R26" s="370" t="n"/>
      <c r="S26" s="895" t="n"/>
      <c r="Y26" s="767" t="n"/>
    </row>
    <row r="27" ht="19.5" customHeight="1" thickBot="1">
      <c r="A27" s="353" t="n"/>
      <c r="K27" s="353" t="n"/>
      <c r="L27" s="374" t="n"/>
      <c r="M27" s="374" t="n"/>
      <c r="N27" s="374" t="n"/>
      <c r="O27" s="374" t="n"/>
      <c r="P27" s="375" t="n"/>
      <c r="Q27" s="376" t="n"/>
      <c r="R27" s="370" t="n"/>
      <c r="S27" s="895" t="n"/>
      <c r="Y27" s="767" t="n"/>
    </row>
    <row r="28" ht="19.5" customHeight="1" thickBot="1">
      <c r="A28" s="353" t="n"/>
      <c r="K28" s="353" t="n"/>
      <c r="L28" s="745" t="inlineStr">
        <is>
          <t>lughezza liner per pezzo</t>
        </is>
      </c>
      <c r="M28" s="826" t="n"/>
      <c r="N28" s="826" t="n"/>
      <c r="O28" s="826" t="n"/>
      <c r="P28" s="377">
        <f>K1</f>
        <v/>
      </c>
      <c r="Q28" s="378" t="inlineStr">
        <is>
          <t>mm al pezzo</t>
        </is>
      </c>
      <c r="R28" s="370" t="n"/>
      <c r="S28" s="896" t="n"/>
      <c r="T28" s="769" t="n"/>
      <c r="U28" s="769" t="n"/>
      <c r="V28" s="769" t="n"/>
      <c r="W28" s="769" t="n"/>
      <c r="X28" s="769" t="n"/>
      <c r="Y28" s="770" t="n"/>
    </row>
    <row r="29" ht="21.75" customHeight="1" thickBot="1">
      <c r="A29" s="379" t="n"/>
      <c r="B29" s="380" t="n"/>
      <c r="C29" s="380" t="n"/>
      <c r="D29" s="380" t="n"/>
      <c r="E29" s="380" t="n"/>
      <c r="F29" s="380" t="n"/>
      <c r="G29" s="380" t="n"/>
      <c r="H29" s="380" t="n"/>
      <c r="I29" s="380" t="n"/>
      <c r="J29" s="380" t="n"/>
      <c r="K29" s="379" t="n"/>
      <c r="L29" s="759" t="inlineStr">
        <is>
          <t>metri quadri  di liner al pezzo</t>
        </is>
      </c>
      <c r="M29" s="826" t="n"/>
      <c r="N29" s="826" t="n"/>
      <c r="O29" s="826" t="n"/>
      <c r="P29" s="381">
        <f>(K1/1000)*R10/1000</f>
        <v/>
      </c>
      <c r="Q29" s="382" t="inlineStr">
        <is>
          <t>m2  al pezzo</t>
        </is>
      </c>
      <c r="R29" s="383" t="n"/>
      <c r="S29" s="971" t="inlineStr">
        <is>
          <t>metri quadri  di liner totale</t>
        </is>
      </c>
      <c r="T29" s="826" t="n"/>
      <c r="U29" s="826" t="n"/>
      <c r="V29" s="826" t="n"/>
      <c r="W29" s="827" t="n"/>
      <c r="X29" s="381">
        <f>X21*P29</f>
        <v/>
      </c>
      <c r="Y29" s="382" t="inlineStr">
        <is>
          <t xml:space="preserve">m2  </t>
        </is>
      </c>
    </row>
    <row r="30"/>
    <row r="31" ht="18.75" customHeight="1">
      <c r="Q31" s="384" t="inlineStr">
        <is>
          <t>_</t>
        </is>
      </c>
    </row>
  </sheetData>
  <mergeCells count="26">
    <mergeCell ref="X21:Y21"/>
    <mergeCell ref="L22:O22"/>
    <mergeCell ref="N9:Q9"/>
    <mergeCell ref="S21:W21"/>
    <mergeCell ref="G1:J1"/>
    <mergeCell ref="L17:O17"/>
    <mergeCell ref="A12:J22"/>
    <mergeCell ref="L16:O16"/>
    <mergeCell ref="K19:R20"/>
    <mergeCell ref="V16:X16"/>
    <mergeCell ref="A1:D1"/>
    <mergeCell ref="L28:O28"/>
    <mergeCell ref="L12:O12"/>
    <mergeCell ref="V18:X18"/>
    <mergeCell ref="S24:W24"/>
    <mergeCell ref="L24:O24"/>
    <mergeCell ref="V17:X17"/>
    <mergeCell ref="L18:O18"/>
    <mergeCell ref="S16:U16"/>
    <mergeCell ref="L14:O14"/>
    <mergeCell ref="S22:Y23"/>
    <mergeCell ref="L26:O26"/>
    <mergeCell ref="S29:W29"/>
    <mergeCell ref="L29:O29"/>
    <mergeCell ref="S25:Y28"/>
    <mergeCell ref="N10:Q10"/>
  </mergeCells>
  <pageMargins left="0.7" right="0.7" top="0.75" bottom="0.75" header="0.3" footer="0.3"/>
  <pageSetup orientation="landscape" paperSize="9" scale="54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CREATIVE SRL</dc:creator>
  <dcterms:created xmlns:dcterms="http://purl.org/dc/terms/" xmlns:xsi="http://www.w3.org/2001/XMLSchema-instance" xsi:type="dcterms:W3CDTF">2003-09-09T14:12:47Z</dcterms:created>
  <dcterms:modified xmlns:dcterms="http://purl.org/dc/terms/" xmlns:xsi="http://www.w3.org/2001/XMLSchema-instance" xsi:type="dcterms:W3CDTF">2026-06-08T13:53:27Z</dcterms:modified>
  <cp:lastModifiedBy>Lorena Dal Seno</cp:lastModifiedBy>
  <cp:lastPrinted>2026-05-11T09:53:18Z</cp:lastPrinted>
</cp:coreProperties>
</file>