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o Dinam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<sst xmlns="http://schemas.openxmlformats.org/spreadsheetml/2006/main" count="75" uniqueCount="71">
  <si>
    <t xml:space="preserve">DISPLAY AUTOMÁTICO MÉDIO — CALCULADORA DINÂMICA DE CUSTO</t>
  </si>
  <si>
    <t xml:space="preserve">Campos AMARELOS são editáveis — mude e tudo recalcula. Markup divisor · Mínimo 1h de máquina</t>
  </si>
  <si>
    <t xml:space="preserve">VARIÁVEIS DO PEDIDO</t>
  </si>
  <si>
    <t xml:space="preserve">PARÂMETROS DE INSUMO E MÁQUINA</t>
  </si>
  <si>
    <t xml:space="preserve">Quantidade (displays)</t>
  </si>
  <si>
    <t xml:space="preserve">Corrugado (R$/kg)</t>
  </si>
  <si>
    <t xml:space="preserve">Dólar (R$)</t>
  </si>
  <si>
    <t xml:space="preserve">Papel cartão (R$/kg)</t>
  </si>
  <si>
    <t xml:space="preserve">Prazo pagamento (dias)</t>
  </si>
  <si>
    <t xml:space="preserve">Tinta Nozomi (US$/L)</t>
  </si>
  <si>
    <t xml:space="preserve">Taxa juros (% ao mês)</t>
  </si>
  <si>
    <t xml:space="preserve">Tinta consumo (ml/m²)</t>
  </si>
  <si>
    <t xml:space="preserve">Margem de lucro (%)</t>
  </si>
  <si>
    <t xml:space="preserve">Tinta % área impressa</t>
  </si>
  <si>
    <t xml:space="preserve">Comissão (%)</t>
  </si>
  <si>
    <t xml:space="preserve">Cola Fênix (R$/display)</t>
  </si>
  <si>
    <t xml:space="preserve">Imposto ISS (%)</t>
  </si>
  <si>
    <t xml:space="preserve">Amido acoplagem (R$/kg)</t>
  </si>
  <si>
    <t xml:space="preserve">Amido consumo (g/m²)</t>
  </si>
  <si>
    <t xml:space="preserve">Montagem (R$/display)</t>
  </si>
  <si>
    <t xml:space="preserve">ÁREAS (do manual, m²/display)</t>
  </si>
  <si>
    <t xml:space="preserve">Cliques (R$/par)</t>
  </si>
  <si>
    <t xml:space="preserve">Papelão onda EB</t>
  </si>
  <si>
    <t xml:space="preserve">Nº cliques (pares)</t>
  </si>
  <si>
    <t xml:space="preserve">Papelão onda E</t>
  </si>
  <si>
    <t xml:space="preserve">Caixa interna (R$)</t>
  </si>
  <si>
    <t xml:space="preserve">Cartão 230g</t>
  </si>
  <si>
    <t xml:space="preserve">Pallet (R$)</t>
  </si>
  <si>
    <t xml:space="preserve">Cartão 190g</t>
  </si>
  <si>
    <t xml:space="preserve">Displays por pallet</t>
  </si>
  <si>
    <t xml:space="preserve">Área impressa total</t>
  </si>
  <si>
    <t xml:space="preserve">CUSTO-HORA DAS MÁQUINAS (calculado)</t>
  </si>
  <si>
    <t xml:space="preserve">Peso papelão (kg)</t>
  </si>
  <si>
    <t xml:space="preserve">Hora-máquina Nozomi (R$/h)</t>
  </si>
  <si>
    <t xml:space="preserve">Hora-máquina Acopladeira (R$/h)</t>
  </si>
  <si>
    <t xml:space="preserve">Hora-máquina Corte-vinco (R$/h)</t>
  </si>
  <si>
    <t xml:space="preserve">Nozomi: 35 m/min × 1,40m boca</t>
  </si>
  <si>
    <t xml:space="preserve">Acoplagem: 400 folhas/h | Corte: 150 f/h</t>
  </si>
  <si>
    <t xml:space="preserve">Mínimo 1h aplicado por lote</t>
  </si>
  <si>
    <t xml:space="preserve">MEMÓRIA DE CUSTO (por display e total)</t>
  </si>
  <si>
    <t xml:space="preserve">Item</t>
  </si>
  <si>
    <t xml:space="preserve">Custo unit. (R$)</t>
  </si>
  <si>
    <t xml:space="preserve">Custo total (R$)</t>
  </si>
  <si>
    <t xml:space="preserve">% custo</t>
  </si>
  <si>
    <t xml:space="preserve">Etapa</t>
  </si>
  <si>
    <t xml:space="preserve">Corrugado Paraibuna (EB+E)</t>
  </si>
  <si>
    <t xml:space="preserve">Matéria-prima</t>
  </si>
  <si>
    <t xml:space="preserve">Papel cartão 230g+190g</t>
  </si>
  <si>
    <t xml:space="preserve">Tinta Nozomi</t>
  </si>
  <si>
    <t xml:space="preserve">Impressão</t>
  </si>
  <si>
    <t xml:space="preserve">Hora-máquina Nozomi</t>
  </si>
  <si>
    <t xml:space="preserve">Cola Fênix (montagem fio)</t>
  </si>
  <si>
    <t xml:space="preserve">Colagem</t>
  </si>
  <si>
    <t xml:space="preserve">Amido acoplagem (material)</t>
  </si>
  <si>
    <t xml:space="preserve">Acoplagem</t>
  </si>
  <si>
    <t xml:space="preserve">Mão de obra acoplagem</t>
  </si>
  <si>
    <t xml:space="preserve">Corte e vinco (Yawn)</t>
  </si>
  <si>
    <t xml:space="preserve">Corte</t>
  </si>
  <si>
    <t xml:space="preserve">Montagem (mão de obra)</t>
  </si>
  <si>
    <t xml:space="preserve">Montagem</t>
  </si>
  <si>
    <t xml:space="preserve">Cliques plásticos</t>
  </si>
  <si>
    <t xml:space="preserve">Acessórios</t>
  </si>
  <si>
    <t xml:space="preserve">Caixa de transporte</t>
  </si>
  <si>
    <t xml:space="preserve">Embalagem</t>
  </si>
  <si>
    <t xml:space="preserve">Pallet</t>
  </si>
  <si>
    <t xml:space="preserve">CUSTO INDUSTRIAL</t>
  </si>
  <si>
    <t xml:space="preserve">FORMAÇÃO DE PREÇO (Markup divisor dinâmico)</t>
  </si>
  <si>
    <t xml:space="preserve">Custo financeiro (prazo/30 × taxa)</t>
  </si>
  <si>
    <t xml:space="preserve">Divisor markup = 1−(margem+com+imp+fin)</t>
  </si>
  <si>
    <t xml:space="preserve">PREÇO DE VENDA UNITÁRIO</t>
  </si>
  <si>
    <t xml:space="preserve">PREÇO DE VENDA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</si>
</sst>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0"/>
    <numFmt numFmtId="167" formatCode="0.0%"/>
    <numFmt numFmtId="168" formatCode="0.0"/>
    <numFmt numFmtId="169" formatCode="0%"/>
    <numFmt numFmtId="170" formatCode="0.00%"/>
    <numFmt numFmtId="171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DE7"/>
        <bgColor rgb="FFFFFFFF"/>
      </patternFill>
    </fill>
    <fill>
      <patternFill patternType="solid">
        <fgColor rgb="FFD85A30"/>
        <bgColor rgb="FFFF8080"/>
      </patternFill>
    </fill>
    <fill>
      <patternFill patternType="solid">
        <fgColor rgb="FFEFF3FB"/>
        <bgColor rgb="FFFFFFFF"/>
      </patternFill>
    </fill>
    <fill>
      <patternFill patternType="solid">
        <fgColor rgb="FF1D9E7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F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595959"/>
      <rgbColor rgb="FF969696"/>
      <rgbColor rgb="FF003366"/>
      <rgbColor rgb="FF1D9E7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7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5" t="n">
        <v>150</v>
      </c>
      <c r="D5" s="4" t="s">
        <v>5</v>
      </c>
      <c r="E5" s="6" t="n">
        <v>7.4</v>
      </c>
    </row>
    <row r="6" customFormat="false" ht="15" hidden="false" customHeight="false" outlineLevel="0" collapsed="false">
      <c r="A6" s="4" t="s">
        <v>6</v>
      </c>
      <c r="B6" s="6" t="n">
        <v>5.8</v>
      </c>
      <c r="D6" s="4" t="s">
        <v>7</v>
      </c>
      <c r="E6" s="6" t="n">
        <v>8.7</v>
      </c>
    </row>
    <row r="7" customFormat="false" ht="15" hidden="false" customHeight="false" outlineLevel="0" collapsed="false">
      <c r="A7" s="4" t="s">
        <v>8</v>
      </c>
      <c r="B7" s="5" t="n">
        <v>28</v>
      </c>
      <c r="D7" s="4" t="s">
        <v>9</v>
      </c>
      <c r="E7" s="6" t="n">
        <v>79</v>
      </c>
    </row>
    <row r="8" customFormat="false" ht="15" hidden="false" customHeight="false" outlineLevel="0" collapsed="false">
      <c r="A8" s="4" t="s">
        <v>10</v>
      </c>
      <c r="B8" s="7" t="n">
        <v>0.02</v>
      </c>
      <c r="D8" s="4" t="s">
        <v>11</v>
      </c>
      <c r="E8" s="8" t="n">
        <v>6</v>
      </c>
    </row>
    <row r="9" customFormat="false" ht="15" hidden="false" customHeight="false" outlineLevel="0" collapsed="false">
      <c r="A9" s="4" t="s">
        <v>12</v>
      </c>
      <c r="B9" s="7" t="n">
        <v>0.25</v>
      </c>
      <c r="D9" s="4" t="s">
        <v>13</v>
      </c>
      <c r="E9" s="9" t="n">
        <v>0.65</v>
      </c>
    </row>
    <row r="10" customFormat="false" ht="15" hidden="false" customHeight="false" outlineLevel="0" collapsed="false">
      <c r="A10" s="4" t="s">
        <v>14</v>
      </c>
      <c r="B10" s="7" t="n">
        <v>0.05</v>
      </c>
      <c r="D10" s="4" t="s">
        <v>15</v>
      </c>
      <c r="E10" s="6" t="n">
        <v>3.15</v>
      </c>
    </row>
    <row r="11" customFormat="false" ht="15" hidden="false" customHeight="false" outlineLevel="0" collapsed="false">
      <c r="A11" s="4" t="s">
        <v>16</v>
      </c>
      <c r="B11" s="10" t="n">
        <v>0.0954</v>
      </c>
      <c r="D11" s="4" t="s">
        <v>17</v>
      </c>
      <c r="E11" s="6" t="n">
        <v>6.5</v>
      </c>
    </row>
    <row r="12" customFormat="false" ht="15" hidden="false" customHeight="false" outlineLevel="0" collapsed="false">
      <c r="D12" s="4" t="s">
        <v>18</v>
      </c>
      <c r="E12" s="8" t="n">
        <v>20</v>
      </c>
    </row>
    <row r="13" customFormat="false" ht="15" hidden="false" customHeight="false" outlineLevel="0" collapsed="false">
      <c r="D13" s="4" t="s">
        <v>19</v>
      </c>
      <c r="E13" s="6" t="n">
        <v>13.5</v>
      </c>
    </row>
    <row r="14" customFormat="false" ht="15" hidden="false" customHeight="false" outlineLevel="0" collapsed="false">
      <c r="A14" s="11" t="s">
        <v>20</v>
      </c>
      <c r="D14" s="4" t="s">
        <v>21</v>
      </c>
      <c r="E14" s="6" t="n">
        <v>0.55</v>
      </c>
    </row>
    <row r="15" customFormat="false" ht="15" hidden="false" customHeight="false" outlineLevel="0" collapsed="false">
      <c r="A15" s="12" t="s">
        <v>22</v>
      </c>
      <c r="B15" s="13" t="n">
        <v>18.5</v>
      </c>
      <c r="D15" s="4" t="s">
        <v>23</v>
      </c>
      <c r="E15" s="5" t="n">
        <v>6</v>
      </c>
    </row>
    <row r="16" customFormat="false" ht="15" hidden="false" customHeight="false" outlineLevel="0" collapsed="false">
      <c r="A16" s="12" t="s">
        <v>24</v>
      </c>
      <c r="B16" s="13" t="n">
        <v>3.47</v>
      </c>
      <c r="D16" s="4" t="s">
        <v>25</v>
      </c>
      <c r="E16" s="6" t="n">
        <v>12.63</v>
      </c>
    </row>
    <row r="17" customFormat="false" ht="15" hidden="false" customHeight="false" outlineLevel="0" collapsed="false">
      <c r="A17" s="12" t="s">
        <v>26</v>
      </c>
      <c r="B17" s="13" t="n">
        <v>18.2</v>
      </c>
      <c r="D17" s="4" t="s">
        <v>27</v>
      </c>
      <c r="E17" s="6" t="n">
        <v>16</v>
      </c>
    </row>
    <row r="18" customFormat="false" ht="15" hidden="false" customHeight="false" outlineLevel="0" collapsed="false">
      <c r="A18" s="12" t="s">
        <v>28</v>
      </c>
      <c r="B18" s="13" t="n">
        <v>3.36</v>
      </c>
      <c r="D18" s="4" t="s">
        <v>29</v>
      </c>
      <c r="E18" s="5" t="n">
        <v>20</v>
      </c>
    </row>
    <row r="19" customFormat="false" ht="15" hidden="false" customHeight="false" outlineLevel="0" collapsed="false">
      <c r="A19" s="12" t="s">
        <v>30</v>
      </c>
      <c r="B19" s="13" t="n">
        <v>22.99</v>
      </c>
      <c r="D19" s="11" t="s">
        <v>31</v>
      </c>
    </row>
    <row r="20" customFormat="false" ht="15" hidden="false" customHeight="false" outlineLevel="0" collapsed="false">
      <c r="A20" s="12" t="s">
        <v>32</v>
      </c>
      <c r="B20" s="13" t="n">
        <f aca="false">B15*0.615+B16*0.345</f>
        <v>12.57465</v>
      </c>
      <c r="D20" s="12" t="s">
        <v>33</v>
      </c>
      <c r="E20" s="14" t="n">
        <f aca="false">((18000000-4500000)/10/12+40000+2*3000*1.7)/528</f>
        <v>308.143939393939</v>
      </c>
    </row>
    <row r="21" customFormat="false" ht="15" hidden="false" customHeight="false" outlineLevel="0" collapsed="false">
      <c r="D21" s="12" t="s">
        <v>34</v>
      </c>
      <c r="E21" s="14" t="n">
        <f aca="false">((40000-5000)/2/12+(5000+2420)*1.7)/528</f>
        <v>26.6521464646465</v>
      </c>
    </row>
    <row r="22" customFormat="false" ht="15" hidden="false" customHeight="false" outlineLevel="0" collapsed="false">
      <c r="D22" s="12" t="s">
        <v>35</v>
      </c>
      <c r="E22" s="14" t="n">
        <f aca="false">((500000-200000)/5/12+(5000+2420)*1.7)/528</f>
        <v>33.3598484848485</v>
      </c>
    </row>
    <row r="23" customFormat="false" ht="15" hidden="false" customHeight="false" outlineLevel="0" collapsed="false">
      <c r="D23" s="15" t="s">
        <v>36</v>
      </c>
    </row>
    <row r="24" customFormat="false" ht="15" hidden="false" customHeight="false" outlineLevel="0" collapsed="false">
      <c r="D24" s="15" t="s">
        <v>37</v>
      </c>
    </row>
    <row r="25" customFormat="false" ht="15" hidden="false" customHeight="false" outlineLevel="0" collapsed="false">
      <c r="D25" s="16" t="s">
        <v>38</v>
      </c>
    </row>
    <row r="27" customFormat="false" ht="15" hidden="false" customHeight="false" outlineLevel="0" collapsed="false">
      <c r="A27" s="17" t="s">
        <v>39</v>
      </c>
      <c r="B27" s="17"/>
      <c r="C27" s="17"/>
      <c r="D27" s="17"/>
      <c r="E27" s="17"/>
    </row>
    <row r="28" customFormat="false" ht="24" hidden="false" customHeight="true" outlineLevel="0" collapsed="false">
      <c r="A28" s="18" t="s">
        <v>40</v>
      </c>
      <c r="B28" s="18" t="s">
        <v>41</v>
      </c>
      <c r="C28" s="18" t="s">
        <v>42</v>
      </c>
      <c r="D28" s="18" t="s">
        <v>43</v>
      </c>
      <c r="E28" s="18" t="s">
        <v>44</v>
      </c>
    </row>
    <row r="29" customFormat="false" ht="15" hidden="false" customHeight="false" outlineLevel="0" collapsed="false">
      <c r="A29" s="4" t="s">
        <v>45</v>
      </c>
      <c r="B29" s="19" t="n">
        <f aca="false">B20*E5</f>
        <v>93.05241</v>
      </c>
      <c r="C29" s="19" t="n">
        <f aca="false">B29*B5</f>
        <v>13957.8615</v>
      </c>
      <c r="D29" s="20" t="n">
        <f aca="false">B29/$B$41</f>
        <v>0.413327927937052</v>
      </c>
      <c r="E29" s="21" t="s">
        <v>46</v>
      </c>
    </row>
    <row r="30" customFormat="false" ht="15" hidden="false" customHeight="false" outlineLevel="0" collapsed="false">
      <c r="A30" s="4" t="s">
        <v>47</v>
      </c>
      <c r="B30" s="19" t="n">
        <f aca="false">((B17*0.23+B18*0.19)/0.85)*E6</f>
        <v>49.3791529411765</v>
      </c>
      <c r="C30" s="19" t="n">
        <f aca="false">B30*B5</f>
        <v>7406.87294117647</v>
      </c>
      <c r="D30" s="20" t="n">
        <f aca="false">B30/$B$41</f>
        <v>0.21933642523029</v>
      </c>
      <c r="E30" s="21" t="s">
        <v>46</v>
      </c>
    </row>
    <row r="31" customFormat="false" ht="15" hidden="false" customHeight="false" outlineLevel="0" collapsed="false">
      <c r="A31" s="4" t="s">
        <v>48</v>
      </c>
      <c r="B31" s="19" t="n">
        <f aca="false">B19*E9*E8/1000*E7*B6</f>
        <v>41.0826702</v>
      </c>
      <c r="C31" s="19" t="n">
        <f aca="false">B31*B5</f>
        <v>6162.40053</v>
      </c>
      <c r="D31" s="20" t="n">
        <f aca="false">B31/$B$41</f>
        <v>0.182484418704333</v>
      </c>
      <c r="E31" s="21" t="s">
        <v>49</v>
      </c>
    </row>
    <row r="32" customFormat="false" ht="15" hidden="false" customHeight="false" outlineLevel="0" collapsed="false">
      <c r="A32" s="4" t="s">
        <v>50</v>
      </c>
      <c r="B32" s="19" t="n">
        <f aca="false">(B19/(35*1.4*60))*E20</f>
        <v>2.40960175736961</v>
      </c>
      <c r="C32" s="19" t="n">
        <f aca="false">B32*B5</f>
        <v>361.440263605442</v>
      </c>
      <c r="D32" s="20" t="n">
        <f aca="false">B32/$B$41</f>
        <v>0.0107031693378717</v>
      </c>
      <c r="E32" s="21" t="s">
        <v>49</v>
      </c>
    </row>
    <row r="33" customFormat="false" ht="15" hidden="false" customHeight="false" outlineLevel="0" collapsed="false">
      <c r="A33" s="4" t="s">
        <v>51</v>
      </c>
      <c r="B33" s="19" t="n">
        <f aca="false">E10</f>
        <v>3.15</v>
      </c>
      <c r="C33" s="19" t="n">
        <f aca="false">B33*B5</f>
        <v>472.5</v>
      </c>
      <c r="D33" s="20" t="n">
        <f aca="false">B33/$B$41</f>
        <v>0.013991931783408</v>
      </c>
      <c r="E33" s="21" t="s">
        <v>52</v>
      </c>
    </row>
    <row r="34" customFormat="false" ht="15" hidden="false" customHeight="false" outlineLevel="0" collapsed="false">
      <c r="A34" s="4" t="s">
        <v>53</v>
      </c>
      <c r="B34" s="19" t="n">
        <f aca="false">(B17+B18)*E12/1000*E11</f>
        <v>2.8028</v>
      </c>
      <c r="C34" s="19" t="n">
        <f aca="false">B34*B5</f>
        <v>420.42</v>
      </c>
      <c r="D34" s="20" t="n">
        <f aca="false">B34/$B$41</f>
        <v>0.012449709969059</v>
      </c>
      <c r="E34" s="21" t="s">
        <v>54</v>
      </c>
    </row>
    <row r="35" customFormat="false" ht="15" hidden="false" customHeight="false" outlineLevel="0" collapsed="false">
      <c r="A35" s="4" t="s">
        <v>55</v>
      </c>
      <c r="B35" s="19" t="n">
        <f aca="false">(MAX(1,17*B5/400)*E21)/B5</f>
        <v>1.13271622474747</v>
      </c>
      <c r="C35" s="19" t="n">
        <f aca="false">B35*B5</f>
        <v>169.907433712121</v>
      </c>
      <c r="D35" s="20" t="n">
        <f aca="false">B35/$B$41</f>
        <v>0.00503139306242099</v>
      </c>
      <c r="E35" s="21" t="s">
        <v>54</v>
      </c>
    </row>
    <row r="36" customFormat="false" ht="15" hidden="false" customHeight="false" outlineLevel="0" collapsed="false">
      <c r="A36" s="4" t="s">
        <v>56</v>
      </c>
      <c r="B36" s="19" t="n">
        <f aca="false">(MAX(1,(17*B5/2)/150)*E22)/B5</f>
        <v>1.89039141414141</v>
      </c>
      <c r="C36" s="19" t="n">
        <f aca="false">B36*B5</f>
        <v>283.558712121212</v>
      </c>
      <c r="D36" s="20" t="n">
        <f aca="false">B36/$B$41</f>
        <v>0.00839689768590694</v>
      </c>
      <c r="E36" s="21" t="s">
        <v>57</v>
      </c>
    </row>
    <row r="37" customFormat="false" ht="15" hidden="false" customHeight="false" outlineLevel="0" collapsed="false">
      <c r="A37" s="4" t="s">
        <v>58</v>
      </c>
      <c r="B37" s="19" t="n">
        <f aca="false">E13</f>
        <v>13.5</v>
      </c>
      <c r="C37" s="19" t="n">
        <f aca="false">B37*B5</f>
        <v>2025</v>
      </c>
      <c r="D37" s="20" t="n">
        <f aca="false">B37/$B$41</f>
        <v>0.0599654219288915</v>
      </c>
      <c r="E37" s="21" t="s">
        <v>59</v>
      </c>
    </row>
    <row r="38" customFormat="false" ht="15" hidden="false" customHeight="false" outlineLevel="0" collapsed="false">
      <c r="A38" s="4" t="s">
        <v>60</v>
      </c>
      <c r="B38" s="19" t="n">
        <f aca="false">E14*E15</f>
        <v>3.3</v>
      </c>
      <c r="C38" s="19" t="n">
        <f aca="false">B38*B5</f>
        <v>495</v>
      </c>
      <c r="D38" s="20" t="n">
        <f aca="false">B38/$B$41</f>
        <v>0.0146582142492846</v>
      </c>
      <c r="E38" s="21" t="s">
        <v>61</v>
      </c>
    </row>
    <row r="39" customFormat="false" ht="15" hidden="false" customHeight="false" outlineLevel="0" collapsed="false">
      <c r="A39" s="4" t="s">
        <v>62</v>
      </c>
      <c r="B39" s="19" t="n">
        <f aca="false">E16</f>
        <v>12.63</v>
      </c>
      <c r="C39" s="19" t="n">
        <f aca="false">B39*B5</f>
        <v>1894.5</v>
      </c>
      <c r="D39" s="20" t="n">
        <f aca="false">B39/$B$41</f>
        <v>0.0561009836268074</v>
      </c>
      <c r="E39" s="21" t="s">
        <v>63</v>
      </c>
    </row>
    <row r="40" customFormat="false" ht="15" hidden="false" customHeight="false" outlineLevel="0" collapsed="false">
      <c r="A40" s="4" t="s">
        <v>64</v>
      </c>
      <c r="B40" s="19" t="n">
        <f aca="false">E17/E18</f>
        <v>0.8</v>
      </c>
      <c r="C40" s="19" t="n">
        <f aca="false">B40*B5</f>
        <v>120</v>
      </c>
      <c r="D40" s="20" t="n">
        <f aca="false">B40/$B$41</f>
        <v>0.00355350648467505</v>
      </c>
      <c r="E40" s="21" t="s">
        <v>63</v>
      </c>
    </row>
    <row r="41" customFormat="false" ht="15" hidden="false" customHeight="false" outlineLevel="0" collapsed="false">
      <c r="A41" s="22" t="s">
        <v>65</v>
      </c>
      <c r="B41" s="23" t="n">
        <f aca="false">SUM(B29:B40)</f>
        <v>225.129742537435</v>
      </c>
      <c r="C41" s="23" t="n">
        <f aca="false">SUM(C29:C40)</f>
        <v>33769.4613806153</v>
      </c>
      <c r="D41" s="24" t="n">
        <f aca="false">SUM(D29:D40)</f>
        <v>1</v>
      </c>
      <c r="E41" s="25"/>
    </row>
    <row r="43" customFormat="false" ht="15" hidden="false" customHeight="false" outlineLevel="0" collapsed="false">
      <c r="A43" s="3" t="s">
        <v>66</v>
      </c>
    </row>
    <row r="44" customFormat="false" ht="15" hidden="false" customHeight="false" outlineLevel="0" collapsed="false">
      <c r="A44" s="4" t="s">
        <v>67</v>
      </c>
      <c r="B44" s="26" t="n">
        <f aca="false">B7/30*B8</f>
        <v>0.0186666666666667</v>
      </c>
    </row>
    <row r="45" customFormat="false" ht="15" hidden="false" customHeight="false" outlineLevel="0" collapsed="false">
      <c r="A45" s="4" t="s">
        <v>68</v>
      </c>
      <c r="B45" s="27" t="n">
        <f aca="false">1-(B9+B10+B11+B44)</f>
        <v>0.585933333333333</v>
      </c>
    </row>
    <row r="46" customFormat="false" ht="15" hidden="false" customHeight="false" outlineLevel="0" collapsed="false">
      <c r="A46" s="28" t="s">
        <v>69</v>
      </c>
      <c r="B46" s="29" t="n">
        <f aca="false">B41/B45</f>
        <v>384.224159524579</v>
      </c>
    </row>
    <row r="47" customFormat="false" ht="15" hidden="false" customHeight="false" outlineLevel="0" collapsed="false">
      <c r="A47" s="28" t="s">
        <v>70</v>
      </c>
      <c r="B47" s="29" t="n">
        <f aca="false">B46*B5</f>
        <v>57633.6239286868</v>
      </c>
    </row>
  </sheetData>
  <mergeCells count="3">
    <mergeCell ref="A1:E1"/>
    <mergeCell ref="A2:E2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2026-06-08T21:19:26Z</dcterms:created>
  <dc:creator>openpyxl</dc:creator>
  <dc:description/>
  <dc:language>en-US</dc:language>
  <cp:lastModifiedBy/>
  <dcterms:modified xsi:type="dcterms:W3CDTF">2026-06-08T21:19:26Z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